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ÇOKLU ASANSÖR" sheetId="1" state="visible" r:id="rId1"/>
    <sheet xmlns:r="http://schemas.openxmlformats.org/officeDocument/2006/relationships" name="PAFTA-COKLU" sheetId="2" state="visible" r:id="rId2"/>
    <sheet xmlns:r="http://schemas.openxmlformats.org/officeDocument/2006/relationships" name="NÜFUS GİRİŞİ" sheetId="3" state="visible" r:id="rId3"/>
    <sheet xmlns:r="http://schemas.openxmlformats.org/officeDocument/2006/relationships" name="KAYNAKLAR" sheetId="4" state="visible" r:id="rId4"/>
    <sheet xmlns:r="http://schemas.openxmlformats.org/officeDocument/2006/relationships" name="TABLO-1" sheetId="5" state="visible" r:id="rId5"/>
    <sheet xmlns:r="http://schemas.openxmlformats.org/officeDocument/2006/relationships" name="TABLO-2" sheetId="6" state="visible" r:id="rId6"/>
    <sheet xmlns:r="http://schemas.openxmlformats.org/officeDocument/2006/relationships" name="TABLO-3" sheetId="7" state="visible" r:id="rId7"/>
    <sheet xmlns:r="http://schemas.openxmlformats.org/officeDocument/2006/relationships" name="TABLO-4" sheetId="8" state="visible" r:id="rId8"/>
    <sheet xmlns:r="http://schemas.openxmlformats.org/officeDocument/2006/relationships" name="TABLO-5" sheetId="9" state="visible" r:id="rId9"/>
    <sheet xmlns:r="http://schemas.openxmlformats.org/officeDocument/2006/relationships" name="TABLO-6" sheetId="10" state="visible" r:id="rId10"/>
    <sheet xmlns:r="http://schemas.openxmlformats.org/officeDocument/2006/relationships" name="TABLO-7" sheetId="11" state="visible" r:id="rId11"/>
    <sheet xmlns:r="http://schemas.openxmlformats.org/officeDocument/2006/relationships" name="TABLO-8" sheetId="12" state="visible" r:id="rId12"/>
    <sheet xmlns:r="http://schemas.openxmlformats.org/officeDocument/2006/relationships" name="TABLO-9" sheetId="13" state="visible" r:id="rId13"/>
    <sheet xmlns:r="http://schemas.openxmlformats.org/officeDocument/2006/relationships" name="TABLO-10" sheetId="14" state="visible" r:id="rId14"/>
  </sheets>
  <definedNames>
    <definedName name="PAFTA_COKLU_ALAN" hidden="0" function="0" vbProcedure="0">'PAFTA-COKLU'!$A$1:$F$30</definedName>
    <definedName name="_xlnm.Print_Area" localSheetId="1">'PAFTA-COKLU'!$A$1:$F$30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0.###"/>
    <numFmt numFmtId="168" formatCode="0.0000"/>
  </numFmts>
  <fonts count="4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Cambria"/>
      <charset val="1"/>
      <family val="0"/>
      <i val="1"/>
      <color rgb="FF555555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  <font>
      <name val="Calibri"/>
      <charset val="1"/>
      <family val="0"/>
      <color rgb="FF595959"/>
      <sz val="11"/>
    </font>
    <font>
      <name val="Arial"/>
      <charset val="1"/>
      <family val="0"/>
      <color rgb="FF595959"/>
      <sz val="10"/>
    </font>
    <font>
      <name val="Arial"/>
      <charset val="1"/>
      <family val="0"/>
      <color rgb="FF243F6B"/>
      <sz val="10"/>
    </font>
    <font>
      <name val="Arial"/>
      <charset val="1"/>
      <family val="0"/>
      <b val="1"/>
      <color rgb="FF243F6B"/>
      <sz val="10"/>
    </font>
    <font>
      <name val="Cambria"/>
      <charset val="1"/>
      <family val="0"/>
      <i val="1"/>
      <color rgb="FF595959"/>
      <sz val="9"/>
    </font>
    <font>
      <name val="Arial"/>
      <charset val="1"/>
      <family val="0"/>
      <b val="1"/>
      <color rgb="FFCC0000"/>
      <sz val="10"/>
    </font>
    <font>
      <name val="Cambria"/>
      <charset val="1"/>
      <family val="0"/>
      <b val="1"/>
      <sz val="11"/>
    </font>
    <font>
      <name val="Arial"/>
      <charset val="1"/>
      <family val="0"/>
      <b val="1"/>
      <sz val="10"/>
    </font>
    <font>
      <name val="Aptos"/>
      <charset val="1"/>
      <family val="0"/>
      <b val="1"/>
      <color rgb="FFFFFFFF"/>
      <sz val="11"/>
    </font>
    <font>
      <name val="Aptos"/>
      <charset val="1"/>
      <family val="0"/>
      <i val="1"/>
      <color rgb="FF595959"/>
      <sz val="9"/>
    </font>
    <font>
      <name val="Aptos"/>
      <charset val="1"/>
      <family val="0"/>
      <b val="1"/>
      <color rgb="FF000000"/>
      <sz val="10"/>
    </font>
    <font>
      <name val="Aptos"/>
      <charset val="1"/>
      <family val="0"/>
      <sz val="10"/>
    </font>
    <font>
      <name val="Aptos"/>
      <charset val="1"/>
      <family val="0"/>
      <b val="1"/>
      <color rgb="FF243F6B"/>
      <sz val="10"/>
    </font>
    <font>
      <name val="Aptos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9.5"/>
    </font>
    <font>
      <name val="Arial"/>
      <charset val="1"/>
      <family val="0"/>
      <color rgb="FF000000"/>
      <sz val="9"/>
    </font>
    <font>
      <name val="Arial"/>
      <charset val="1"/>
      <family val="0"/>
      <color rgb="FF000000"/>
      <sz val="8.5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000000"/>
      <sz val="8.5"/>
    </font>
    <font>
      <name val="Cambria"/>
      <charset val="1"/>
      <family val="0"/>
      <b val="1"/>
      <sz val="14"/>
    </font>
    <font>
      <name val="Calibri"/>
      <charset val="1"/>
      <family val="0"/>
      <b val="1"/>
      <color rgb="FF243F6B"/>
      <sz val="11"/>
    </font>
    <font>
      <name val="Cambria"/>
      <charset val="1"/>
      <family val="0"/>
      <b val="1"/>
      <sz val="13"/>
    </font>
    <font>
      <name val="Calibri"/>
      <charset val="1"/>
      <family val="0"/>
      <sz val="11"/>
    </font>
    <font>
      <name val="Arial"/>
      <charset val="1"/>
      <family val="0"/>
      <i val="1"/>
      <color rgb="FF7F6000"/>
      <sz val="10"/>
    </font>
    <font>
      <name val="Arial"/>
      <family val="2"/>
      <sz val="10"/>
    </font>
    <font>
      <name val="Aptos"/>
      <charset val="1"/>
      <family val="0"/>
      <b val="1"/>
      <color rgb="FFFFFFFF"/>
      <sz val="15"/>
    </font>
    <font>
      <name val="Aptos"/>
      <charset val="1"/>
      <family val="0"/>
      <i val="1"/>
      <color rgb="FF595959"/>
      <sz val="10"/>
    </font>
    <font>
      <name val="Aptos"/>
      <charset val="1"/>
      <family val="0"/>
      <b val="1"/>
      <sz val="10"/>
    </font>
    <font>
      <name val="Aptos"/>
      <charset val="1"/>
      <family val="0"/>
      <b val="1"/>
      <color rgb="FFFFFFFF"/>
      <sz val="16"/>
    </font>
    <font>
      <name val="Aptos"/>
      <charset val="1"/>
      <family val="0"/>
      <b val="1"/>
      <color rgb="FF9C0006"/>
      <sz val="10"/>
    </font>
    <font>
      <name val="Cambria"/>
      <charset val="1"/>
      <family val="0"/>
      <sz val="11"/>
    </font>
    <font>
      <name val="Cambria"/>
      <charset val="1"/>
      <family val="0"/>
      <i val="1"/>
      <color rgb="FF7F6000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9E2F3"/>
        <bgColor rgb="FFD9E1F2"/>
      </patternFill>
    </fill>
    <fill>
      <patternFill patternType="solid">
        <fgColor rgb="FF44546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E2F0D9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243F6B"/>
        <bgColor rgb="FF003366"/>
      </patternFill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243F6B"/>
      </left>
      <right style="medium">
        <color rgb="FF243F6B"/>
      </right>
      <top style="medium">
        <color rgb="FF243F6B"/>
      </top>
      <bottom style="medium">
        <color rgb="FF243F6B"/>
      </bottom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medium"/>
      <top/>
      <bottom style="hair">
        <color rgb="FF7F7F7F"/>
      </bottom>
      <diagonal/>
    </border>
    <border>
      <left style="medium"/>
      <right style="medium"/>
      <top/>
      <bottom style="hair">
        <color rgb="FF7F7F7F"/>
      </bottom>
      <diagonal/>
    </border>
    <border>
      <left style="medium"/>
      <right style="medium"/>
      <top style="hair">
        <color rgb="FF7F7F7F"/>
      </top>
      <bottom style="hair">
        <color rgb="FF7F7F7F"/>
      </bottom>
      <diagonal/>
    </border>
    <border>
      <left style="medium"/>
      <right style="medium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hair">
        <color rgb="FF7F7F7F"/>
      </right>
      <top style="thin"/>
      <bottom style="thin"/>
      <diagonal/>
    </border>
    <border>
      <left style="hair">
        <color rgb="FF7F7F7F"/>
      </left>
      <right style="hair">
        <color rgb="FF7F7F7F"/>
      </right>
      <top style="thin"/>
      <bottom style="thin"/>
      <diagonal/>
    </border>
    <border>
      <left style="hair">
        <color rgb="FF7F7F7F"/>
      </left>
      <right style="medium"/>
      <top style="thin"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/>
      <bottom/>
      <diagonal/>
    </border>
    <border>
      <left/>
      <right/>
      <top/>
      <bottom style="hair">
        <color rgb="FF7F7F7F"/>
      </bottom>
      <diagonal/>
    </border>
    <border>
      <left/>
      <right style="medium"/>
      <top/>
      <bottom style="hair">
        <color rgb="FF7F7F7F"/>
      </bottom>
      <diagonal/>
    </border>
    <border>
      <left/>
      <right/>
      <top style="hair">
        <color rgb="FF7F7F7F"/>
      </top>
      <bottom/>
      <diagonal/>
    </border>
    <border>
      <left/>
      <right style="medium"/>
      <top style="hair">
        <color rgb="FF7F7F7F"/>
      </top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medium"/>
      <top style="hair">
        <color rgb="FF7F7F7F"/>
      </top>
      <bottom style="hair">
        <color rgb="FF7F7F7F"/>
      </bottom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hair">
        <color rgb="FF7F7F7F"/>
      </right>
      <top/>
      <bottom/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25" fillId="9" borderId="5" applyAlignment="1" pivotButton="0" quotePrefix="0" xfId="0">
      <alignment horizontal="left" vertical="center" indent="1"/>
    </xf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11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10" fillId="4" borderId="0" applyAlignment="1" pivotButton="0" quotePrefix="0" xfId="0">
      <alignment horizontal="general" vertical="bottom" wrapText="1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9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5" fillId="9" borderId="5" applyAlignment="1" pivotButton="0" quotePrefix="0" xfId="0">
      <alignment horizontal="left" vertical="center" indent="1"/>
    </xf>
    <xf numFmtId="0" fontId="0" fillId="0" borderId="28" pivotButton="0" quotePrefix="0" xfId="0"/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0" fillId="0" borderId="31" pivotButton="0" quotePrefix="0" xfId="0"/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0" fontId="0" fillId="0" borderId="34" pivotButton="0" quotePrefix="0" xfId="0"/>
    <xf numFmtId="0" fontId="0" fillId="0" borderId="35" pivotButton="0" quotePrefix="0" xfId="0"/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31" fillId="0" borderId="12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32" fillId="11" borderId="0" applyAlignment="1" pivotButton="0" quotePrefix="0" xfId="0">
      <alignment horizontal="center" vertical="bottom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0" fillId="0" borderId="41" pivotButton="0" quotePrefix="0" xfId="0"/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0" fillId="0" borderId="44" pivotButton="0" quotePrefix="0" xfId="0"/>
    <xf numFmtId="0" fontId="0" fillId="0" borderId="45" pivotButton="0" quotePrefix="0" xfId="0"/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0" fillId="0" borderId="48" pivotButton="0" quotePrefix="0" xfId="0"/>
    <xf numFmtId="0" fontId="1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36" fillId="3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45" fillId="7" borderId="0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E2F0D9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595959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DED"/>
      <rgbColor rgb="FFBFBFBF"/>
      <rgbColor rgb="FFD9E2F3"/>
      <rgbColor rgb="FFD9E1F2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7F7F7F"/>
      <rgbColor rgb="FF003300"/>
      <rgbColor rgb="FF555555"/>
      <rgbColor rgb="FF993300"/>
      <rgbColor rgb="FF993366"/>
      <rgbColor rgb="FF243F6B"/>
      <rgbColor rgb="FF44546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Unknown Author</author>
  </authors>
  <commentList>
    <comment ref="A59" authorId="0" shapeId="0">
      <text>
        <t>Kaynak: MMO/697, Ocak 2020 — Tablo-3 (H) ve Tablo-5 (S) girişleri "ana giriş üstündeki kat sayısı N" ile yapılır. Farklı durak sayılı asansörlerde her asansör kendi N değeri ile okunmalıdır. Durak = N + 1 (ana giriş katı dâhil).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06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B54" activeCellId="0" sqref="B54"/>
    </sheetView>
  </sheetViews>
  <sheetFormatPr baseColWidth="8" defaultColWidth="8.71484375" defaultRowHeight="15" zeroHeight="0" outlineLevelRow="1"/>
  <cols>
    <col width="42" customWidth="1" style="136" min="1" max="1"/>
    <col width="15" customWidth="1" style="136" min="2" max="2"/>
    <col width="15" customWidth="1" style="137" min="3" max="5"/>
    <col width="13" customWidth="1" style="136" min="6" max="6"/>
    <col hidden="1" width="13" customWidth="1" style="137" min="8" max="8"/>
  </cols>
  <sheetData>
    <row r="1" ht="17.25" customHeight="1" s="138">
      <c r="A1" s="207" t="inlineStr">
        <is>
          <t>ÇOKLU ASANSÖR TRAFİK HESABI  —  Farklı kapasitede asansör grubu (MMO/697 s.12)</t>
        </is>
      </c>
    </row>
    <row r="2" ht="45" customHeight="1" s="138">
      <c r="A2" s="163" t="inlineStr">
        <is>
          <t>▶ BU SAYFA BİRDEN FAZLA ASANSÖR İÇİNDİR — çıktısı PAFTA-COKLU sayfasıdır. Tek asansör için HESAPLAMA sayfasını kullanın.  |  Kaynak: MMO/697, Ocak 2020. Farklı kapasiteli asansörler için grup formülü (s.12) uygulanır.</t>
        </is>
      </c>
    </row>
    <row r="4" ht="15" customHeight="1" s="138">
      <c r="A4" s="208" t="inlineStr">
        <is>
          <t>ORTAK BİNA BİLGİLERİ (tüm asansörler için aynı)</t>
        </is>
      </c>
    </row>
    <row r="5" ht="32.25" customHeight="1" s="138">
      <c r="A5" s="209" t="inlineStr">
        <is>
          <t>① Bina Tipi (tek seçim)</t>
        </is>
      </c>
      <c r="B5" s="210" t="inlineStr">
        <is>
          <t>Konut</t>
        </is>
      </c>
      <c r="C5" s="147" t="inlineStr">
        <is>
          <t>Manuel k (yalnız Tablo-9'da değer yoksa)</t>
        </is>
      </c>
      <c r="E5" s="148" t="n"/>
    </row>
    <row r="6" ht="27.75" customHeight="1" s="138">
      <c r="A6" s="209" t="inlineStr">
        <is>
          <t>→ Tablo-9 %k tipi (otomatik)</t>
        </is>
      </c>
      <c r="B6" s="209">
        <f>IFERROR(INDEX('TABLO-10'!$L$2:$L$11,MATCH($B$5,'TABLO-10'!$J$2:$J$11,0)),"Manuel k gerekli")</f>
        <v/>
      </c>
      <c r="C6" s="150" t="inlineStr">
        <is>
          <t>k girişi modu</t>
        </is>
      </c>
      <c r="D6" s="151">
        <f>IF(B6="Manuel k gerekli","Manuel gerekli",IF(LEFT($B$5,4)="Kamu","Tablo-9'da kamu yok → İş Merkezi %k varsayıldı (E5 ile değiştirilebilir)","Tablo-9 kilitli"))</f>
        <v/>
      </c>
    </row>
    <row r="7" ht="27.75" customHeight="1" s="138">
      <c r="A7" s="209" t="inlineStr">
        <is>
          <t>→ Tablo-2 hız grubu (otomatik)</t>
        </is>
      </c>
      <c r="B7" s="209">
        <f>IFERROR(INDEX('TABLO-10'!$K$2:$K$11,MATCH($B$5,'TABLO-10'!$J$2:$J$11,0)),"Manuel hız gerekli")</f>
        <v/>
      </c>
      <c r="C7" s="150" t="inlineStr">
        <is>
          <t>V girişi modu</t>
        </is>
      </c>
      <c r="D7" s="151">
        <f>IF(B7="Manuel hız gerekli","Manuel gerekli",IF(LEFT($B$5,4)="Kamu","Tablo-2'de kamu yok → Büro/İş Merkezi hızı varsayıldı",IF(B9+1&gt;=20,"Manuel — eşik kontrollü","Tablo-2 kilitli")))</f>
        <v/>
      </c>
    </row>
    <row r="8" ht="43.5" customHeight="1" s="138">
      <c r="A8" s="209" t="inlineStr">
        <is>
          <t>Hesap standardı (yükseklikten otomatik)</t>
        </is>
      </c>
      <c r="B8" s="211">
        <f>IF(OR(D8&gt;21.5,D9&gt;30.5),"Yükseltilmiş","Standart")</f>
        <v/>
      </c>
      <c r="C8" s="150" t="inlineStr">
        <is>
          <t>② Bina yüksekliği (m) — bodrum hariç</t>
        </is>
      </c>
      <c r="D8" s="212" t="n">
        <v>39.98</v>
      </c>
    </row>
    <row r="9" ht="43.5" customHeight="1" s="138">
      <c r="A9" s="209" t="inlineStr">
        <is>
          <t>③ Kat sayısı  N  (ana giriş üstü)</t>
        </is>
      </c>
      <c r="B9" s="210" t="n">
        <v>11</v>
      </c>
      <c r="C9" s="150" t="inlineStr">
        <is>
          <t>④ Yapı yüksekliği (m) — bodrum dâhil</t>
        </is>
      </c>
      <c r="D9" s="212" t="n">
        <v>43</v>
      </c>
    </row>
    <row r="10" ht="43.5" customHeight="1" s="138">
      <c r="A10" s="209">
        <f>"⑤ "&amp;IF($B$5="Konut","Daire sayısı (bağımsız bölüm adedi)",IF(OR(LEFT($B$5,10)="İş Merkezi",LEFT($B$5,4)="Kamu"),"Toplam çalışma alanı (m²)  →  12 m² = 1 kişi",IF(OR(LEFT($B$5,4)="Otel",$B$5="Hastane"),"Toplam yatak sayısı",IF($B$5="Katlı Otopark","Özel amaçlı araç adedi","Bu bina tipinde hızlı giriş yok — aşağıdaki 5) tabloyu doldurun"))))</f>
        <v/>
      </c>
      <c r="B10" s="210" t="n">
        <v>44</v>
      </c>
      <c r="C10" s="150" t="inlineStr">
        <is>
          <t>Manuel ortak V (yalnız gerektiğinde)</t>
        </is>
      </c>
      <c r="D10" s="154" t="n"/>
    </row>
    <row r="11" ht="30" customHeight="1" s="138">
      <c r="A11" s="209">
        <f>IF($B$5="Konut","⑥ Daire başına DİĞER oda sayısı (ilk yatak odası hariç; mutfak ve ıslak hacim sayılmaz)",IF($B$5="Katlı Otopark","⑥ Ticari amaçlı araç adedi",IF(OR($B$5="Konut",LEFT($B$5,10)="İş Merkezi",LEFT($B$5,4)="Kamu",LEFT($B$5,4)="Otel",$B$5="Hastane"),"⑥ (bu bina tipinde gerekmiyor — boş bırakın)","⑥ (kullanılmıyor — nüfusu aşağıdaki 5) tablodan girin)")))</f>
        <v/>
      </c>
      <c r="B11" s="210" t="n">
        <v>3</v>
      </c>
    </row>
    <row r="12" ht="15" customHeight="1" s="138">
      <c r="A12" s="209" t="inlineStr">
        <is>
          <t>⑦ Kat yüksekliği  h  (m)  — ortak (farklı binadaki asansör için 62. satır)</t>
        </is>
      </c>
      <c r="B12" s="210" t="n">
        <v>3</v>
      </c>
      <c r="C12" s="213">
        <f>IF(AND(ISNUMBER($B$12),OR($B$12&lt;2,$B$12&gt;6)),"⚠ h olağandışı — 2–6 m bekleniyor",IF(AND(ISNUMBER($D$9),ISNUMBER($B$9),ISNUMBER($B$12),$D$9&lt;$B$9*$B$12),"⚠ Yapı yüksekliği &lt; N × h — kontrol et",IF(AND(ISNUMBER($D$8),ISNUMBER($D$9),$D$8&gt;$D$9),"⚠ Bina yüks. &gt; yapı yüks. olamaz","")))</f>
        <v/>
      </c>
      <c r="H12" s="137" t="inlineStr">
        <is>
          <t>yardımcı (gizli): H13 = efektif ortak bodrum durak adedi</t>
        </is>
      </c>
    </row>
    <row r="13" ht="40" customHeight="1" s="138">
      <c r="A13" s="209" t="inlineStr">
        <is>
          <t>⑪ Bodrum durak adedi (ortak, ana giriş altı)</t>
        </is>
      </c>
      <c r="B13" s="210" t="n"/>
      <c r="C13" s="283" t="inlineStr">
        <is>
          <t>Asansör bazında farklıysa 100. satırdan girin.  Bodrum H ve S'yi değiştirmez; yalnız Tablo-2 hız seçimine ve seyahat mesafesine girer.</t>
        </is>
      </c>
      <c r="H13" s="137">
        <f>IF(AND(ISNUMBER($B$13),$B$13&gt;=0,$B$13&lt;=10,$B$13=INT($B$13)),$B$13,0)</f>
        <v/>
      </c>
    </row>
    <row r="14" ht="15" customHeight="1" s="138">
      <c r="A14" s="209" t="inlineStr">
        <is>
          <t>b = Temel nüfus = Σc</t>
        </is>
      </c>
      <c r="B14" s="209">
        <f>$F$79</f>
        <v/>
      </c>
    </row>
    <row r="15" ht="15" customHeight="1" s="138">
      <c r="A15" s="209" t="inlineStr">
        <is>
          <t>n = Artış oranı (b&lt;200→0,3 ; b≥200→0,25)</t>
        </is>
      </c>
      <c r="B15" s="209">
        <f>IF(B14&lt;200,0.3,0.25)</f>
        <v/>
      </c>
    </row>
    <row r="16" ht="15" customHeight="1" s="138">
      <c r="A16" s="209" t="inlineStr">
        <is>
          <t>B = Tasarım nüfusu = b+(n×b)</t>
        </is>
      </c>
      <c r="B16" s="209">
        <f>ROUNDUP(B14*(1+B15),0)</f>
        <v/>
      </c>
    </row>
    <row r="17" ht="15" customHeight="1" s="138">
      <c r="A17" s="209" t="inlineStr">
        <is>
          <t>k = Taşınacak insan yüzdesi (Tablo-9)</t>
        </is>
      </c>
      <c r="B17" s="209">
        <f>IF(AND(LEFT($B$5,4)="Kamu",ISNUMBER($E$5),$E$5&gt;0,$E$5&lt;=1),$E$5,IF($B$6="Manuel k gerekli",IF(AND(ISNUMBER($E$5),$E$5&gt;0,$E$5&lt;=1),$E$5,"Manuel k gerekli"),IFERROR(INDEX('TABLO-9'!$D$2:$E$6,MATCH($B$6,'TABLO-9'!$A$2:$A$6,0),IF($B$8="Standart",1,2)),"Manuel k gerekli")))</f>
        <v/>
      </c>
    </row>
    <row r="18" ht="15" customHeight="1" s="138">
      <c r="A18" s="209" t="inlineStr">
        <is>
          <t>V = Kabin hızı (durak = N+1+bodrum, Tablo-2)</t>
        </is>
      </c>
      <c r="B18" s="209">
        <f>IF(AND(ISNUMBER($D$10),COUNTIF($H$86:$H$95,$D$10)=0),"Manuel V geçersiz — listeden seçin (0,63 / 1 / 1,6 / 1,75 / 2 / 2,5 / 3 / 3,5 / 5 / 6 m/s)",IF(ISNUMBER($D$10),$D$10,IF(ISNUMBER($H$98),$H$98,"Manuel hız gerekli")))</f>
        <v/>
      </c>
    </row>
    <row r="19" ht="15" customHeight="1" s="138">
      <c r="A19" s="209" t="inlineStr">
        <is>
          <t>tv = h / V (katlar arası geçiş)</t>
        </is>
      </c>
      <c r="B19" s="209">
        <f>IFERROR(B12/B18,"Manuel hız gerekli")</f>
        <v/>
      </c>
    </row>
    <row r="20" ht="15" customHeight="1" s="138">
      <c r="A20" s="209" t="inlineStr">
        <is>
          <t>tg = Tek kat geçme (Tablo-6, hıza bağlı)</t>
        </is>
      </c>
      <c r="B20" s="209">
        <f>IFERROR(IF(B18&lt;1,10,IF(B18=1,7,IF(B18=1.6,6,IF(B18=1.75,5.8875,IF(B18=2,5.7,IF(B18=2.5,5.5,IF(B18=3,5.25,IF(B18=3.5,5,IF(B18=5,4.5,IF(B18&gt;5,4.3,"Hız Tablo-6 dışı")))))))))),"Manuel hız gerekli")</f>
        <v/>
      </c>
    </row>
    <row r="21" ht="30" customHeight="1" s="138">
      <c r="A21" s="283" t="inlineStr">
        <is>
          <t>→ Asansör bazında BODRUM DURAĞI ve İMALATÇI SÜRELERİ (ta/tk/tg/tp) girişleri 99. satırdaki blokta yer alır; normal projede boş bırakılır.</t>
        </is>
      </c>
    </row>
    <row r="22" ht="15" customHeight="1" s="138">
      <c r="A22" s="208" t="inlineStr">
        <is>
          <t>ASANSÖR BAZINDA HESAP (kullanmadığın kolonu boş bırak)</t>
        </is>
      </c>
    </row>
    <row r="23" ht="15" customHeight="1" s="138">
      <c r="A23" s="209" t="n"/>
      <c r="B23" s="214" t="inlineStr">
        <is>
          <t>ASANSÖR-1</t>
        </is>
      </c>
      <c r="C23" s="214" t="inlineStr">
        <is>
          <t>ASANSÖR-2</t>
        </is>
      </c>
      <c r="D23" s="214" t="inlineStr">
        <is>
          <t>ASANSÖR-3</t>
        </is>
      </c>
      <c r="E23" s="214" t="inlineStr">
        <is>
          <t>ASANSÖR-4</t>
        </is>
      </c>
    </row>
    <row r="24" ht="15" customHeight="1" s="138">
      <c r="A24" s="209" t="inlineStr">
        <is>
          <t>⑧ Kabin kapasitesi P (kişi) — her asansör için ayrı</t>
        </is>
      </c>
      <c r="B24" s="210" t="n">
        <v>10</v>
      </c>
      <c r="C24" s="210" t="n">
        <v>16</v>
      </c>
      <c r="D24" s="210" t="n"/>
      <c r="E24" s="210" t="n"/>
    </row>
    <row r="25" ht="15" customHeight="1" s="138">
      <c r="A25" s="209" t="inlineStr">
        <is>
          <t>⑨ Kapı genişliği (mm) — ta/tk + güncel tp</t>
        </is>
      </c>
      <c r="B25" s="210" t="n">
        <v>900</v>
      </c>
      <c r="C25" s="210" t="n">
        <v>1100</v>
      </c>
      <c r="D25" s="210" t="n"/>
      <c r="E25" s="210" t="n"/>
    </row>
    <row r="26" ht="15" customHeight="1" s="138">
      <c r="A26" s="209" t="inlineStr">
        <is>
          <t>⑩ Kapı tipi</t>
        </is>
      </c>
      <c r="B26" s="210" t="inlineStr">
        <is>
          <t>Teleskopik Otomatik</t>
        </is>
      </c>
      <c r="C26" s="210" t="inlineStr">
        <is>
          <t>Teleskopik Otomatik</t>
        </is>
      </c>
      <c r="D26" s="210" t="n"/>
      <c r="E26" s="210" t="n"/>
    </row>
    <row r="27" ht="15" customHeight="1" s="138">
      <c r="A27" s="209" t="inlineStr">
        <is>
          <t>p = 0,8 × P</t>
        </is>
      </c>
      <c r="B27" s="209">
        <f>IF(B24="","",0.8*B24)</f>
        <v/>
      </c>
      <c r="C27" s="209">
        <f>IF(C24="","",0.8*C24)</f>
        <v/>
      </c>
      <c r="D27" s="209">
        <f>IF(D24="","",0.8*D24)</f>
        <v/>
      </c>
      <c r="E27" s="209">
        <f>IF(E24="","",0.8*E24)</f>
        <v/>
      </c>
    </row>
    <row r="28" ht="15" customHeight="1" s="138">
      <c r="A28" s="209" t="inlineStr">
        <is>
          <t>H = Ort. en yüksek dönüş katı (Tablo-3)</t>
        </is>
      </c>
      <c r="B28" s="215">
        <f>IF(B24="","",IF(NOT(ISNUMBER(B60)),"Durak geçersiz",IFERROR(INDEX('TABLO-3'!$B$3:$AD$32,MATCH(B60,'TABLO-3'!$A$3:$A$32,0),MATCH(VALUE(B24),'TABLO-3'!$B$2:$AD$2,0)),"P/N aralık dışı")))</f>
        <v/>
      </c>
      <c r="C28" s="215">
        <f>IF(C24="","",IF(NOT(ISNUMBER(C60)),"Durak geçersiz",IFERROR(INDEX('TABLO-3'!$B$3:$AD$32,MATCH(C60,'TABLO-3'!$A$3:$A$32,0),MATCH(VALUE(C24),'TABLO-3'!$B$2:$AD$2,0)),"P/N aralık dışı")))</f>
        <v/>
      </c>
      <c r="D28" s="209">
        <f>IF(D24="","",IF(NOT(ISNUMBER(D60)),"Durak geçersiz",IFERROR(INDEX('TABLO-3'!$B$3:$AD$32,MATCH(D60,'TABLO-3'!$A$3:$A$32,0),MATCH(VALUE(D24),'TABLO-3'!$B$2:$AD$2,0)),"P/N aralık dışı")))</f>
        <v/>
      </c>
      <c r="E28" s="209">
        <f>IF(E24="","",IF(NOT(ISNUMBER(E60)),"Durak geçersiz",IFERROR(INDEX('TABLO-3'!$B$3:$AD$32,MATCH(E60,'TABLO-3'!$A$3:$A$32,0),MATCH(VALUE(E24),'TABLO-3'!$B$2:$AD$2,0)),"P/N aralık dışı")))</f>
        <v/>
      </c>
    </row>
    <row r="29" ht="15" customHeight="1" s="138">
      <c r="A29" s="209" t="inlineStr">
        <is>
          <t>S = Ort. durak adedi (Tablo-5)</t>
        </is>
      </c>
      <c r="B29" s="215">
        <f>IF(B24="","",IF(NOT(ISNUMBER(B60)),"Durak geçersiz",IFERROR(INDEX('TABLO-5'!$B$3:$AD$32,MATCH(B60,'TABLO-5'!$A$3:$A$32,0),MATCH(VALUE(B24),'TABLO-5'!$B$2:$AD$2,0)),"P/N aralık dışı")))</f>
        <v/>
      </c>
      <c r="C29" s="215">
        <f>IF(C24="","",IF(NOT(ISNUMBER(C60)),"Durak geçersiz",IFERROR(INDEX('TABLO-5'!$B$3:$AD$32,MATCH(C60,'TABLO-5'!$A$3:$A$32,0),MATCH(VALUE(C24),'TABLO-5'!$B$2:$AD$2,0)),"P/N aralık dışı")))</f>
        <v/>
      </c>
      <c r="D29" s="209">
        <f>IF(D24="","",IF(NOT(ISNUMBER(D60)),"Durak geçersiz",IFERROR(INDEX('TABLO-5'!$B$3:$AD$32,MATCH(D60,'TABLO-5'!$A$3:$A$32,0),MATCH(VALUE(D24),'TABLO-5'!$B$2:$AD$2,0)),"P/N aralık dışı")))</f>
        <v/>
      </c>
      <c r="E29" s="209">
        <f>IF(E24="","",IF(NOT(ISNUMBER(E60)),"Durak geçersiz",IFERROR(INDEX('TABLO-5'!$B$3:$AD$32,MATCH(E60,'TABLO-5'!$A$3:$A$32,0),MATCH(VALUE(E24),'TABLO-5'!$B$2:$AD$2,0)),"P/N aralık dışı")))</f>
        <v/>
      </c>
    </row>
    <row r="30" ht="15" customHeight="1" s="138">
      <c r="A30" s="209" t="inlineStr">
        <is>
          <t>ta = Kapı açılma (Tablo-4)</t>
        </is>
      </c>
      <c r="B30" s="209">
        <f>IF(B24="","",IF(ISNUMBER(B102),B102,IFERROR(INDEX('TABLO-4'!$I$4:$N$10,MATCH(VALUE(B25),'TABLO-4'!$A$4:$A$10,0),IF(B26="Teleskopik Otomatik",1,IF(OR(B26="Merkezden Açılan Oto.",B26="Merkezden Açılan Otomatik"),3,5))),"Veri yok")))</f>
        <v/>
      </c>
      <c r="C30" s="209">
        <f>IF(C24="","",IF(ISNUMBER(C102),C102,IFERROR(INDEX('TABLO-4'!$I$4:$N$10,MATCH(VALUE(C25),'TABLO-4'!$A$4:$A$10,0),IF(C26="Teleskopik Otomatik",1,IF(OR(C26="Merkezden Açılan Oto.",C26="Merkezden Açılan Otomatik"),3,5))),"Veri yok")))</f>
        <v/>
      </c>
      <c r="D30" s="209">
        <f>IF(D24="","",IF(ISNUMBER(D102),D102,IFERROR(INDEX('TABLO-4'!$I$4:$N$10,MATCH(VALUE(D25),'TABLO-4'!$A$4:$A$10,0),IF(D26="Teleskopik Otomatik",1,IF(OR(D26="Merkezden Açılan Oto.",D26="Merkezden Açılan Otomatik"),3,5))),"Veri yok")))</f>
        <v/>
      </c>
      <c r="E30" s="209">
        <f>IF(E24="","",IF(ISNUMBER(E102),E102,IFERROR(INDEX('TABLO-4'!$I$4:$N$10,MATCH(VALUE(E25),'TABLO-4'!$A$4:$A$10,0),IF(E26="Teleskopik Otomatik",1,IF(OR(E26="Merkezden Açılan Oto.",E26="Merkezden Açılan Otomatik"),3,5))),"Veri yok")))</f>
        <v/>
      </c>
    </row>
    <row r="31" ht="15" customHeight="1" s="138">
      <c r="A31" s="209" t="inlineStr">
        <is>
          <t>tk = Kapı kapanma (Tablo-4)</t>
        </is>
      </c>
      <c r="B31" s="209">
        <f>IF(B24="","",IF(ISNUMBER(B103),B103,IFERROR(INDEX('TABLO-4'!$I$4:$N$10,MATCH(VALUE(B25),'TABLO-4'!$A$4:$A$10,0),IF(B26="Teleskopik Otomatik",2,IF(OR(B26="Merkezden Açılan Oto.",B26="Merkezden Açılan Otomatik"),4,6))),"Veri yok")))</f>
        <v/>
      </c>
      <c r="C31" s="209">
        <f>IF(C24="","",IF(ISNUMBER(C103),C103,IFERROR(INDEX('TABLO-4'!$I$4:$N$10,MATCH(VALUE(C25),'TABLO-4'!$A$4:$A$10,0),IF(C26="Teleskopik Otomatik",2,IF(OR(C26="Merkezden Açılan Oto.",C26="Merkezden Açılan Otomatik"),4,6))),"Veri yok")))</f>
        <v/>
      </c>
      <c r="D31" s="209">
        <f>IF(D24="","",IF(ISNUMBER(D103),D103,IFERROR(INDEX('TABLO-4'!$I$4:$N$10,MATCH(VALUE(D25),'TABLO-4'!$A$4:$A$10,0),IF(D26="Teleskopik Otomatik",2,IF(OR(D26="Merkezden Açılan Oto.",D26="Merkezden Açılan Otomatik"),4,6))),"Veri yok")))</f>
        <v/>
      </c>
      <c r="E31" s="209">
        <f>IF(E24="","",IF(ISNUMBER(E103),E103,IFERROR(INDEX('TABLO-4'!$I$4:$N$10,MATCH(VALUE(E25),'TABLO-4'!$A$4:$A$10,0),IF(E26="Teleskopik Otomatik",2,IF(OR(E26="Merkezden Açılan Oto.",E26="Merkezden Açılan Otomatik"),4,6))),"Veri yok")))</f>
        <v/>
      </c>
    </row>
    <row r="32" ht="15" customHeight="1" s="138">
      <c r="A32" s="209" t="inlineStr">
        <is>
          <t>tg = Tek kat geçme (asansör bazında, Tablo-6)</t>
        </is>
      </c>
      <c r="B32" s="209">
        <f>IF(B24="","",IF(ISNUMBER(B104),B104,IF(B57&lt;1,10,IF(B57=1,7,IF(B57=1.6,6,IF(B57=1.75,5.8875,IF(B57=2,5.7,IF(B57=2.5,5.5,IF(B57=3,5.25,IF(B57=3.5,5,IF(B57=5,4.5,IF(B57&gt;5,4.3,"Hız Tablo-6 dışı"))))))))))))</f>
        <v/>
      </c>
      <c r="C32" s="209">
        <f>IF(C24="","",IF(ISNUMBER(C104),C104,IF(C57&lt;1,10,IF(C57=1,7,IF(C57=1.6,6,IF(C57=1.75,5.8875,IF(C57=2,5.7,IF(C57=2.5,5.5,IF(C57=3,5.25,IF(C57=3.5,5,IF(C57=5,4.5,IF(C57&gt;5,4.3,"Hız Tablo-6 dışı"))))))))))))</f>
        <v/>
      </c>
      <c r="D32" s="209">
        <f>IF(D24="","",IF(ISNUMBER(D104),D104,IF(D57&lt;1,10,IF(D57=1,7,IF(D57=1.6,6,IF(D57=1.75,5.8875,IF(D57=2,5.7,IF(D57=2.5,5.5,IF(D57=3,5.25,IF(D57=3.5,5,IF(D57=5,4.5,IF(D57&gt;5,4.3,"Hız Tablo-6 dışı"))))))))))))</f>
        <v/>
      </c>
      <c r="E32" s="209">
        <f>IF(E24="","",IF(ISNUMBER(E104),E104,IF(E57&lt;1,10,IF(E57=1,7,IF(E57=1.6,6,IF(E57=1.75,5.8875,IF(E57=2,5.7,IF(E57=2.5,5.5,IF(E57=3,5.25,IF(E57=3.5,5,IF(E57=5,4.5,IF(E57&gt;5,4.3,"Hız Tablo-6 dışı"))))))))))))</f>
        <v/>
      </c>
    </row>
    <row r="33" ht="15" customHeight="1" s="138">
      <c r="A33" s="209" t="inlineStr">
        <is>
          <t>tp = Kişi transfer (Tablo-8)</t>
        </is>
      </c>
      <c r="B33" s="216">
        <f>IF(B24="","",IF(ISNUMBER(B105),B105,IFERROR(INDEX('TABLO-8'!$B$2:$H$2,1,MATCH(VALUE(B25),'TABLO-8'!$B$1:$H$1,0)),"tp verisi yok")))</f>
        <v/>
      </c>
      <c r="C33" s="216">
        <f>IF(C24="","",IF(ISNUMBER(C105),C105,IFERROR(INDEX('TABLO-8'!$B$2:$H$2,1,MATCH(VALUE(C25),'TABLO-8'!$B$1:$H$1,0)),"tp verisi yok")))</f>
        <v/>
      </c>
      <c r="D33" s="209">
        <f>IF(D24="","",IF(ISNUMBER(D105),D105,IFERROR(INDEX('TABLO-8'!$B$2:$H$2,1,MATCH(VALUE(D25),'TABLO-8'!$B$1:$H$1,0)),"tp verisi yok")))</f>
        <v/>
      </c>
      <c r="E33" s="209">
        <f>IF(E24="","",IF(ISNUMBER(E105),E105,IFERROR(INDEX('TABLO-8'!$B$2:$H$2,1,MATCH(VALUE(E25),'TABLO-8'!$B$1:$H$1,0)),"tp verisi yok")))</f>
        <v/>
      </c>
    </row>
    <row r="34" ht="15" customHeight="1" s="138">
      <c r="A34" s="209" t="inlineStr">
        <is>
          <t>tv = h/V (ortak)</t>
        </is>
      </c>
      <c r="B34" s="209">
        <f>IF(B24="","",IFERROR(IF(B62="",$B$12,B62)/B57,"Hız geçersiz"))</f>
        <v/>
      </c>
      <c r="C34" s="209">
        <f>IF(C24="","",IFERROR(IF(C62="",$B$12,C62)/C57,"Hız geçersiz"))</f>
        <v/>
      </c>
      <c r="D34" s="209">
        <f>IF(D24="","",IFERROR(IF(D62="",$B$12,D62)/D57,"Hız geçersiz"))</f>
        <v/>
      </c>
      <c r="E34" s="209">
        <f>IF(E24="","",IFERROR(IF(E62="",$B$12,E62)/E57,"Hız geçersiz"))</f>
        <v/>
      </c>
    </row>
    <row r="35" ht="15" customHeight="1" s="138">
      <c r="A35" s="209" t="inlineStr">
        <is>
          <t>ts = ta+tk+tg−tv</t>
        </is>
      </c>
      <c r="B35" s="209">
        <f>IF(B24="","",IFERROR(B30+B31+B32-B34,"?"))</f>
        <v/>
      </c>
      <c r="C35" s="209">
        <f>IF(C24="","",IFERROR(C30+C31+C32-C34,"?"))</f>
        <v/>
      </c>
      <c r="D35" s="209">
        <f>IF(D24="","",IFERROR(D30+D31+D32-D34,"?"))</f>
        <v/>
      </c>
      <c r="E35" s="209">
        <f>IF(E24="","",IFERROR(E30+E31+E32-E34,"?"))</f>
        <v/>
      </c>
    </row>
    <row r="36" ht="15" customHeight="1" s="138">
      <c r="A36" s="217" t="inlineStr">
        <is>
          <t>TR = 2·H·tv+(S+1)·ts+2·p·tp</t>
        </is>
      </c>
      <c r="B36" s="218">
        <f>IF(B24="","",IFERROR(2*B28*B34+(B29+1)*B35+2*B27*B33,"?"))</f>
        <v/>
      </c>
      <c r="C36" s="218">
        <f>IF(C24="","",IFERROR(2*C28*C34+(C29+1)*C35+2*C27*C33,"?"))</f>
        <v/>
      </c>
      <c r="D36" s="218">
        <f>IF(D24="","",IFERROR(2*D28*D34+(D29+1)*D35+2*D27*D33,"?"))</f>
        <v/>
      </c>
      <c r="E36" s="218">
        <f>IF(E24="","",IFERROR(2*E28*E34+(E29+1)*E35+2*E27*E33,"?"))</f>
        <v/>
      </c>
    </row>
    <row r="37" ht="15" customHeight="1" s="138">
      <c r="A37" s="217" t="inlineStr">
        <is>
          <t>R = 5·60·p/TR (5 dk taşıma)</t>
        </is>
      </c>
      <c r="B37" s="218">
        <f>IF(B24="","",IFERROR(5*60*B27/B36,"?"))</f>
        <v/>
      </c>
      <c r="C37" s="218">
        <f>IF(C24="","",IFERROR(5*60*C27/C36,"?"))</f>
        <v/>
      </c>
      <c r="D37" s="218">
        <f>IF(D24="","",IFERROR(5*60*D27/D36,"?"))</f>
        <v/>
      </c>
      <c r="E37" s="218">
        <f>IF(E24="","",IFERROR(5*60*E27/E36,"?"))</f>
        <v/>
      </c>
    </row>
    <row r="38" ht="15" customHeight="1" s="138">
      <c r="A38" s="136" t="inlineStr">
        <is>
          <t>Beyan yükü karşılığı (kg, otomatik)</t>
        </is>
      </c>
      <c r="B38" s="136">
        <f>IF(B24="","",IF(B24=6,450,IF(B24=8,630,IF(B24=10,800,IF(B24=13,1000,IF(B24=15,1125,IF(B24=16,1275,IF(B24=20,1600,IF(B24=25,2000,IF(B24=30,2500,B24*75))))))))))</f>
        <v/>
      </c>
      <c r="C38" s="136">
        <f>IF(C24="","",IF(C24=6,450,IF(C24=8,630,IF(C24=10,800,IF(C24=13,1000,IF(C24=15,1125,IF(C24=16,1275,IF(C24=20,1600,IF(C24=25,2000,IF(C24=30,2500,C24*75))))))))))</f>
        <v/>
      </c>
      <c r="D38" s="136">
        <f>IF(D24="","",IF(D24=6,450,IF(D24=8,630,IF(D24=10,800,IF(D24=13,1000,IF(D24=15,1125,IF(D24=16,1275,IF(D24=20,1600,IF(D24=25,2000,IF(D24=30,2500,D24*75))))))))))</f>
        <v/>
      </c>
      <c r="E38" s="136">
        <f>IF(E24="","",IF(E24=6,450,IF(E24=8,630,IF(E24=10,800,IF(E24=13,1000,IF(E24=15,1125,IF(E24=16,1275,IF(E24=20,1600,IF(E24=25,2000,IF(E24=30,2500,E24*75))))))))))</f>
        <v/>
      </c>
    </row>
    <row r="39" ht="15" customHeight="1" s="138">
      <c r="A39" s="208" t="inlineStr">
        <is>
          <t>GRUP KONTROLÜ (MMO/697 s.12)</t>
        </is>
      </c>
    </row>
    <row r="40" ht="15" customHeight="1" s="138">
      <c r="A40" s="209" t="inlineStr">
        <is>
          <t>Reş = ΣR  (grubun 5 dk taşıma kapasitesi)</t>
        </is>
      </c>
      <c r="B40" s="218">
        <f>IF($B$47&lt;&gt;"OK","HESAP HATASI",SUM(B37:E37))</f>
        <v/>
      </c>
      <c r="C40" s="209" t="inlineStr">
        <is>
          <t>kişi/5dk</t>
        </is>
      </c>
    </row>
    <row r="41" ht="15" customHeight="1" s="138">
      <c r="A41" s="209" t="inlineStr">
        <is>
          <t>Gereken = B × k  (Reş bunu ≥ karşılamalı)</t>
        </is>
      </c>
      <c r="B41" s="209">
        <f>$B$16*$B$17</f>
        <v/>
      </c>
      <c r="C41" s="209" t="inlineStr">
        <is>
          <t>kişi/5dk</t>
        </is>
      </c>
    </row>
    <row r="42" ht="15" customHeight="1" s="138">
      <c r="A42" s="209" t="inlineStr">
        <is>
          <t>1/TReş = Σ(1/TR)</t>
        </is>
      </c>
      <c r="B42" s="209">
        <f>IF($B$47&lt;&gt;"OK","HESAP HATASI",IF(ISNUMBER(B36),1/B36,0)+IF(ISNUMBER(C36),1/C36,0)+IF(ISNUMBER(D36),1/D36,0)+IF(ISNUMBER(E36),1/E36,0))</f>
        <v/>
      </c>
      <c r="C42" s="209" t="inlineStr">
        <is>
          <t>1/s</t>
        </is>
      </c>
    </row>
    <row r="43" ht="15" customHeight="1" s="138">
      <c r="A43" s="209" t="inlineStr">
        <is>
          <t>TReş = grup efektif tur süresi (= Ieer)</t>
        </is>
      </c>
      <c r="B43" s="218">
        <f>IF($B$47&lt;&gt;"OK","HESAP HATASI",IFERROR(1/B42,"HESAP HATASI"))</f>
        <v/>
      </c>
      <c r="C43" s="209" t="inlineStr">
        <is>
          <t>s</t>
        </is>
      </c>
    </row>
    <row r="44" ht="15" customHeight="1" s="138">
      <c r="A44" s="209" t="inlineStr">
        <is>
          <t>Izul = İzin verilen bekleme (Tablo-10)</t>
        </is>
      </c>
      <c r="B44" s="209">
        <f>IFERROR(IF($B$8="Yükseltilmiş",INDEX('TABLO-10'!$H$2:$H$11,MATCH($B$5,'TABLO-10'!$A$2:$A$11,0)),INDEX('TABLO-10'!$G$2:$G$11,MATCH($B$5,'TABLO-10'!$A$2:$A$11,0))),"?")</f>
        <v/>
      </c>
      <c r="C44" s="209" t="inlineStr">
        <is>
          <t>s</t>
        </is>
      </c>
    </row>
    <row r="45" ht="15" customHeight="1" s="138">
      <c r="A45" s="209" t="inlineStr">
        <is>
          <t>Kullanılan asansör adedi (n)</t>
        </is>
      </c>
      <c r="B45" s="209">
        <f>COUNT(B24:E24)</f>
        <v/>
      </c>
    </row>
    <row r="46" ht="15.75" customHeight="1" s="138">
      <c r="A46" s="217" t="inlineStr">
        <is>
          <t>SONUÇ (kitap: Reş ≥ B·k  VE  TReş ≤ Izul)</t>
        </is>
      </c>
      <c r="B46" s="219">
        <f>IF($B$47&lt;&gt;"OK",$B$47,IF(B40&lt;B41,"YETERSİZ — taşıma kapasitesi düşük (Reş&lt;B·k)",IF(B43&lt;=B44,"UYGUN — Reş≥B·k ve TReş≤Izul sağlanıyor",IF(AND(ISNUMBER(B50),B43&lt;=B50),"ŞARTLI KABUL — taahhütname ile","KABUL EDİLEMEZ — bekleme süresi şartlı sınırı aşıyor"))))</f>
        <v/>
      </c>
      <c r="C46" s="140" t="n"/>
      <c r="D46" s="140" t="n"/>
      <c r="E46" s="141" t="n"/>
      <c r="H46" s="137" t="inlineStr">
        <is>
          <t>yardımcı (gizli): tablo kapsamı dışı girdiler için ayrıntılı tanı mesajı</t>
        </is>
      </c>
    </row>
    <row r="47" ht="17.25" customHeight="1" s="138">
      <c r="A47" s="213" t="inlineStr">
        <is>
          <t>Aktif asansör satırı kontrolü</t>
        </is>
      </c>
      <c r="B47" s="213">
        <f>IF($H$47&lt;&gt;"",$H$47,IF(OR(AND($B$5="Konut",OR(AND(ISNUMBER($B$10),$B$10&gt;2000),AND(ISNUMBER($B$11),$B$11&gt;20))),AND(OR(LEFT($B$5,4)="Otel",$B$5="Hastane"),AND(ISNUMBER($B$10),$B$10&gt;20000)),AND($B$5="Katlı Otopark",OR(AND(ISNUMBER($B$10),$B$10&gt;20000),AND(ISNUMBER($B$11),$B$11&gt;20000)))),"HESAP HATASI: ⑤/⑥ değeri olağandışı — ondalık yazarken NOKTA değil VİRGÜL kullanın (nokta tarihe dönüşür, örn. 17.1 → 46039)",IF(OR(NOT(ISNUMBER($B$14)),$B$14&lt;=0),"HESAP HATASI: Nüfus girilmedi — 10-11. satırdaki ⑤/⑥ kutularını doldurun",IF(OR(AND(B62&lt;&gt;"",NOT(ISNUMBER(B62))),AND(C62&lt;&gt;"",NOT(ISNUMBER(C62))),AND(D62&lt;&gt;"",NOT(ISNUMBER(D62))),AND(E62&lt;&gt;"",NOT(ISNUMBER(E62)))),"HESAP HATASI: 62. satırdaki kat yüksekliği sayı olmalı (veya boş)",IF(COUNT(B24:E24)=0,"HESAP HATASI: en az bir asansör girin",IF(OR(AND(B24&lt;&gt;"",NOT(ISNUMBER(B60))),AND(C24&lt;&gt;"",NOT(ISNUMBER(C60))),AND(D24&lt;&gt;"",NOT(ISNUMBER(D60))),AND(E24&lt;&gt;"",NOT(ISNUMBER(E60)))),"HESAP HATASI: durak sayısı geçersiz — 59. satıra 2 ile ortak durak sayısı (N+1) arasında tam sayı girin veya hücreyi boş bırakın",IF(MAX(N(B60),N(C60),N(D60),N(E60))&lt;&gt;$B$9,"HESAP HATASI: B9, aktif asansörlerin en yüksek durak sayısına göre girilmelidir",IF(AND(B6&lt;&gt;"Manuel k gerekli",LEFT($B$5,4)&lt;&gt;"Kamu",E5&lt;&gt;""),"HESAP HATASI: Tablo-9 varken manuel k girilemez",IF(FALSE(),"HESAP HATASI: Tablo-2 hızı belirliyken ortak manuel V girilmez — hız yükseltmek için 56. satırdaki asansör bazında V hücrelerini kullanın",IF(OR(NOT(ISNUMBER(D8)),D8&lt;0,NOT(ISNUMBER(D9)),D9&lt;0,NOT(ISNUMBER(B9)),B9&lt;1,B9&gt;30,NOT(ISNUMBER(B12)),B12&lt;=0,B12&gt;10,NOT(ISNUMBER(B14)),B14&lt;=0,NOT(ISNUMBER(B16)),B16&lt;=0,NOT(ISNUMBER(B17)),B17&lt;=0,B17&gt;1,AND(B6="Manuel k gerekli",OR(NOT(ISNUMBER(E5)),E5&lt;=0,E5&gt;1)),AND(B24&lt;&gt;"",OR(NOT(OR(B24=6,B24=8,B24=10,B24=13,B24=15,B24=16,B24=20,B24=25,B24=30)),NOT(OR(B25=700,B25=800,B25=900,B25=1000,B25=1100,B25=1200,B25=1300)),NOT(OR(B26="Teleskopik Otomatik",B26="Merkezden Açılan Oto.",B26="Merkezden Açılan Otomatik",B26="Kabin İçi Oto. Kat K.Ç.")),NOT(ISNUMBER(B28)),NOT(ISNUMBER(B29)),NOT(ISNUMBER(B30)),NOT(ISNUMBER(B31)),NOT(ISNUMBER(B32)),NOT(ISNUMBER(B33)),NOT(ISNUMBER(B34)),NOT(ISNUMBER(B35)),NOT(ISNUMBER(B36)),B36&lt;=0,NOT(ISNUMBER(B37)),B37&lt;=0,NOT(ISNUMBER(B57)),B57&lt;=0)),AND(C24&lt;&gt;"",OR(NOT(OR(C24=6,C24=8,C24=10,C24=13,C24=15,C24=16,C24=20,C24=25,C24=30)),NOT(OR(C25=700,C25=800,C25=900,C25=1000,C25=1100,C25=1200,C25=1300)),NOT(OR(C26="Teleskopik Otomatik",C26="Merkezden Açılan Oto.",C26="Merkezden Açılan Otomatik",C26="Kabin İçi Oto. Kat K.Ç.")),NOT(ISNUMBER(C28)),NOT(ISNUMBER(C29)),NOT(ISNUMBER(C30)),NOT(ISNUMBER(C31)),NOT(ISNUMBER(C32)),NOT(ISNUMBER(C33)),NOT(ISNUMBER(C34)),NOT(ISNUMBER(C35)),NOT(ISNUMBER(C36)),C36&lt;=0,NOT(ISNUMBER(C37)),C37&lt;=0,NOT(ISNUMBER(C57)),C57&lt;=0)),AND(D24&lt;&gt;"",OR(NOT(OR(D24=6,D24=8,D24=10,D24=13,D24=15,D24=16,D24=20,D24=25,D24=30)),NOT(OR(D25=700,D25=800,D25=900,D25=1000,D25=1100,D25=1200,D25=1300)),NOT(OR(D26="Teleskopik Otomatik",D26="Merkezden Açılan Oto.",D26="Merkezden Açılan Otomatik",D26="Kabin İçi Oto. Kat K.Ç.")),NOT(ISNUMBER(D28)),NOT(ISNUMBER(D29)),NOT(ISNUMBER(D30)),NOT(ISNUMBER(D31)),NOT(ISNUMBER(D32)),NOT(ISNUMBER(D33)),NOT(ISNUMBER(D34)),NOT(ISNUMBER(D35)),NOT(ISNUMBER(D36)),D36&lt;=0,NOT(ISNUMBER(D37)),D37&lt;=0,NOT(ISNUMBER(D57)),D57&lt;=0)),AND(E24&lt;&gt;"",OR(NOT(OR(E24=6,E24=8,E24=10,E24=13,E24=15,E24=16,E24=20,E24=25,E24=30)),NOT(OR(E25=700,E25=800,E25=900,E25=1000,E25=1100,E25=1200,E25=1300)),NOT(OR(E26="Teleskopik Otomatik",E26="Merkezden Açılan Oto.",E26="Merkezden Açılan Otomatik",E26="Kabin İçi Oto. Kat K.Ç.")),NOT(ISNUMBER(E28)),NOT(ISNUMBER(E29)),NOT(ISNUMBER(E30)),NOT(ISNUMBER(E31)),NOT(ISNUMBER(E32)),NOT(ISNUMBER(E33)),NOT(ISNUMBER(E34)),NOT(ISNUMBER(E35)),NOT(ISNUMBER(E36)),E36&lt;=0,NOT(ISNUMBER(E37)),E37&lt;=0,NOT(ISNUMBER(E57)),E57&lt;=0))),"HESAP HATASI: ortak bina veya aktif asansör girdisi geçersiz","OK"))))))))))</f>
        <v/>
      </c>
      <c r="C47" s="213" t="n"/>
      <c r="D47" s="213" t="n"/>
      <c r="E47" s="213" t="n"/>
      <c r="H47" s="137">
        <f>IF(OR(AND($B$13&lt;&gt;"",OR(NOT(ISNUMBER($B$13)),$B$13&lt;0,$B$13&gt;10,$B$13&lt;&gt;INT($B$13))),COUNTIF($B$101:$E$101,"Bodrum geçersiz")&gt;0),"HESAP HATASI: bodrum durak adedi 0 ile 10 arasında tam sayı olmalıdır (ana giriş altında hizmet verilen durak adedi).",IF(AND(ISNUMBER($B$9),$B$9&gt;30),"HESAP HATASI: N = "&amp;$B$9&amp;" &gt; 30. MMO/697 Tablo-3 ve Tablo-5 en fazla 30 katı kapsar; bu yükseklikte bölgeli (zoned) trafik hesabı gerekir.",IF(OR(AND($B$24&lt;&gt;"",OR(NOT(ISNUMBER($B$30)),NOT(ISNUMBER($B$31)))),AND($C$24&lt;&gt;"",OR(NOT(ISNUMBER($C$30)),NOT(ISNUMBER($C$31)))),AND($D$24&lt;&gt;"",OR(NOT(ISNUMBER($D$30)),NOT(ISNUMBER($D$31)))),AND($E$24&lt;&gt;"",OR(NOT(ISNUMBER($E$30)),NOT(ISNUMBER($E$31))))),"HESAP HATASI: En az bir asansörün kapı genişliği/tipi için MMO Tablo-4'te ta-tk değeri yok. 25. ve 26. satırı kontrol edin — 'Kabin İçi Oto. Kat K.Ç.' kapı tipi 1200 ve 1300 mm'de tabloda bulunmaz; bu durumda 102-103. satırlara imalatçı değerini girin.",IF(OR(AND($B$24&lt;&gt;"",NOT(ISNUMBER($B$33))),AND($C$24&lt;&gt;"",NOT(ISNUMBER($C$33))),AND($D$24&lt;&gt;"",NOT(ISNUMBER($D$33))),AND($E$24&lt;&gt;"",NOT(ISNUMBER($E$33)))),"HESAP HATASI: En az bir asansörün kapı genişliği için Tablo-8'de tp değeri yok 105. satıra imalatçı değerini girin. 25. satırı kontrol edin.",IF(OR(AND($B$24&lt;&gt;"",NOT(ISNUMBER($B$32))),AND($C$24&lt;&gt;"",NOT(ISNUMBER($C$32))),AND($D$24&lt;&gt;"",NOT(ISNUMBER($D$32))),AND($E$24&lt;&gt;"",NOT(ISNUMBER($E$32)))),"HESAP HATASI: En az bir asansörün hızı için Tablo-6'da tg değeri yok. 56. satırı kontrol edin.","")))))</f>
        <v/>
      </c>
    </row>
    <row r="48" ht="15" customHeight="1" s="138">
      <c r="A48" s="136" t="inlineStr">
        <is>
          <t>Özet:</t>
        </is>
      </c>
      <c r="B48" s="136">
        <f>IF($B$47&lt;&gt;"OK",$B$47,"Reş="&amp;INT(ROUND(B40,1))&amp;","&amp;TEXT(MOD(ROUND(B40*10,0),10),"0")&amp;" ≥ "&amp;INT(ROUND(B41,1))&amp;","&amp;TEXT(MOD(ROUND(B41*10,0),10),"0")&amp;"  |  TReş="&amp;INT(ROUND(B43,1))&amp;","&amp;TEXT(MOD(ROUND(B43*10,0),10),"0")&amp;" s; kriter="&amp;B44&amp;" s; şartlı sınır="&amp;B50&amp;" s")</f>
        <v/>
      </c>
    </row>
    <row r="49">
      <c r="A49" s="136">
        <f>IF(COUNT(B102:E105)=0,"","⚠ "&amp;COUNT(B102:E105)&amp;" adet süre imalatçı verisiyle değiştirildi (MMO Tablo-4/6/8 yerine). Paftada marka-model ve teknik föy referansı belirtilmelidir.")</f>
        <v/>
      </c>
    </row>
    <row r="50" ht="15" customHeight="1" s="138">
      <c r="A50" s="136" t="inlineStr">
        <is>
          <t>Şartlı Kabul eşiği (Tablo-10, seçilen sınıf)</t>
        </is>
      </c>
      <c r="B50" s="136">
        <f>IFERROR(INDEX('TABLO-10'!$F$2:$F$11,MATCH($B$5,'TABLO-10'!$A$2:$A$11,0)),"Yok")</f>
        <v/>
      </c>
      <c r="C50" s="136" t="inlineStr">
        <is>
          <t>s</t>
        </is>
      </c>
    </row>
    <row r="51" ht="15" customHeight="1" s="138">
      <c r="A51" s="136" t="inlineStr">
        <is>
          <t>Standart eşiği (Tablo-10)</t>
        </is>
      </c>
      <c r="B51" s="136">
        <f>IFERROR(INDEX('TABLO-10'!$G$2:$G$11,MATCH($B$5,'TABLO-10'!$A$2:$A$11,0)),"?")</f>
        <v/>
      </c>
      <c r="C51" s="136" t="inlineStr">
        <is>
          <t>s</t>
        </is>
      </c>
    </row>
    <row r="52" ht="15" customHeight="1" s="138">
      <c r="A52" s="136" t="inlineStr">
        <is>
          <t>Yükseltilmiş Standart eşiği (Tablo-10)</t>
        </is>
      </c>
      <c r="B52" s="136">
        <f>IFERROR(INDEX('TABLO-10'!$H$2:$H$11,MATCH($B$5,'TABLO-10'!$A$2:$A$11,0)),"?")</f>
        <v/>
      </c>
      <c r="C52" s="136" t="inlineStr">
        <is>
          <t>s</t>
        </is>
      </c>
    </row>
    <row r="53" ht="15.75" customHeight="1" s="138">
      <c r="A53" s="159" t="inlineStr">
        <is>
          <t>SONUÇ (kademeli — TReş / Tablo-10)</t>
        </is>
      </c>
      <c r="B53" s="220">
        <f>IF($B$47&lt;&gt;"OK",$B$47,IF(B40&lt;B41,"YETERSİZ — taşıma kapasitesi düşük (Reş&lt;B·k)",IF(B43&lt;=B44,$B$8&amp;" kriteri karşılanıyor",IF(AND(ISNUMBER(B50),B43&lt;=B50),"Şartlı Kabul (taahhütname ile)","Kabul Edilmez — bekleme süresi şartlı sınırı aşıyor"))))</f>
        <v/>
      </c>
    </row>
    <row r="54" ht="47.25" customHeight="1" s="138">
      <c r="A54" s="159" t="inlineStr">
        <is>
          <t>Pafta özet satırı</t>
        </is>
      </c>
      <c r="B54" s="213">
        <f>IF($B$47&lt;&gt;"OK",$B$47,"  "&amp;TRIM(IF(B24&lt;&gt;"","1 adet "&amp;B24&amp;" kişilik "&amp;IF(ISNUMBER(B57),INT(ROUND(B57,2))&amp;","&amp;TEXT(MOD(ROUND(B57*100,0),100),"00"),B57)&amp;" m/s ","")&amp;IF(C24&lt;&gt;"","+ 1 adet "&amp;C24&amp;" kişilik "&amp;IF(ISNUMBER(C57),INT(ROUND(C57,2))&amp;","&amp;TEXT(MOD(ROUND(C57*100,0),100),"00"),C57)&amp;" m/s ","")&amp;IF(D24&lt;&gt;"","+ 1 adet "&amp;D24&amp;" kişilik "&amp;IF(ISNUMBER(D57),INT(ROUND(D57,2))&amp;","&amp;TEXT(MOD(ROUND(D57*100,0),100),"00"),D57)&amp;" m/s ","")&amp;IF(E24&lt;&gt;"","+ 1 adet "&amp;E24&amp;" kişilik "&amp;IF(ISNUMBER(E57),INT(ROUND(E57,2))&amp;","&amp;TEXT(MOD(ROUND(E57*100,0),100),"00"),E57)&amp;" m/s ",""))&amp;" asansör  →  "&amp;B45&amp;" adet asansör  →  "&amp;B53)</f>
        <v/>
      </c>
    </row>
    <row r="55" ht="15" customHeight="1" s="138">
      <c r="A55" s="136" t="inlineStr">
        <is>
          <t>ASANSÖR BAZINDA HIZ — 61. satırdaki Tablo-2 minimumu BİLGİ amaçlıdır; bekleme süresi sağlanıyorsa altında bir hız da seçilebilir (gerekçesi paftaya yazılır).</t>
        </is>
      </c>
    </row>
    <row r="56" ht="15" customHeight="1" s="138">
      <c r="A56" s="136" t="inlineStr">
        <is>
          <t>V (m/s) — GİRDİ (opsiyonel; boş = 61. satırdaki Tablo-2 minimumu)</t>
        </is>
      </c>
      <c r="B56" s="221" t="n"/>
      <c r="C56" s="221" t="n"/>
      <c r="D56" s="221" t="n"/>
      <c r="E56" s="221" t="n"/>
    </row>
    <row r="57" ht="15" customHeight="1" s="138">
      <c r="A57" s="136">
        <f>"V (m/s) — kullanılan (efektif)"&amp;IF(OR(AND(ISNUMBER(B57),ISNUMBER(B61),B57&lt;B61),AND(ISNUMBER(C57),ISNUMBER(C61),C57&lt;C61),AND(ISNUMBER(D57),ISNUMBER(D61),D57&lt;D61),AND(ISNUMBER(E57),ISNUMBER(E61),E57&lt;E61)),"   ⚠ en az bir asansör Tablo-2 minimumunun altında — bekleme kriteri esas alındı","")</f>
        <v/>
      </c>
      <c r="B57" s="222">
        <f>IF(B24="","",IF(NOT(ISNUMBER(B60)),"Durak geçersiz",IF(AND(ISNUMBER(B56),COUNTIF($H$86:$H$95,B56)=0),"Manuel V geçersiz — listeden seçin (0,63 / 1 / 1,6 / 1,75 / 2 / 2,5 / 3 / 3,5 / 5 / 6 m/s)",IF(ISNUMBER(B56),B56,IF(ISNUMBER(B61),B61,IF(ISNUMBER($B$18),$B$18,"Manuel V gerekli"))))))</f>
        <v/>
      </c>
      <c r="C57" s="222">
        <f>IF(C24="","",IF(NOT(ISNUMBER(C60)),"Durak geçersiz",IF(AND(ISNUMBER(C56),COUNTIF($H$86:$H$95,C56)=0),"Manuel V geçersiz — listeden seçin (0,63 / 1 / 1,6 / 1,75 / 2 / 2,5 / 3 / 3,5 / 5 / 6 m/s)",IF(ISNUMBER(C56),C56,IF(ISNUMBER(C61),C61,IF(ISNUMBER($B$18),$B$18,"Manuel V gerekli"))))))</f>
        <v/>
      </c>
      <c r="D57" s="136">
        <f>IF(D24="","",IF(NOT(ISNUMBER(D60)),"Durak geçersiz",IF(AND(ISNUMBER(D56),COUNTIF($H$86:$H$95,D56)=0),"Manuel V geçersiz — listeden seçin (0,63 / 1 / 1,6 / 1,75 / 2 / 2,5 / 3 / 3,5 / 5 / 6 m/s)",IF(ISNUMBER(D56),D56,IF(ISNUMBER(D61),D61,IF(ISNUMBER($B$18),$B$18,"Manuel V gerekli"))))))</f>
        <v/>
      </c>
      <c r="E57" s="136">
        <f>IF(E24="","",IF(NOT(ISNUMBER(E60)),"Durak geçersiz",IF(AND(ISNUMBER(E56),COUNTIF($H$86:$H$95,E56)=0),"Manuel V geçersiz — listeden seçin (0,63 / 1 / 1,6 / 1,75 / 2 / 2,5 / 3 / 3,5 / 5 / 6 m/s)",IF(ISNUMBER(E56),E56,IF(ISNUMBER(E61),E61,IF(ISNUMBER($B$18),$B$18,"Manuel V gerekli"))))))</f>
        <v/>
      </c>
    </row>
    <row r="58" ht="15" customHeight="1" s="138">
      <c r="A58" s="208" t="inlineStr">
        <is>
          <t>ASANSÖR BAZINDA DURAK SAYISI  —  H (Tablo-3) ve S (Tablo-5) her asansör için kendi satırından okunur   (kolonlar 23. satırdaki ASANSÖR-1…4 ile aynıdır)</t>
        </is>
      </c>
    </row>
    <row r="59" ht="15" customHeight="1" s="138">
      <c r="A59" s="223" t="inlineStr">
        <is>
          <t>Durak sayısı (ana giriş dâhil) — GİRDİ (boş = ortak N+1)</t>
        </is>
      </c>
      <c r="B59" s="224" t="n"/>
      <c r="C59" s="224" t="n"/>
      <c r="D59" s="224" t="n"/>
      <c r="E59" s="224" t="n"/>
      <c r="F59" s="223" t="n"/>
    </row>
    <row r="60" ht="15" customHeight="1" s="138">
      <c r="A60" s="223" t="inlineStr">
        <is>
          <t>N = Durak − 1  (asansör bazında, efektif)</t>
        </is>
      </c>
      <c r="B60" s="225">
        <f>IF(B24="","",IF(B59="",$B$9,IF(NOT(ISNUMBER(B59)),"Durak geçersiz",IF(AND(B59=INT(B59),B59&gt;=2,B59&lt;=$B$9+1),B59-1,"Durak geçersiz"))))</f>
        <v/>
      </c>
      <c r="C60" s="225">
        <f>IF(C24="","",IF(C59="",$B$9,IF(NOT(ISNUMBER(C59)),"Durak geçersiz",IF(AND(C59=INT(C59),C59&gt;=2,C59&lt;=$B$9+1),C59-1,"Durak geçersiz"))))</f>
        <v/>
      </c>
      <c r="D60" s="225">
        <f>IF(D24="","",IF(D59="",$B$9,IF(NOT(ISNUMBER(D59)),"Durak geçersiz",IF(AND(D59=INT(D59),D59&gt;=2,D59&lt;=$B$9+1),D59-1,"Durak geçersiz"))))</f>
        <v/>
      </c>
      <c r="E60" s="225">
        <f>IF(E24="","",IF(E59="",$B$9,IF(NOT(ISNUMBER(E59)),"Durak geçersiz",IF(AND(E59=INT(E59),E59&gt;=2,E59&lt;=$B$9+1),E59-1,"Durak geçersiz"))))</f>
        <v/>
      </c>
      <c r="F60" s="223" t="n"/>
    </row>
    <row r="61" ht="15" customHeight="1" s="138">
      <c r="A61" s="223" t="inlineStr">
        <is>
          <t>V minimumu (Tablo-2, asansörün kendi durak sayısına göre)</t>
        </is>
      </c>
      <c r="B61" s="226">
        <f>IF(B24="","",IF(NOT(ISNUMBER(B60)),"Durak geçersiz",IF($B$7="Konut",IF((B60+1+B101)&lt;=9,1,IF((B60+1+B101)&lt;=14,1.6,IF((B60+1+B101)&lt;=19,2,2.5))),IF($B$7="Büro ve İş Merkezi",IF((B60+1+B101)&lt;=5,1,IF((B60+1+B101)&lt;=10,1.6,IF((B60+1+B101)&lt;=15,2,IF((B60+1+B101)&lt;=19,2.5,3.5)))),IF($B$7="Otel",IF((B60+1+B101)&lt;=6,1,IF((B60+1+B101)&lt;=10,1.6,IF((B60+1+B101)&lt;=15,2,IF((B60+1+B101)&lt;=19,2.5,3.5)))),IF(ISNUMBER($B$18),$B$18,""))))))</f>
        <v/>
      </c>
      <c r="C61" s="226">
        <f>IF(C24="","",IF(NOT(ISNUMBER(C60)),"Durak geçersiz",IF($B$7="Konut",IF((C60+1+C101)&lt;=9,1,IF((C60+1+C101)&lt;=14,1.6,IF((C60+1+C101)&lt;=19,2,2.5))),IF($B$7="Büro ve İş Merkezi",IF((C60+1+C101)&lt;=5,1,IF((C60+1+C101)&lt;=10,1.6,IF((C60+1+C101)&lt;=15,2,IF((C60+1+C101)&lt;=19,2.5,3.5)))),IF($B$7="Otel",IF((C60+1+C101)&lt;=6,1,IF((C60+1+C101)&lt;=10,1.6,IF((C60+1+C101)&lt;=15,2,IF((C60+1+C101)&lt;=19,2.5,3.5)))),IF(ISNUMBER($B$18),$B$18,""))))))</f>
        <v/>
      </c>
      <c r="D61" s="226">
        <f>IF(D24="","",IF(NOT(ISNUMBER(D60)),"Durak geçersiz",IF($B$7="Konut",IF((D60+1+D101)&lt;=9,1,IF((D60+1+D101)&lt;=14,1.6,IF((D60+1+D101)&lt;=19,2,2.5))),IF($B$7="Büro ve İş Merkezi",IF((D60+1+D101)&lt;=5,1,IF((D60+1+D101)&lt;=10,1.6,IF((D60+1+D101)&lt;=15,2,IF((D60+1+D101)&lt;=19,2.5,3.5)))),IF($B$7="Otel",IF((D60+1+D101)&lt;=6,1,IF((D60+1+D101)&lt;=10,1.6,IF((D60+1+D101)&lt;=15,2,IF((D60+1+D101)&lt;=19,2.5,3.5)))),IF(ISNUMBER($B$18),$B$18,""))))))</f>
        <v/>
      </c>
      <c r="E61" s="226">
        <f>IF(E24="","",IF(NOT(ISNUMBER(E60)),"Durak geçersiz",IF($B$7="Konut",IF((E60+1+E101)&lt;=9,1,IF((E60+1+E101)&lt;=14,1.6,IF((E60+1+E101)&lt;=19,2,2.5))),IF($B$7="Büro ve İş Merkezi",IF((E60+1+E101)&lt;=5,1,IF((E60+1+E101)&lt;=10,1.6,IF((E60+1+E101)&lt;=15,2,IF((E60+1+E101)&lt;=19,2.5,3.5)))),IF($B$7="Otel",IF((E60+1+E101)&lt;=6,1,IF((E60+1+E101)&lt;=10,1.6,IF((E60+1+E101)&lt;=15,2,IF((E60+1+E101)&lt;=19,2.5,3.5)))),IF(ISNUMBER($B$18),$B$18,""))))))</f>
        <v/>
      </c>
      <c r="F61" s="223" t="n"/>
    </row>
    <row r="62" ht="33.75" customHeight="1" s="138">
      <c r="A62" s="223" t="inlineStr">
        <is>
          <t>Kat yüksekliği h (m) — GİRDİ (boş = ortak h; farklı binadaki asansör için doldurun)</t>
        </is>
      </c>
      <c r="B62" s="227" t="n"/>
      <c r="C62" s="227" t="n"/>
      <c r="D62" s="227" t="n"/>
      <c r="E62" s="227" t="n"/>
    </row>
    <row r="63" ht="24" customHeight="1" s="138">
      <c r="A63" s="168" t="inlineStr">
        <is>
          <t>AYRINTILI NÜFUS GİRİŞİ (b = Σc) — normal binalarda DOKUNMAYIN, üstteki ⑤/⑥ kutuları doldurur</t>
        </is>
      </c>
    </row>
    <row r="64" ht="33.75" customHeight="1" s="138">
      <c r="A64" s="169" t="inlineStr">
        <is>
          <t>Bu iki satır 10-11. satırdaki hızlı giriş kutularından otomatik dolar. Karma yapı için gizli SARI satırları ⊞ düğmesiyle açın; b = tüm c değerlerinin toplamıdır.</t>
        </is>
      </c>
    </row>
    <row r="65" ht="30" customHeight="1" s="138">
      <c r="A65" s="170" t="inlineStr">
        <is>
          <t>Grup / kat / açıklama</t>
        </is>
      </c>
      <c r="B65" s="170" t="inlineStr">
        <is>
          <t>Miktar</t>
        </is>
      </c>
      <c r="C65" s="170" t="inlineStr">
        <is>
          <t>Tablo-1 kalemi</t>
        </is>
      </c>
      <c r="D65" s="170" t="inlineStr">
        <is>
          <t>Birim</t>
        </is>
      </c>
      <c r="E65" s="170" t="inlineStr">
        <is>
          <t>Katsayı</t>
        </is>
      </c>
      <c r="F65" s="170" t="inlineStr">
        <is>
          <t>c (kişi)</t>
        </is>
      </c>
    </row>
    <row r="66" ht="15" customHeight="1" s="138">
      <c r="A66" s="171" t="inlineStr">
        <is>
          <t>↑ hızlı girişten otomatik</t>
        </is>
      </c>
      <c r="B66" s="172">
        <f>IF($C$66="","",IF(NOT(ISNUMBER($B$10)),"",$B$10))</f>
        <v/>
      </c>
      <c r="C66" s="171">
        <f>IF($B$5="Konut","KONUT — İlk yatak odası",IF(LEFT($B$5,10)="İş Merkezi","İŞ MERKEZİ — Çalışma alanı",IF(LEFT($B$5,4)="Kamu","RESMİ BİNA — Çalışma alanı",IF(LEFT($B$5,4)="Otel","OTEL — Yatak",IF($B$5="Hastane","HASTANE — Yatak",IF($B$5="Katlı Otopark","OTOPARK — Özel araç",""))))))</f>
        <v/>
      </c>
      <c r="D66" s="171">
        <f>IF(C66="","",IFERROR(INDEX('NÜFUS GİRİŞİ'!$B$5:$B$13,MATCH(C66,'NÜFUS GİRİŞİ'!$A$5:$A$13,0)),""))</f>
        <v/>
      </c>
      <c r="E66" s="172">
        <f>IF(C66="","",IFERROR(INDEX('NÜFUS GİRİŞİ'!$C$5:$C$13,MATCH(C66,'NÜFUS GİRİŞİ'!$A$5:$A$13,0)),""))</f>
        <v/>
      </c>
      <c r="F66" s="171">
        <f>IF(OR(C66="",B66=""),"",B66*E66)</f>
        <v/>
      </c>
    </row>
    <row r="67" ht="15" customHeight="1" s="138">
      <c r="A67" s="171" t="inlineStr">
        <is>
          <t>↑ hızlı girişten otomatik</t>
        </is>
      </c>
      <c r="B67" s="172">
        <f>IF($C$67="","",IF($B$5="Konut",IF(OR(NOT(ISNUMBER($B$10)),NOT(ISNUMBER($B$11))),"",$B$10*$B$11),IF(NOT(ISNUMBER($B$11)),"",$B$11)))</f>
        <v/>
      </c>
      <c r="C67" s="171">
        <f>IF($B$5="Konut","KONUT — Diğer oda",IF($B$5="Katlı Otopark","OTOPARK — Ticari araç",""))</f>
        <v/>
      </c>
      <c r="D67" s="171">
        <f>IF(C67="","",IFERROR(INDEX('NÜFUS GİRİŞİ'!$B$5:$B$13,MATCH(C67,'NÜFUS GİRİŞİ'!$A$5:$A$13,0)),""))</f>
        <v/>
      </c>
      <c r="E67" s="172">
        <f>IF(C67="","",IFERROR(INDEX('NÜFUS GİRİŞİ'!$C$5:$C$13,MATCH(C67,'NÜFUS GİRİŞİ'!$A$5:$A$13,0)),""))</f>
        <v/>
      </c>
      <c r="F67" s="171">
        <f>IF(OR(C67="",B67=""),"",B67*E67)</f>
        <v/>
      </c>
    </row>
    <row r="68" hidden="1" outlineLevel="1" ht="15" customHeight="1" s="138">
      <c r="A68" s="173" t="n"/>
      <c r="B68" s="174" t="n"/>
      <c r="C68" s="173" t="n"/>
      <c r="D68" s="171">
        <f>IF(C68="","",IFERROR(INDEX('NÜFUS GİRİŞİ'!$B$5:$B$13,MATCH(C68,'NÜFUS GİRİŞİ'!$A$5:$A$13,0)),""))</f>
        <v/>
      </c>
      <c r="E68" s="171">
        <f>IF(C68="","",IFERROR(INDEX('NÜFUS GİRİŞİ'!$C$5:$C$13,MATCH(C68,'NÜFUS GİRİŞİ'!$A$5:$A$13,0)),""))</f>
        <v/>
      </c>
      <c r="F68" s="171">
        <f>IF(OR(C68="",B68=""),"",B68*E68)</f>
        <v/>
      </c>
    </row>
    <row r="69" hidden="1" outlineLevel="1" ht="15" customHeight="1" s="138">
      <c r="A69" s="173" t="n"/>
      <c r="B69" s="174" t="n"/>
      <c r="C69" s="173" t="n"/>
      <c r="D69" s="171">
        <f>IF(C69="","",IFERROR(INDEX('NÜFUS GİRİŞİ'!$B$5:$B$13,MATCH(C69,'NÜFUS GİRİŞİ'!$A$5:$A$13,0)),""))</f>
        <v/>
      </c>
      <c r="E69" s="171">
        <f>IF(C69="","",IFERROR(INDEX('NÜFUS GİRİŞİ'!$C$5:$C$13,MATCH(C69,'NÜFUS GİRİŞİ'!$A$5:$A$13,0)),""))</f>
        <v/>
      </c>
      <c r="F69" s="171">
        <f>IF(OR(C69="",B69=""),"",B69*E69)</f>
        <v/>
      </c>
    </row>
    <row r="70" hidden="1" outlineLevel="1" ht="15" customHeight="1" s="138">
      <c r="A70" s="173" t="n"/>
      <c r="B70" s="174" t="n"/>
      <c r="C70" s="173" t="n"/>
      <c r="D70" s="171">
        <f>IF(C70="","",IFERROR(INDEX('NÜFUS GİRİŞİ'!$B$5:$B$13,MATCH(C70,'NÜFUS GİRİŞİ'!$A$5:$A$13,0)),""))</f>
        <v/>
      </c>
      <c r="E70" s="171">
        <f>IF(C70="","",IFERROR(INDEX('NÜFUS GİRİŞİ'!$C$5:$C$13,MATCH(C70,'NÜFUS GİRİŞİ'!$A$5:$A$13,0)),""))</f>
        <v/>
      </c>
      <c r="F70" s="171">
        <f>IF(OR(C70="",B70=""),"",B70*E70)</f>
        <v/>
      </c>
    </row>
    <row r="71" hidden="1" outlineLevel="1" ht="15" customHeight="1" s="138">
      <c r="A71" s="173" t="n"/>
      <c r="B71" s="174" t="n"/>
      <c r="C71" s="173" t="n"/>
      <c r="D71" s="171">
        <f>IF(C71="","",IFERROR(INDEX('NÜFUS GİRİŞİ'!$B$5:$B$13,MATCH(C71,'NÜFUS GİRİŞİ'!$A$5:$A$13,0)),""))</f>
        <v/>
      </c>
      <c r="E71" s="171">
        <f>IF(C71="","",IFERROR(INDEX('NÜFUS GİRİŞİ'!$C$5:$C$13,MATCH(C71,'NÜFUS GİRİŞİ'!$A$5:$A$13,0)),""))</f>
        <v/>
      </c>
      <c r="F71" s="171">
        <f>IF(OR(C71="",B71=""),"",B71*E71)</f>
        <v/>
      </c>
    </row>
    <row r="72" hidden="1" outlineLevel="1" ht="15" customHeight="1" s="138">
      <c r="A72" s="173" t="n"/>
      <c r="B72" s="174" t="n"/>
      <c r="C72" s="173" t="n"/>
      <c r="D72" s="171">
        <f>IF(C72="","",IFERROR(INDEX('NÜFUS GİRİŞİ'!$B$5:$B$13,MATCH(C72,'NÜFUS GİRİŞİ'!$A$5:$A$13,0)),""))</f>
        <v/>
      </c>
      <c r="E72" s="171">
        <f>IF(C72="","",IFERROR(INDEX('NÜFUS GİRİŞİ'!$C$5:$C$13,MATCH(C72,'NÜFUS GİRİŞİ'!$A$5:$A$13,0)),""))</f>
        <v/>
      </c>
      <c r="F72" s="171">
        <f>IF(OR(C72="",B72=""),"",B72*E72)</f>
        <v/>
      </c>
    </row>
    <row r="73" hidden="1" outlineLevel="1" ht="15" customHeight="1" s="138">
      <c r="A73" s="173" t="n"/>
      <c r="B73" s="174" t="n"/>
      <c r="C73" s="173" t="n"/>
      <c r="D73" s="171">
        <f>IF(C73="","",IFERROR(INDEX('NÜFUS GİRİŞİ'!$B$5:$B$13,MATCH(C73,'NÜFUS GİRİŞİ'!$A$5:$A$13,0)),""))</f>
        <v/>
      </c>
      <c r="E73" s="171">
        <f>IF(C73="","",IFERROR(INDEX('NÜFUS GİRİŞİ'!$C$5:$C$13,MATCH(C73,'NÜFUS GİRİŞİ'!$A$5:$A$13,0)),""))</f>
        <v/>
      </c>
      <c r="F73" s="171">
        <f>IF(OR(C73="",B73=""),"",B73*E73)</f>
        <v/>
      </c>
    </row>
    <row r="74" hidden="1" outlineLevel="1" ht="15" customHeight="1" s="138">
      <c r="A74" s="173" t="n"/>
      <c r="B74" s="174" t="n"/>
      <c r="C74" s="173" t="n"/>
      <c r="D74" s="171">
        <f>IF(C74="","",IFERROR(INDEX('NÜFUS GİRİŞİ'!$B$5:$B$13,MATCH(C74,'NÜFUS GİRİŞİ'!$A$5:$A$13,0)),""))</f>
        <v/>
      </c>
      <c r="E74" s="171">
        <f>IF(C74="","",IFERROR(INDEX('NÜFUS GİRİŞİ'!$C$5:$C$13,MATCH(C74,'NÜFUS GİRİŞİ'!$A$5:$A$13,0)),""))</f>
        <v/>
      </c>
      <c r="F74" s="171">
        <f>IF(OR(C74="",B74=""),"",B74*E74)</f>
        <v/>
      </c>
    </row>
    <row r="75" hidden="1" outlineLevel="1" ht="15" customHeight="1" s="138">
      <c r="A75" s="173" t="n"/>
      <c r="B75" s="174" t="n"/>
      <c r="C75" s="173" t="n"/>
      <c r="D75" s="171">
        <f>IF(C75="","",IFERROR(INDEX('NÜFUS GİRİŞİ'!$B$5:$B$13,MATCH(C75,'NÜFUS GİRİŞİ'!$A$5:$A$13,0)),""))</f>
        <v/>
      </c>
      <c r="E75" s="171">
        <f>IF(C75="","",IFERROR(INDEX('NÜFUS GİRİŞİ'!$C$5:$C$13,MATCH(C75,'NÜFUS GİRİŞİ'!$A$5:$A$13,0)),""))</f>
        <v/>
      </c>
      <c r="F75" s="171">
        <f>IF(OR(C75="",B75=""),"",B75*E75)</f>
        <v/>
      </c>
    </row>
    <row r="76" hidden="1" outlineLevel="1" ht="15" customHeight="1" s="138">
      <c r="A76" s="173" t="n"/>
      <c r="B76" s="174" t="n"/>
      <c r="C76" s="173" t="n"/>
      <c r="D76" s="171">
        <f>IF(C76="","",IFERROR(INDEX('NÜFUS GİRİŞİ'!$B$5:$B$13,MATCH(C76,'NÜFUS GİRİŞİ'!$A$5:$A$13,0)),""))</f>
        <v/>
      </c>
      <c r="E76" s="171">
        <f>IF(C76="","",IFERROR(INDEX('NÜFUS GİRİŞİ'!$C$5:$C$13,MATCH(C76,'NÜFUS GİRİŞİ'!$A$5:$A$13,0)),""))</f>
        <v/>
      </c>
      <c r="F76" s="171">
        <f>IF(OR(C76="",B76=""),"",B76*E76)</f>
        <v/>
      </c>
    </row>
    <row r="77" hidden="1" outlineLevel="1" ht="15" customHeight="1" s="138">
      <c r="A77" s="173" t="n"/>
      <c r="B77" s="174" t="n"/>
      <c r="C77" s="173" t="n"/>
      <c r="D77" s="171">
        <f>IF(C77="","",IFERROR(INDEX('NÜFUS GİRİŞİ'!$B$5:$B$13,MATCH(C77,'NÜFUS GİRİŞİ'!$A$5:$A$13,0)),""))</f>
        <v/>
      </c>
      <c r="E77" s="171">
        <f>IF(C77="","",IFERROR(INDEX('NÜFUS GİRİŞİ'!$C$5:$C$13,MATCH(C77,'NÜFUS GİRİŞİ'!$A$5:$A$13,0)),""))</f>
        <v/>
      </c>
      <c r="F77" s="171">
        <f>IF(OR(C77="",B77=""),"",B77*E77)</f>
        <v/>
      </c>
    </row>
    <row r="78" hidden="1" outlineLevel="1" ht="15" customHeight="1" s="138">
      <c r="A78" s="173" t="n"/>
      <c r="B78" s="174" t="n"/>
      <c r="C78" s="173" t="n"/>
      <c r="D78" s="171">
        <f>IF(C78="","",IFERROR(INDEX('NÜFUS GİRİŞİ'!$B$5:$B$13,MATCH(C78,'NÜFUS GİRİŞİ'!$A$5:$A$13,0)),""))</f>
        <v/>
      </c>
      <c r="E78" s="171">
        <f>IF(C78="","",IFERROR(INDEX('NÜFUS GİRİŞİ'!$C$5:$C$13,MATCH(C78,'NÜFUS GİRİŞİ'!$A$5:$A$13,0)),""))</f>
        <v/>
      </c>
      <c r="F78" s="171">
        <f>IF(OR(C78="",B78=""),"",B78*E78)</f>
        <v/>
      </c>
    </row>
    <row r="79" ht="15" customHeight="1" s="138">
      <c r="A79" s="175" t="inlineStr">
        <is>
          <t>TOPLAM b = Σc</t>
        </is>
      </c>
      <c r="B79" s="175" t="n"/>
      <c r="C79" s="175" t="n"/>
      <c r="D79" s="175" t="n"/>
      <c r="E79" s="175" t="n"/>
      <c r="F79" s="175">
        <f>ROUND(SUM(F66:F78),6)</f>
        <v/>
      </c>
    </row>
    <row r="80" ht="33.75" customHeight="1" s="138">
      <c r="A80" s="177" t="inlineStr">
        <is>
          <t>Uyarı: DOĞRUDAN KİŞİ seçeneği yalnız Tablo-1 dışında kalan, proje verisiyle gerekçelendirilmiş nüfus için kullanılmalıdır.</t>
        </is>
      </c>
    </row>
    <row r="81" ht="64" customHeight="1" s="138">
      <c r="A81" s="284" t="inlineStr">
        <is>
          <t>Kural: Durak sayısı 2 ile ortak durak sayısı (B9+1) arasında tam sayı olmalıdır; boş bırakılan kolon ortak durak sayısını kullanır. Ortak kat sayısı B9, grubun en yüksek asansörüne göre girilir — nüfus (b, B), k ve Izul bina genelinde ortaktır, yalnız H, S ve Tablo-2 minimum hızı asansör bazında ayrışır. Bodrum durağı (13. ve 100. satır) H ve S'yi DEĞİŞTİRMEZ; yalnız Tablo-2 durak adedine ve seyahat mesafesine girer.</t>
        </is>
      </c>
    </row>
    <row r="82" ht="37.5" customHeight="1" s="138">
      <c r="A82" s="228" t="inlineStr">
        <is>
          <t>Kaynak istisnası: 15 kişi / 1125 kg MMO/697 Tablo-7'de yoktur; kitabın s.53-54 örneğinde kullanıldığı için örnek istisnası olarak desteklenir.</t>
        </is>
      </c>
    </row>
    <row r="83" ht="37.5" customHeight="1" s="138">
      <c r="A83" s="228" t="inlineStr">
        <is>
          <t>Aritmetik notu: MMO/697 s.54'te TR₁=149,9955 s basılmıştır; kitabın eski tp=2,2 s girdileriyle denklem yaklaşık 174,03 s verir. Güncel Tablo-8 tp değerleri kullanıldığında TR doğal olarak daha düşüktür.</t>
        </is>
      </c>
    </row>
    <row r="84" ht="76" customHeight="1" s="138">
      <c r="A84" s="284" t="inlineStr">
        <is>
          <t>Kapı genişliği kapsamı: listedeki yedi genişliğin (700 – 1300 mm) tamamı hesaplanır. MMO Tablo-4'te 1000 ve 1200 mm, ISO 8100-32 Tablo 6'da 700 mm BASILI DEĞİLDİR; bu değerler komşu satırlardan enterpolasyon / dış değerleme ile türetilir ve paftada kaynağı 'ara değer' olarak yazılır. 'Kabin İçi Oto. Kat K.Ç.' kapı tipi 1200 ve 1300 mm'de tabloda hiç yoktur — bu durumda 102-103. satıra imalatçı ta/tk değerini girin. Asansör bazında manuel süre girişi 102-105. satırdadır.</t>
        </is>
      </c>
    </row>
    <row r="85" hidden="1" ht="15" customHeight="1" s="138">
      <c r="H85" s="137" t="inlineStr">
        <is>
          <t>geçerli kabin hızları (V listesi — açılır menü kaynağı)</t>
        </is>
      </c>
    </row>
    <row r="86" hidden="1" ht="15" customHeight="1" s="138">
      <c r="H86" s="137" t="n">
        <v>0.63</v>
      </c>
    </row>
    <row r="87" hidden="1" ht="15" customHeight="1" s="138">
      <c r="H87" s="137" t="n">
        <v>1</v>
      </c>
    </row>
    <row r="88" hidden="1" ht="15" customHeight="1" s="138">
      <c r="H88" s="137" t="n">
        <v>1.6</v>
      </c>
    </row>
    <row r="89" hidden="1" ht="15" customHeight="1" s="138">
      <c r="H89" s="137" t="n">
        <v>1.75</v>
      </c>
    </row>
    <row r="90" hidden="1" ht="15" customHeight="1" s="138">
      <c r="H90" s="137" t="n">
        <v>2</v>
      </c>
    </row>
    <row r="91" hidden="1" ht="15" customHeight="1" s="138">
      <c r="H91" s="137" t="n">
        <v>2.5</v>
      </c>
    </row>
    <row r="92" hidden="1" ht="15" customHeight="1" s="138">
      <c r="H92" s="137" t="n">
        <v>3</v>
      </c>
    </row>
    <row r="93" hidden="1" ht="15" customHeight="1" s="138">
      <c r="H93" s="137" t="n">
        <v>3.5</v>
      </c>
    </row>
    <row r="94" hidden="1" ht="15" customHeight="1" s="138">
      <c r="H94" s="137" t="n">
        <v>5</v>
      </c>
    </row>
    <row r="95" hidden="1" ht="15" customHeight="1" s="138">
      <c r="H95" s="137" t="n">
        <v>6</v>
      </c>
    </row>
    <row r="96" hidden="1" s="138"/>
    <row r="97" hidden="1" ht="15" customHeight="1" s="138">
      <c r="H97" s="137" t="inlineStr">
        <is>
          <t>grup Tablo-2 hız minimumu (bilgi)</t>
        </is>
      </c>
    </row>
    <row r="98" hidden="1" ht="15" customHeight="1" s="138">
      <c r="H98" s="137">
        <f>IF($B$7="Konut",IF(($B$9+1+$H$13)&lt;=9,1,IF(($B$9+1+$H$13)&lt;=14,1.6,IF(($B$9+1+$H$13)&lt;=19,2,2.5))),IF($B$7="Büro ve İş Merkezi",IF(($B$9+1+$H$13)&lt;=5,1,IF(($B$9+1+$H$13)&lt;=10,1.6,IF(($B$9+1+$H$13)&lt;=15,2,IF(($B$9+1+$H$13)&lt;=19,2.5,3.5)))),IF($B$7="Otel",IF(($B$9+1+$H$13)&lt;=6,1,IF(($B$9+1+$H$13)&lt;=10,1.6,IF(($B$9+1+$H$13)&lt;=15,2,IF(($B$9+1+$H$13)&lt;=19,2.5,3.5)))),"")))</f>
        <v/>
      </c>
    </row>
    <row r="99">
      <c r="A99" s="208" t="inlineStr">
        <is>
          <t>ASANSÖR BAZINDA EK GİRDİLER  —  bodrum durağı ve imalatçı süreleri (boş bırakılırsa ortak değer / MMO tablosu kullanılır)</t>
        </is>
      </c>
    </row>
    <row r="100" ht="15" customHeight="1" s="138">
      <c r="A100" s="223" t="inlineStr">
        <is>
          <t>Bodrum durak adedi (ana giriş altı) — GİRDİ (boş = ortak)</t>
        </is>
      </c>
      <c r="B100" s="224" t="n"/>
      <c r="C100" s="224" t="n"/>
      <c r="D100" s="224" t="n"/>
      <c r="E100" s="224" t="n"/>
      <c r="F100" s="223" t="inlineStr">
        <is>
          <t>durak</t>
        </is>
      </c>
    </row>
    <row r="101" ht="15" customHeight="1" s="138">
      <c r="A101" s="223" t="inlineStr">
        <is>
          <t>→ Kullanılan bodrum durak adedi (efektif)</t>
        </is>
      </c>
      <c r="B101" s="225">
        <f>IF(B24="","",IF(B100="",$H$13,IF(AND(ISNUMBER(B100),B100&gt;=0,B100&lt;=10,B100=INT(B100)),B100,"Bodrum geçersiz")))</f>
        <v/>
      </c>
      <c r="C101" s="225">
        <f>IF(C24="","",IF(C100="",$H$13,IF(AND(ISNUMBER(C100),C100&gt;=0,C100&lt;=10,C100=INT(C100)),C100,"Bodrum geçersiz")))</f>
        <v/>
      </c>
      <c r="D101" s="225">
        <f>IF(D24="","",IF(D100="",$H$13,IF(AND(ISNUMBER(D100),D100&gt;=0,D100&lt;=10,D100=INT(D100)),D100,"Bodrum geçersiz")))</f>
        <v/>
      </c>
      <c r="E101" s="225">
        <f>IF(E24="","",IF(E100="",$H$13,IF(AND(ISNUMBER(E100),E100&gt;=0,E100&lt;=10,E100=INT(E100)),E100,"Bodrum geçersiz")))</f>
        <v/>
      </c>
      <c r="F101" s="223" t="n"/>
    </row>
    <row r="102" ht="15" customHeight="1" s="138">
      <c r="A102" s="223" t="inlineStr">
        <is>
          <t>Manuel ta (sn) — boş = Tablo-4</t>
        </is>
      </c>
      <c r="B102" s="224" t="n"/>
      <c r="C102" s="224" t="n"/>
      <c r="D102" s="224" t="n"/>
      <c r="E102" s="224" t="n"/>
      <c r="F102" s="223" t="inlineStr">
        <is>
          <t>s</t>
        </is>
      </c>
    </row>
    <row r="103" ht="15" customHeight="1" s="138">
      <c r="A103" s="223" t="inlineStr">
        <is>
          <t>Manuel tk (sn) — boş = Tablo-4</t>
        </is>
      </c>
      <c r="B103" s="224" t="n"/>
      <c r="C103" s="224" t="n"/>
      <c r="D103" s="224" t="n"/>
      <c r="E103" s="224" t="n"/>
      <c r="F103" s="223" t="inlineStr">
        <is>
          <t>s</t>
        </is>
      </c>
    </row>
    <row r="104" ht="15" customHeight="1" s="138">
      <c r="A104" s="223" t="inlineStr">
        <is>
          <t>Manuel tg (sn) — boş = Tablo-6</t>
        </is>
      </c>
      <c r="B104" s="224" t="n"/>
      <c r="C104" s="224" t="n"/>
      <c r="D104" s="224" t="n"/>
      <c r="E104" s="224" t="n"/>
      <c r="F104" s="223" t="inlineStr">
        <is>
          <t>s</t>
        </is>
      </c>
    </row>
    <row r="105" ht="15" customHeight="1" s="138">
      <c r="A105" s="223" t="inlineStr">
        <is>
          <t>Manuel tp (sn) — boş = Tablo-8</t>
        </is>
      </c>
      <c r="B105" s="224" t="n"/>
      <c r="C105" s="224" t="n"/>
      <c r="D105" s="224" t="n"/>
      <c r="E105" s="224" t="n"/>
      <c r="F105" s="223" t="inlineStr">
        <is>
          <t>s</t>
        </is>
      </c>
    </row>
    <row r="106" ht="52" customHeight="1" s="138">
      <c r="A106" s="284" t="inlineStr">
        <is>
          <t>Bodrum durağı H (Tablo-3) ve S (Tablo-5) değerlerini değiştirmez; yalnız Tablo-2 asgari hız seçimindeki durak adedine ve toplam seyahat mesafesine girer (MMO/697 s.14 ve s.16, N'i ana giriş üstündeki kat adedi olarak tanımlar). Manuel süre girildiğinde paftada marka-model ve teknik föy referansı belirtilmelidir.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0">
    <mergeCell ref="A99:F99"/>
    <mergeCell ref="A84:F84"/>
    <mergeCell ref="A80:F80"/>
    <mergeCell ref="C5:D5"/>
    <mergeCell ref="A21:F21"/>
    <mergeCell ref="C12:E12"/>
    <mergeCell ref="A2:F2"/>
    <mergeCell ref="B54:E54"/>
    <mergeCell ref="A106:F106"/>
    <mergeCell ref="B46:E46"/>
    <mergeCell ref="A81:F81"/>
    <mergeCell ref="A63:F63"/>
    <mergeCell ref="C13:E13"/>
    <mergeCell ref="B48:E48"/>
    <mergeCell ref="A83:F83"/>
    <mergeCell ref="A64:F64"/>
    <mergeCell ref="A49:F49"/>
    <mergeCell ref="A82:F82"/>
    <mergeCell ref="B53:E53"/>
    <mergeCell ref="A1:F1"/>
  </mergeCells>
  <dataValidations count="16">
    <dataValidation sqref="E5" showDropDown="0" showInputMessage="0" showErrorMessage="1" allowBlank="0" errorTitle="Geçersiz k" error="0 ile 1 arasında bir oran girin." type="decimal" errorStyle="stop" operator="between">
      <formula1>0.000001</formula1>
      <formula2>1</formula2>
    </dataValidation>
    <dataValidation sqref="B9" showDropDown="0" showInputMessage="0" showErrorMessage="0" allowBlank="0" type="whole" errorStyle="stop" operator="between">
      <formula1>1</formula1>
      <formula2>30</formula2>
    </dataValidation>
    <dataValidation sqref="B12" showDropDown="0" showInputMessage="0" showErrorMessage="0" allowBlank="0" type="decimal" errorStyle="stop" operator="between">
      <formula1>0.5</formula1>
      <formula2>10</formula2>
    </dataValidation>
    <dataValidation sqref="D8:D9" showDropDown="0" showInputMessage="0" showErrorMessage="1" allowBlank="0" errorTitle="Geçersiz değer" error="Sıfır veya pozitif bir metre / hız değeri girin." type="decimal" errorStyle="stop" operator="between">
      <formula1>0</formula1>
      <formula2>1000</formula2>
    </dataValidation>
    <dataValidation sqref="B24:E24" showDropDown="0" showInputMessage="0" showErrorMessage="0" allowBlank="1" type="list" errorStyle="stop" operator="between">
      <formula1>"6,8,10,13,15,16,20,25,30"</formula1>
      <formula2>0</formula2>
    </dataValidation>
    <dataValidation sqref="B25:E25" showDropDown="0" showInputMessage="0" showErrorMessage="1" allowBlank="1" type="list" errorStyle="stop" operator="between">
      <formula1>"700,800,900,1000,1100,1200,1300"</formula1>
      <formula2>0</formula2>
    </dataValidation>
    <dataValidation sqref="B26:E26" showDropDown="0" showInputMessage="0" showErrorMessage="1" allowBlank="1" type="list" errorStyle="stop" operator="between">
      <formula1>"Teleskopik Otomatik,Merkezden Açılan Oto.,Kabin İçi Oto. Kat K.Ç."</formula1>
      <formula2>0</formula2>
    </dataValidation>
    <dataValidation sqref="B56:E56" showDropDown="0" showInputMessage="0" showErrorMessage="1" allowBlank="0" errorTitle="Geçersiz hız" error="Pozitif bir hız girin." type="list" errorStyle="stop" operator="between">
      <formula1>$H$86:$H$95</formula1>
      <formula2>0</formula2>
    </dataValidation>
    <dataValidation sqref="B59:E59" showDropDown="0" showInputMessage="0" showErrorMessage="1" allowBlank="1" errorTitle="Geçersiz durak sayısı" error="Durak sayısı 2–31 arasında tam sayı olmalıdır." type="whole" errorStyle="stop" operator="between">
      <formula1>2</formula1>
      <formula2>31</formula2>
    </dataValidation>
    <dataValidation sqref="D10" showDropDown="0" showInputMessage="0" showErrorMessage="0" allowBlank="1" type="list" errorStyle="stop" operator="between">
      <formula1>$H$86:$H$95</formula1>
      <formula2>0</formula2>
    </dataValidation>
    <dataValidation sqref="B62:E62" showDropDown="0" showInputMessage="0" showErrorMessage="0" allowBlank="1" type="decimal" errorStyle="stop" operator="between">
      <formula1>0.5</formula1>
      <formula2>10</formula2>
    </dataValidation>
    <dataValidation sqref="B10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AND(ISNUMBER($B$10),IF($B$5="Konut",AND($B$10&gt;=0,$B$10&lt;=2000),IF(OR(LEFT($B$5,4)="Otel",$B$5="Hastane"),AND($B$10&gt;=0,$B$10&lt;=20000),AND($B$10&gt;=0,$B$10&lt;=500000))))</formula1>
      <formula2>0</formula2>
    </dataValidation>
    <dataValidation sqref="B11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AND(ISNUMBER($B$11),IF($B$5="Konut",AND($B$11&gt;=0,$B$11&lt;=20),AND($B$11&gt;=0,$B$11&lt;=500000)))</formula1>
      <formula2>0</formula2>
    </dataValidation>
    <dataValidation sqref="B13" showDropDown="0" showInputMessage="0" showErrorMessage="1" allowBlank="1" errorTitle="Bodrum durak adedi" error="0 – 10 arası tam sayı ya da boş." type="whole" operator="between">
      <formula1>0</formula1>
      <formula2>10</formula2>
    </dataValidation>
    <dataValidation sqref="B100:E100" showDropDown="0" showInputMessage="0" showErrorMessage="1" allowBlank="1" errorTitle="Bodrum durak adedi" error="0 – 10 arası tam sayı ya da boş (boş = ortak değer)." type="whole" operator="between">
      <formula1>0</formula1>
      <formula2>10</formula2>
    </dataValidation>
    <dataValidation sqref="B102:E105" showDropDown="0" showInputMessage="0" showErrorMessage="1" allowBlank="1" errorTitle="İmalatçı süresi" error="0,3 – 60 saniye arası bir değer ya da boş." type="decimal" operator="between">
      <formula1>0.3</formula1>
      <formula2>60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F30"/>
  <sheetViews>
    <sheetView showFormulas="0" showGridLines="0" showRowColHeaders="1" showZeros="1" rightToLeft="0" tabSelected="1" showOutlineSymbols="1" defaultGridColor="1" view="normal" topLeftCell="A6" colorId="64" zoomScale="100" zoomScaleNormal="100" zoomScalePageLayoutView="100" workbookViewId="0">
      <selection pane="topLeft" activeCell="A25" activeCellId="0" sqref="A25"/>
    </sheetView>
  </sheetViews>
  <sheetFormatPr baseColWidth="8" defaultColWidth="8.71484375" defaultRowHeight="15" zeroHeight="0" outlineLevelRow="0"/>
  <cols>
    <col width="34.51" customWidth="1" style="136" min="1" max="1"/>
    <col width="12.61" customWidth="1" style="136" min="2" max="5"/>
    <col width="13.2" customWidth="1" style="136" min="6" max="6"/>
  </cols>
  <sheetData>
    <row r="1" ht="40.5" customHeight="1" s="138">
      <c r="A1" s="181" t="inlineStr">
        <is>
          <t>ÇOKLU ASANSÖR TRAFİK HESABI</t>
        </is>
      </c>
      <c r="B1" s="182" t="n"/>
      <c r="C1" s="182" t="n"/>
      <c r="D1" s="182" t="n"/>
      <c r="E1" s="182" t="n"/>
      <c r="F1" s="183" t="n"/>
    </row>
    <row r="2" ht="24" customHeight="1" s="138">
      <c r="A2" s="184" t="inlineStr">
        <is>
          <t>ORTAK BİNA BİLGİLERİ</t>
        </is>
      </c>
      <c r="B2" s="140" t="n"/>
      <c r="C2" s="140" t="n"/>
      <c r="D2" s="140" t="n"/>
      <c r="E2" s="140" t="n"/>
      <c r="F2" s="185" t="n"/>
    </row>
    <row r="3" ht="21.75" customHeight="1" s="138">
      <c r="A3" s="186" t="inlineStr">
        <is>
          <t>Bina tipi / standart (yükseklikten otomatik)</t>
        </is>
      </c>
      <c r="B3" s="229">
        <f>IFERROR('ÇOKLU ASANSÖR'!B5&amp;" / "&amp;'ÇOKLU ASANSÖR'!B8,"—")</f>
        <v/>
      </c>
      <c r="C3" s="192" t="n"/>
      <c r="D3" s="192" t="n"/>
      <c r="E3" s="230" t="n"/>
      <c r="F3" s="189" t="n"/>
    </row>
    <row r="4" ht="21.75" customHeight="1" s="138">
      <c r="A4" s="186" t="inlineStr">
        <is>
          <t>Kat sayısı N (ana giriş üstü) / bodrum — grup maksimumu</t>
        </is>
      </c>
      <c r="B4" s="190">
        <f>IFERROR('ÇOKLU ASANSÖR'!B9&amp;IF('ÇOKLU ASANSÖR'!$H$13&gt;0," + "&amp;'ÇOKLU ASANSÖR'!$H$13&amp;" bodrum durağı",""),"—")</f>
        <v/>
      </c>
      <c r="C4" s="192" t="n"/>
      <c r="D4" s="192" t="n"/>
      <c r="E4" s="230" t="n"/>
      <c r="F4" s="189" t="inlineStr">
        <is>
          <t>kat</t>
        </is>
      </c>
    </row>
    <row r="5" ht="32.25" customHeight="1" s="138">
      <c r="A5" s="191">
        <f>IF('ÇOKLU ASANSÖR'!B5="Konut","Tablo-1: Her dairenin ilk yatak odası için 2 kişi, diğer odaların her biri için 1 kişi alınır; mutfak ve ıslak hacimler hesaba katılmaz.",IF(OR(LEFT('ÇOKLU ASANSÖR'!B5,10)="İş Merkezi",LEFT('ÇOKLU ASANSÖR'!B5,4)="Kamu"),"Tablo-1: Çalışma alanının her 12 m²si için 1 kişi alınır.",IF(LEFT('ÇOKLU ASANSÖR'!B5,4)="Otel","Tablo-1: Her yatak için 1 kişi alınır.",IF('ÇOKLU ASANSÖR'!B5="Hastane","Tablo-1: Her yatak için 3 kişi alınır.",IF('ÇOKLU ASANSÖR'!B5="Katlı Otopark","Tablo-1: Özel amaçlı araç başına 1 kişi, ticari amaçlı araç başına 1,5 kişi alınır.","Nüfus MMO/697 Tablo-1'e göre hesaplanmıştır.")))))</f>
        <v/>
      </c>
      <c r="B5" s="192" t="n"/>
      <c r="C5" s="192" t="n"/>
      <c r="D5" s="192" t="n"/>
      <c r="E5" s="192" t="n"/>
      <c r="F5" s="193" t="n"/>
    </row>
    <row r="6" ht="40.5" customHeight="1" s="138">
      <c r="A6" s="191">
        <f>IF(AND('ÇOKLU ASANSÖR'!B5="Konut",ISNUMBER('ÇOKLU ASANSÖR'!B11)),IF('ÇOKLU ASANSÖR'!B11=INT('ÇOKLU ASANSÖR'!B11),"Daireler "&amp;'ÇOKLU ASANSÖR'!B11&amp;"+1 olup bir dairede sayılan oda adedi "&amp;('ÇOKLU ASANSÖR'!B11+1)&amp;" olarak alınmıştır (1 ilk yatak odası + "&amp;'ÇOKLU ASANSÖR'!B11&amp;" diğer oda). Bir dairedeki kişi sayısı = 2 + ("&amp;'ÇOKLU ASANSÖR'!B11&amp;" × 1) = "&amp;(2+'ÇOKLU ASANSÖR'!B11)&amp;" kişi.","Daire başına ortalama diğer oda adedi "&amp;INT(ROUND('ÇOKLU ASANSÖR'!B11,2))&amp;","&amp;TEXT(MOD(ROUND('ÇOKLU ASANSÖR'!B11*100,0),100),"00")&amp;" alınmıştır. Bir dairedeki ortalama kişi sayısı = 2 + "&amp;INT(ROUND('ÇOKLU ASANSÖR'!B11,2))&amp;","&amp;TEXT(MOD(ROUND('ÇOKLU ASANSÖR'!B11*100,0),100),"00")&amp;" = "&amp;INT(ROUND((2+'ÇOKLU ASANSÖR'!B11),2))&amp;","&amp;TEXT(MOD(ROUND((2+'ÇOKLU ASANSÖR'!B11)*100,0),100),"00")&amp;" kişi."),IF(AND(OR(LEFT('ÇOKLU ASANSÖR'!B5,10)="İş Merkezi",LEFT('ÇOKLU ASANSÖR'!B5,4)="Kamu"),ISNUMBER('ÇOKLU ASANSÖR'!B10)),"Binadaki toplam çalışma alanı "&amp;IF('ÇOKLU ASANSÖR'!B10=INT('ÇOKLU ASANSÖR'!B10),'ÇOKLU ASANSÖR'!B10&amp;"",INT(ROUND('ÇOKLU ASANSÖR'!B10,2))&amp;","&amp;TEXT(MOD(ROUND('ÇOKLU ASANSÖR'!B10*100,0),100),"00"))&amp;" m² olarak alınmıştır.",IF(AND(OR(LEFT('ÇOKLU ASANSÖR'!B5,4)="Otel",'ÇOKLU ASANSÖR'!B5="Hastane"),ISNUMBER('ÇOKLU ASANSÖR'!B10)),"Binadaki toplam yatak sayısı "&amp;IF('ÇOKLU ASANSÖR'!B10=INT('ÇOKLU ASANSÖR'!B10),'ÇOKLU ASANSÖR'!B10&amp;"",INT(ROUND('ÇOKLU ASANSÖR'!B10,2))&amp;","&amp;TEXT(MOD(ROUND('ÇOKLU ASANSÖR'!B10*100,0),100),"00"))&amp;" olarak alınmıştır.",IF(AND('ÇOKLU ASANSÖR'!B5="Katlı Otopark",ISNUMBER('ÇOKLU ASANSÖR'!B10)),"Özel amaçlı araç adedi "&amp;IF('ÇOKLU ASANSÖR'!B10=INT('ÇOKLU ASANSÖR'!B10),'ÇOKLU ASANSÖR'!B10&amp;"",INT(ROUND('ÇOKLU ASANSÖR'!B10,2))&amp;","&amp;TEXT(MOD(ROUND('ÇOKLU ASANSÖR'!B10*100,0),100),"00"))&amp;", ticari amaçlı araç adedi "&amp;IF(ISNUMBER('ÇOKLU ASANSÖR'!B11),IF('ÇOKLU ASANSÖR'!B11=INT('ÇOKLU ASANSÖR'!B11),'ÇOKLU ASANSÖR'!B11&amp;"",INT(ROUND('ÇOKLU ASANSÖR'!B11,2))&amp;","&amp;TEXT(MOD(ROUND('ÇOKLU ASANSÖR'!B11*100,0),100),"00"))&amp;"","0")&amp;" olarak alınmıştır.","Nüfus, hesap sayfasındaki ayrıntılı tablodan alınmıştır."))))</f>
        <v/>
      </c>
      <c r="B6" s="192" t="n"/>
      <c r="C6" s="192" t="n"/>
      <c r="D6" s="192" t="n"/>
      <c r="E6" s="192" t="n"/>
      <c r="F6" s="193" t="n"/>
    </row>
    <row r="7" ht="23.25" customHeight="1" s="138">
      <c r="A7" s="194">
        <f>IF(NOT(ISNUMBER('ÇOKLU ASANSÖR'!B14)),"",IF(AND(ISNUMBER('ÇOKLU ASANSÖR'!B10),ABS('ÇOKLU ASANSÖR'!B14-(IF('ÇOKLU ASANSÖR'!B5="Konut",'ÇOKLU ASANSÖR'!B10*(2+'ÇOKLU ASANSÖR'!B11),IF(OR(LEFT('ÇOKLU ASANSÖR'!B5,10)="İş Merkezi",LEFT('ÇOKLU ASANSÖR'!B5,4)="Kamu"),'ÇOKLU ASANSÖR'!B10/12,IF(LEFT('ÇOKLU ASANSÖR'!B5,4)="Otel",'ÇOKLU ASANSÖR'!B10,IF('ÇOKLU ASANSÖR'!B5="Hastane",'ÇOKLU ASANSÖR'!B10*3,IF('ÇOKLU ASANSÖR'!B5="Katlı Otopark",'ÇOKLU ASANSÖR'!B10+IF(ISNUMBER('ÇOKLU ASANSÖR'!B11),'ÇOKLU ASANSÖR'!B11*1.5,0),-1)))))))&lt;0.01),IF('ÇOKLU ASANSÖR'!B5="Konut","Daire adedi "&amp;IF('ÇOKLU ASANSÖR'!B10=INT('ÇOKLU ASANSÖR'!B10),'ÇOKLU ASANSÖR'!B10&amp;"",INT(ROUND('ÇOKLU ASANSÖR'!B10,2))&amp;","&amp;TEXT(MOD(ROUND('ÇOKLU ASANSÖR'!B10*100,0),100),"00"))&amp;"  →  b = "&amp;IF('ÇOKLU ASANSÖR'!B10=INT('ÇOKLU ASANSÖR'!B10),'ÇOKLU ASANSÖR'!B10&amp;"",INT(ROUND('ÇOKLU ASANSÖR'!B10,2))&amp;","&amp;TEXT(MOD(ROUND('ÇOKLU ASANSÖR'!B10*100,0),100),"00"))&amp;" × "&amp;IF((2+'ÇOKLU ASANSÖR'!B11)=INT((2+'ÇOKLU ASANSÖR'!B11)),(2+'ÇOKLU ASANSÖR'!B11)&amp;"",INT(ROUND((2+'ÇOKLU ASANSÖR'!B11),2))&amp;","&amp;TEXT(MOD(ROUND((2+'ÇOKLU ASANSÖR'!B11)*100,0),100),"00"))&amp;" = "&amp;IF('ÇOKLU ASANSÖR'!B14=INT('ÇOKLU ASANSÖR'!B14),'ÇOKLU ASANSÖR'!B14&amp;"",INT(ROUND('ÇOKLU ASANSÖR'!B14,2))&amp;","&amp;TEXT(MOD(ROUND('ÇOKLU ASANSÖR'!B14*100,0),100),"00"))&amp;" kişi",IF(OR(LEFT('ÇOKLU ASANSÖR'!B5,10)="İş Merkezi",LEFT('ÇOKLU ASANSÖR'!B5,4)="Kamu"),"b = "&amp;IF('ÇOKLU ASANSÖR'!B10=INT('ÇOKLU ASANSÖR'!B10),'ÇOKLU ASANSÖR'!B10&amp;"",INT(ROUND('ÇOKLU ASANSÖR'!B10,2))&amp;","&amp;TEXT(MOD(ROUND('ÇOKLU ASANSÖR'!B10*100,0),100),"00"))&amp;" ÷ 12 = "&amp;IF('ÇOKLU ASANSÖR'!B14=INT('ÇOKLU ASANSÖR'!B14),'ÇOKLU ASANSÖR'!B14&amp;"",INT(ROUND('ÇOKLU ASANSÖR'!B14,2))&amp;","&amp;TEXT(MOD(ROUND('ÇOKLU ASANSÖR'!B14*100,0),100),"00"))&amp;" kişi",IF(LEFT('ÇOKLU ASANSÖR'!B5,4)="Otel","b = "&amp;IF('ÇOKLU ASANSÖR'!B10=INT('ÇOKLU ASANSÖR'!B10),'ÇOKLU ASANSÖR'!B10&amp;"",INT(ROUND('ÇOKLU ASANSÖR'!B10,2))&amp;","&amp;TEXT(MOD(ROUND('ÇOKLU ASANSÖR'!B10*100,0),100),"00"))&amp;" × 1 = "&amp;IF('ÇOKLU ASANSÖR'!B14=INT('ÇOKLU ASANSÖR'!B14),'ÇOKLU ASANSÖR'!B14&amp;"",INT(ROUND('ÇOKLU ASANSÖR'!B14,2))&amp;","&amp;TEXT(MOD(ROUND('ÇOKLU ASANSÖR'!B14*100,0),100),"00"))&amp;" kişi",IF('ÇOKLU ASANSÖR'!B5="Hastane","b = "&amp;IF('ÇOKLU ASANSÖR'!B10=INT('ÇOKLU ASANSÖR'!B10),'ÇOKLU ASANSÖR'!B10&amp;"",INT(ROUND('ÇOKLU ASANSÖR'!B10,2))&amp;","&amp;TEXT(MOD(ROUND('ÇOKLU ASANSÖR'!B10*100,0),100),"00"))&amp;" × 3 = "&amp;IF('ÇOKLU ASANSÖR'!B14=INT('ÇOKLU ASANSÖR'!B14),'ÇOKLU ASANSÖR'!B14&amp;"",INT(ROUND('ÇOKLU ASANSÖR'!B14,2))&amp;","&amp;TEXT(MOD(ROUND('ÇOKLU ASANSÖR'!B14*100,0),100),"00"))&amp;" kişi","b = ("&amp;IF('ÇOKLU ASANSÖR'!B10=INT('ÇOKLU ASANSÖR'!B10),'ÇOKLU ASANSÖR'!B10&amp;"",INT(ROUND('ÇOKLU ASANSÖR'!B10,2))&amp;","&amp;TEXT(MOD(ROUND('ÇOKLU ASANSÖR'!B10*100,0),100),"00"))&amp;" × 1) + ("&amp;IF(ISNUMBER('ÇOKLU ASANSÖR'!B11),IF('ÇOKLU ASANSÖR'!B11=INT('ÇOKLU ASANSÖR'!B11),'ÇOKLU ASANSÖR'!B11&amp;"",INT(ROUND('ÇOKLU ASANSÖR'!B11,2))&amp;","&amp;TEXT(MOD(ROUND('ÇOKLU ASANSÖR'!B11*100,0),100),"00"))&amp;"","0")&amp;" × 1,5) = "&amp;IF('ÇOKLU ASANSÖR'!B14=INT('ÇOKLU ASANSÖR'!B14),'ÇOKLU ASANSÖR'!B14&amp;"",INT(ROUND('ÇOKLU ASANSÖR'!B14,2))&amp;","&amp;TEXT(MOD(ROUND('ÇOKLU ASANSÖR'!B14*100,0),100),"00"))&amp;" kişi")))),"b = Σc = "&amp;IF('ÇOKLU ASANSÖR'!B14=INT('ÇOKLU ASANSÖR'!B14),'ÇOKLU ASANSÖR'!B14&amp;"",INT(ROUND('ÇOKLU ASANSÖR'!B14,2))&amp;","&amp;TEXT(MOD(ROUND('ÇOKLU ASANSÖR'!B14*100,0),100),"00"))&amp;" kişi  (hesap sayfasındaki ayrıntılı nüfus tablosundan)"))</f>
        <v/>
      </c>
      <c r="B7" s="192" t="n"/>
      <c r="C7" s="192" t="n"/>
      <c r="D7" s="192" t="n"/>
      <c r="E7" s="192" t="n"/>
      <c r="F7" s="193" t="n"/>
    </row>
    <row r="8" ht="21.75" customHeight="1" s="138">
      <c r="A8" s="186" t="inlineStr">
        <is>
          <t>b = Sürekli kişi / n = artış</t>
        </is>
      </c>
      <c r="B8" s="229">
        <f>IFERROR(IF('ÇOKLU ASANSÖR'!B14=INT('ÇOKLU ASANSÖR'!B14),'ÇOKLU ASANSÖR'!B14&amp;"",INT(ROUND('ÇOKLU ASANSÖR'!B14,2))&amp;","&amp;TEXT(MOD(ROUND('ÇOKLU ASANSÖR'!B14*100,0),100),"00"))&amp;" kişi  /  "&amp;INT(ROUND('ÇOKLU ASANSÖR'!B15,2))&amp;","&amp;TEXT(MOD(ROUND('ÇOKLU ASANSÖR'!B15*100,0),100),"00"),"—")</f>
        <v/>
      </c>
      <c r="C8" s="192" t="n"/>
      <c r="D8" s="192" t="n"/>
      <c r="E8" s="230" t="n"/>
      <c r="F8" s="189" t="n"/>
    </row>
    <row r="9" ht="23.25" customHeight="1" s="138">
      <c r="A9" s="195">
        <f>"B = b + (n·b) = "&amp;'ÇOKLU ASANSÖR'!B14&amp;" + ("&amp;INT(ROUND('ÇOKLU ASANSÖR'!B15,2))&amp;","&amp;TEXT(MOD(ROUND('ÇOKLU ASANSÖR'!B15*100,0),100),"00")&amp;"·"&amp;'ÇOKLU ASANSÖR'!B14&amp;")  =  "&amp;INT(ROUND('ÇOKLU ASANSÖR'!B16,1))&amp;","&amp;TEXT(MOD(ROUND('ÇOKLU ASANSÖR'!B16*10,0),10),"0")&amp;" kişi"</f>
        <v/>
      </c>
      <c r="B9" s="196" t="n"/>
      <c r="C9" s="196" t="n"/>
      <c r="D9" s="196" t="n"/>
      <c r="E9" s="196" t="n"/>
      <c r="F9" s="197" t="n"/>
    </row>
    <row r="10" ht="21.75" customHeight="1" s="138">
      <c r="A10" s="186" t="inlineStr">
        <is>
          <t>k = Taşınacak insan yüzdesi</t>
        </is>
      </c>
      <c r="B10" s="200">
        <f>IFERROR('ÇOKLU ASANSÖR'!B17,"—")</f>
        <v/>
      </c>
      <c r="C10" s="192" t="n"/>
      <c r="D10" s="192" t="n"/>
      <c r="E10" s="230" t="n"/>
      <c r="F10" s="189" t="inlineStr">
        <is>
          <t>Tablo-9</t>
        </is>
      </c>
    </row>
    <row r="11" ht="21.75" customHeight="1" s="138">
      <c r="A11" s="186" t="inlineStr">
        <is>
          <t>V = Kabin hızı (asansör bazında)</t>
        </is>
      </c>
      <c r="B11" s="198">
        <f>IFERROR(TRIM(IF('ÇOKLU ASANSÖR'!B24&lt;&gt;"","A1: "&amp;IF(ISNUMBER('ÇOKLU ASANSÖR'!B57),INT(ROUND('ÇOKLU ASANSÖR'!B57,2))&amp;","&amp;TEXT(MOD(ROUND('ÇOKLU ASANSÖR'!B57*100,0),100),"00"),'ÇOKLU ASANSÖR'!B57)&amp;" m/s","")&amp;IF('ÇOKLU ASANSÖR'!C24&lt;&gt;"","   |   A2: "&amp;IF(ISNUMBER('ÇOKLU ASANSÖR'!C57),INT(ROUND('ÇOKLU ASANSÖR'!C57,2))&amp;","&amp;TEXT(MOD(ROUND('ÇOKLU ASANSÖR'!C57*100,0),100),"00"),'ÇOKLU ASANSÖR'!C57)&amp;" m/s","")&amp;IF('ÇOKLU ASANSÖR'!D24&lt;&gt;"","   |   A3: "&amp;IF(ISNUMBER('ÇOKLU ASANSÖR'!D57),INT(ROUND('ÇOKLU ASANSÖR'!D57,2))&amp;","&amp;TEXT(MOD(ROUND('ÇOKLU ASANSÖR'!D57*100,0),100),"00"),'ÇOKLU ASANSÖR'!D57)&amp;" m/s","")&amp;IF('ÇOKLU ASANSÖR'!E24&lt;&gt;"","   |   A4: "&amp;IF(ISNUMBER('ÇOKLU ASANSÖR'!E57),INT(ROUND('ÇOKLU ASANSÖR'!E57,2))&amp;","&amp;TEXT(MOD(ROUND('ÇOKLU ASANSÖR'!E57*100,0),100),"00"),'ÇOKLU ASANSÖR'!E57)&amp;" m/s","")),"—")</f>
        <v/>
      </c>
      <c r="C11" s="192" t="n"/>
      <c r="D11" s="192" t="n"/>
      <c r="E11" s="230" t="n"/>
      <c r="F11" s="189" t="inlineStr">
        <is>
          <t>Tablo-2</t>
        </is>
      </c>
    </row>
    <row r="12" ht="24" customHeight="1" s="138">
      <c r="A12" s="184" t="inlineStr">
        <is>
          <t>ASANSÖR BAZINDA HESAP</t>
        </is>
      </c>
      <c r="B12" s="140" t="n"/>
      <c r="C12" s="140" t="n"/>
      <c r="D12" s="140" t="n"/>
      <c r="E12" s="140" t="n"/>
      <c r="F12" s="185" t="n"/>
    </row>
    <row r="13" ht="24" customHeight="1" s="138">
      <c r="A13" s="231" t="n"/>
      <c r="B13" s="232">
        <f>IF('ÇOKLU ASANSÖR'!B24="","","ASANSÖR-1")</f>
        <v/>
      </c>
      <c r="C13" s="232">
        <f>IF('ÇOKLU ASANSÖR'!C24="","","ASANSÖR-2")</f>
        <v/>
      </c>
      <c r="D13" s="232">
        <f>IF('ÇOKLU ASANSÖR'!D24="","","ASANSÖR-3")</f>
        <v/>
      </c>
      <c r="E13" s="232">
        <f>IF('ÇOKLU ASANSÖR'!E24="","","ASANSÖR-4")</f>
        <v/>
      </c>
      <c r="F13" s="233" t="inlineStr">
        <is>
          <t>Kaynak</t>
        </is>
      </c>
    </row>
    <row r="14" ht="23.25" customHeight="1" s="138">
      <c r="A14" s="186" t="inlineStr">
        <is>
          <t>P = Kabin kapasitesi (kişi)</t>
        </is>
      </c>
      <c r="B14" s="190">
        <f>IFERROR(IF('ÇOKLU ASANSÖR'!B24="","",'ÇOKLU ASANSÖR'!B24),"—")</f>
        <v/>
      </c>
      <c r="C14" s="190">
        <f>IFERROR(IF('ÇOKLU ASANSÖR'!C24="","",'ÇOKLU ASANSÖR'!C24),"—")</f>
        <v/>
      </c>
      <c r="D14" s="190">
        <f>IFERROR(IF('ÇOKLU ASANSÖR'!D24="","",'ÇOKLU ASANSÖR'!D24),"—")</f>
        <v/>
      </c>
      <c r="E14" s="190">
        <f>IFERROR(IF('ÇOKLU ASANSÖR'!E24="","",'ÇOKLU ASANSÖR'!E24),"—")</f>
        <v/>
      </c>
      <c r="F14" s="189">
        <f>IF(COUNTIF('ÇOKLU ASANSÖR'!B24:E24,15)&gt;0,"15 kişi: MMO örn. s.53-54 (Tablo-7 dışı)","Tablo-7")</f>
        <v/>
      </c>
    </row>
    <row r="15" ht="23.25" customHeight="1" s="138">
      <c r="A15" s="186" t="inlineStr">
        <is>
          <t>Kapı genişliği (mm)</t>
        </is>
      </c>
      <c r="B15" s="190">
        <f>IFERROR(IF('ÇOKLU ASANSÖR'!B24="","",'ÇOKLU ASANSÖR'!B25),"—")</f>
        <v/>
      </c>
      <c r="C15" s="190">
        <f>IFERROR(IF('ÇOKLU ASANSÖR'!C24="","",'ÇOKLU ASANSÖR'!C25),"—")</f>
        <v/>
      </c>
      <c r="D15" s="190">
        <f>IFERROR(IF('ÇOKLU ASANSÖR'!D24="","",'ÇOKLU ASANSÖR'!D25),"—")</f>
        <v/>
      </c>
      <c r="E15" s="190">
        <f>IFERROR(IF('ÇOKLU ASANSÖR'!E24="","",'ÇOKLU ASANSÖR'!E25),"—")</f>
        <v/>
      </c>
      <c r="F15" s="189" t="inlineStr">
        <is>
          <t>Projeden</t>
        </is>
      </c>
    </row>
    <row r="16" ht="23.25" customHeight="1" s="138">
      <c r="A16" s="186" t="inlineStr">
        <is>
          <t>h = Katlar arası mesafe (m)</t>
        </is>
      </c>
      <c r="B16" s="190">
        <f>IFERROR(IF('ÇOKLU ASANSÖR'!B24="","",INT(ROUND(IF('ÇOKLU ASANSÖR'!B62="",'ÇOKLU ASANSÖR'!$B$12,'ÇOKLU ASANSÖR'!B62),2))&amp;","&amp;TEXT(MOD(ROUND(IF('ÇOKLU ASANSÖR'!B62="",'ÇOKLU ASANSÖR'!$B$12,'ÇOKLU ASANSÖR'!B62)*100,0),100),"00")),"—")</f>
        <v/>
      </c>
      <c r="C16" s="190">
        <f>IFERROR(IF('ÇOKLU ASANSÖR'!C24="","",INT(ROUND(IF('ÇOKLU ASANSÖR'!C62="",'ÇOKLU ASANSÖR'!$B$12,'ÇOKLU ASANSÖR'!C62),2))&amp;","&amp;TEXT(MOD(ROUND(IF('ÇOKLU ASANSÖR'!C62="",'ÇOKLU ASANSÖR'!$B$12,'ÇOKLU ASANSÖR'!C62)*100,0),100),"00")),"—")</f>
        <v/>
      </c>
      <c r="D16" s="190">
        <f>IFERROR(IF('ÇOKLU ASANSÖR'!D24="","",INT(ROUND(IF('ÇOKLU ASANSÖR'!D62="",'ÇOKLU ASANSÖR'!$B$12,'ÇOKLU ASANSÖR'!D62),2))&amp;","&amp;TEXT(MOD(ROUND(IF('ÇOKLU ASANSÖR'!D62="",'ÇOKLU ASANSÖR'!$B$12,'ÇOKLU ASANSÖR'!D62)*100,0),100),"00")),"—")</f>
        <v/>
      </c>
      <c r="E16" s="190">
        <f>IFERROR(IF('ÇOKLU ASANSÖR'!E24="","",INT(ROUND(IF('ÇOKLU ASANSÖR'!E62="",'ÇOKLU ASANSÖR'!$B$12,'ÇOKLU ASANSÖR'!E62),2))&amp;","&amp;TEXT(MOD(ROUND(IF('ÇOKLU ASANSÖR'!E62="",'ÇOKLU ASANSÖR'!$B$12,'ÇOKLU ASANSÖR'!E62)*100,0),100),"00")),"—")</f>
        <v/>
      </c>
      <c r="F16" s="189" t="inlineStr">
        <is>
          <t>Projeden</t>
        </is>
      </c>
    </row>
    <row r="17" ht="23.25" customHeight="1" s="138">
      <c r="A17" s="186" t="inlineStr">
        <is>
          <t>p = 0,8·P</t>
        </is>
      </c>
      <c r="B17" s="199">
        <f>IFERROR(IF('ÇOKLU ASANSÖR'!B24="","",'ÇOKLU ASANSÖR'!B27),"—")</f>
        <v/>
      </c>
      <c r="C17" s="199">
        <f>IFERROR(IF('ÇOKLU ASANSÖR'!C24="","",'ÇOKLU ASANSÖR'!C27),"—")</f>
        <v/>
      </c>
      <c r="D17" s="199">
        <f>IFERROR(IF('ÇOKLU ASANSÖR'!D24="","",'ÇOKLU ASANSÖR'!D27),"—")</f>
        <v/>
      </c>
      <c r="E17" s="199">
        <f>IFERROR(IF('ÇOKLU ASANSÖR'!E24="","",'ÇOKLU ASANSÖR'!E27),"—")</f>
        <v/>
      </c>
      <c r="F17" s="189" t="inlineStr">
        <is>
          <t>MMO/697</t>
        </is>
      </c>
    </row>
    <row r="18" ht="23.25" customHeight="1" s="138">
      <c r="A18" s="186" t="inlineStr">
        <is>
          <t>H = Ort. en yüksek dönüş katı</t>
        </is>
      </c>
      <c r="B18" s="198">
        <f>IFERROR(IF('ÇOKLU ASANSÖR'!B24="","",'ÇOKLU ASANSÖR'!B28),"—")</f>
        <v/>
      </c>
      <c r="C18" s="198">
        <f>IFERROR(IF('ÇOKLU ASANSÖR'!C24="","",'ÇOKLU ASANSÖR'!C28),"—")</f>
        <v/>
      </c>
      <c r="D18" s="198">
        <f>IFERROR(IF('ÇOKLU ASANSÖR'!D24="","",'ÇOKLU ASANSÖR'!D28),"—")</f>
        <v/>
      </c>
      <c r="E18" s="198">
        <f>IFERROR(IF('ÇOKLU ASANSÖR'!E24="","",'ÇOKLU ASANSÖR'!E28),"—")</f>
        <v/>
      </c>
      <c r="F18" s="189" t="inlineStr">
        <is>
          <t>Tablo-3 (Ni)</t>
        </is>
      </c>
    </row>
    <row r="19" ht="23.25" customHeight="1" s="138">
      <c r="A19" s="186" t="inlineStr">
        <is>
          <t>S = Ortalama durak adedi</t>
        </is>
      </c>
      <c r="B19" s="198">
        <f>IFERROR(IF('ÇOKLU ASANSÖR'!B24="","",'ÇOKLU ASANSÖR'!B29),"—")</f>
        <v/>
      </c>
      <c r="C19" s="198">
        <f>IFERROR(IF('ÇOKLU ASANSÖR'!C24="","",'ÇOKLU ASANSÖR'!C29),"—")</f>
        <v/>
      </c>
      <c r="D19" s="198">
        <f>IFERROR(IF('ÇOKLU ASANSÖR'!D24="","",'ÇOKLU ASANSÖR'!D29),"—")</f>
        <v/>
      </c>
      <c r="E19" s="198">
        <f>IFERROR(IF('ÇOKLU ASANSÖR'!E24="","",'ÇOKLU ASANSÖR'!E29),"—")</f>
        <v/>
      </c>
      <c r="F19" s="189" t="inlineStr">
        <is>
          <t>Tablo-5 (Ni)</t>
        </is>
      </c>
    </row>
    <row r="20" ht="23.25" customHeight="1" s="138">
      <c r="A20" s="186" t="inlineStr">
        <is>
          <t>ta / tk (kapı aç/kapa)</t>
        </is>
      </c>
      <c r="B20" s="229">
        <f>IFERROR(IF('ÇOKLU ASANSÖR'!B24="","",INT(ROUND('ÇOKLU ASANSÖR'!B30,1))&amp;","&amp;TEXT(MOD(ROUND('ÇOKLU ASANSÖR'!B30*10,0),10),"0")&amp;" / "&amp;INT(ROUND('ÇOKLU ASANSÖR'!B31,1))&amp;","&amp;TEXT(MOD(ROUND('ÇOKLU ASANSÖR'!B31*10,0),10),"0")),"—")</f>
        <v/>
      </c>
      <c r="C20" s="229">
        <f>IFERROR(IF('ÇOKLU ASANSÖR'!C24="","",INT(ROUND('ÇOKLU ASANSÖR'!C30,1))&amp;","&amp;TEXT(MOD(ROUND('ÇOKLU ASANSÖR'!C30*10,0),10),"0")&amp;" / "&amp;INT(ROUND('ÇOKLU ASANSÖR'!C31,1))&amp;","&amp;TEXT(MOD(ROUND('ÇOKLU ASANSÖR'!C31*10,0),10),"0")),"—")</f>
        <v/>
      </c>
      <c r="D20" s="187">
        <f>IFERROR(IF('ÇOKLU ASANSÖR'!D24="","",INT(ROUND('ÇOKLU ASANSÖR'!D30,1))&amp;","&amp;TEXT(MOD(ROUND('ÇOKLU ASANSÖR'!D30*10,0),10),"0")&amp;" / "&amp;INT(ROUND('ÇOKLU ASANSÖR'!D31,1))&amp;","&amp;TEXT(MOD(ROUND('ÇOKLU ASANSÖR'!D31*10,0),10),"0")),"—")</f>
        <v/>
      </c>
      <c r="E20" s="187">
        <f>IFERROR(IF('ÇOKLU ASANSÖR'!E24="","",INT(ROUND('ÇOKLU ASANSÖR'!E30,1))&amp;","&amp;TEXT(MOD(ROUND('ÇOKLU ASANSÖR'!E30*10,0),10),"0")&amp;" / "&amp;INT(ROUND('ÇOKLU ASANSÖR'!E31,1))&amp;","&amp;TEXT(MOD(ROUND('ÇOKLU ASANSÖR'!E31*10,0),10),"0")),"—")</f>
        <v/>
      </c>
      <c r="F20" s="189">
        <f>IF(COUNT('ÇOKLU ASANSÖR'!B102:E103)&gt;0,"Tablo-4 / imalatçı verisi","Tablo-4")</f>
        <v/>
      </c>
    </row>
    <row r="21" ht="23.25" customHeight="1" s="138">
      <c r="A21" s="186" t="inlineStr">
        <is>
          <t>tg / tp (geçiş / transfer)</t>
        </is>
      </c>
      <c r="B21" s="229">
        <f>IFERROR(IF('ÇOKLU ASANSÖR'!B24="","",INT(ROUND('ÇOKLU ASANSÖR'!B32,1))&amp;","&amp;TEXT(MOD(ROUND('ÇOKLU ASANSÖR'!B32*10,0),10),"0")&amp;" / "&amp;INT(ROUND('ÇOKLU ASANSÖR'!B33,1))&amp;","&amp;TEXT(MOD(ROUND('ÇOKLU ASANSÖR'!B33*10,0),10),"0")),"—")</f>
        <v/>
      </c>
      <c r="C21" s="229">
        <f>IFERROR(IF('ÇOKLU ASANSÖR'!C24="","",INT(ROUND('ÇOKLU ASANSÖR'!C32,1))&amp;","&amp;TEXT(MOD(ROUND('ÇOKLU ASANSÖR'!C32*10,0),10),"0")&amp;" / "&amp;INT(ROUND('ÇOKLU ASANSÖR'!C33,1))&amp;","&amp;TEXT(MOD(ROUND('ÇOKLU ASANSÖR'!C33*10,0),10),"0")),"—")</f>
        <v/>
      </c>
      <c r="D21" s="187">
        <f>IFERROR(IF('ÇOKLU ASANSÖR'!D24="","",INT(ROUND('ÇOKLU ASANSÖR'!D32,1))&amp;","&amp;TEXT(MOD(ROUND('ÇOKLU ASANSÖR'!D32*10,0),10),"0")&amp;" / "&amp;INT(ROUND('ÇOKLU ASANSÖR'!D33,1))&amp;","&amp;TEXT(MOD(ROUND('ÇOKLU ASANSÖR'!D33*10,0),10),"0")),"—")</f>
        <v/>
      </c>
      <c r="E21" s="187">
        <f>IFERROR(IF('ÇOKLU ASANSÖR'!E24="","",INT(ROUND('ÇOKLU ASANSÖR'!E32,1))&amp;","&amp;TEXT(MOD(ROUND('ÇOKLU ASANSÖR'!E32*10,0),10),"0")&amp;" / "&amp;INT(ROUND('ÇOKLU ASANSÖR'!E33,1))&amp;","&amp;TEXT(MOD(ROUND('ÇOKLU ASANSÖR'!E33*10,0),10),"0")),"—")</f>
        <v/>
      </c>
      <c r="F21" s="189">
        <f>IF(COUNT('ÇOKLU ASANSÖR'!B104:E105)&gt;0,"MMO T-6 / ISO 8100-32 T-6 / imalatçı","MMO T-6 / ISO 8100-32 T-6")</f>
        <v/>
      </c>
    </row>
    <row r="22" ht="23.25" customHeight="1" s="138">
      <c r="A22" s="186" t="inlineStr">
        <is>
          <t>ts = ta+tk+tg−tv</t>
        </is>
      </c>
      <c r="B22" s="198">
        <f>IFERROR(IF('ÇOKLU ASANSÖR'!B24="","",'ÇOKLU ASANSÖR'!B35),"—")</f>
        <v/>
      </c>
      <c r="C22" s="198">
        <f>IFERROR(IF('ÇOKLU ASANSÖR'!C24="","",'ÇOKLU ASANSÖR'!C35),"—")</f>
        <v/>
      </c>
      <c r="D22" s="198">
        <f>IFERROR(IF('ÇOKLU ASANSÖR'!D24="","",'ÇOKLU ASANSÖR'!D35),"—")</f>
        <v/>
      </c>
      <c r="E22" s="198">
        <f>IFERROR(IF('ÇOKLU ASANSÖR'!E24="","",'ÇOKLU ASANSÖR'!E35),"—")</f>
        <v/>
      </c>
      <c r="F22" s="189" t="n"/>
    </row>
    <row r="23" ht="23.25" customHeight="1" s="138">
      <c r="A23" s="186" t="inlineStr">
        <is>
          <t>TR = 2·H·tv+(S+1)·ts+2·p·tp  (s)</t>
        </is>
      </c>
      <c r="B23" s="198">
        <f>IFERROR(IF('ÇOKLU ASANSÖR'!B24="","",'ÇOKLU ASANSÖR'!B36),"—")</f>
        <v/>
      </c>
      <c r="C23" s="198">
        <f>IFERROR(IF('ÇOKLU ASANSÖR'!C24="","",'ÇOKLU ASANSÖR'!C36),"—")</f>
        <v/>
      </c>
      <c r="D23" s="198">
        <f>IFERROR(IF('ÇOKLU ASANSÖR'!D24="","",'ÇOKLU ASANSÖR'!D36),"—")</f>
        <v/>
      </c>
      <c r="E23" s="198">
        <f>IFERROR(IF('ÇOKLU ASANSÖR'!E24="","",'ÇOKLU ASANSÖR'!E36),"—")</f>
        <v/>
      </c>
      <c r="F23" s="189" t="n"/>
    </row>
    <row r="24" ht="23.25" customHeight="1" s="138">
      <c r="A24" s="186" t="inlineStr">
        <is>
          <t>R = 5·60·p / TR  (kişi/5dk)</t>
        </is>
      </c>
      <c r="B24" s="198">
        <f>IFERROR(IF('ÇOKLU ASANSÖR'!B24="","",'ÇOKLU ASANSÖR'!B37),"—")</f>
        <v/>
      </c>
      <c r="C24" s="198">
        <f>IFERROR(IF('ÇOKLU ASANSÖR'!C24="","",'ÇOKLU ASANSÖR'!C37),"—")</f>
        <v/>
      </c>
      <c r="D24" s="198">
        <f>IFERROR(IF('ÇOKLU ASANSÖR'!D24="","",'ÇOKLU ASANSÖR'!D37),"—")</f>
        <v/>
      </c>
      <c r="E24" s="198">
        <f>IFERROR(IF('ÇOKLU ASANSÖR'!E24="","",'ÇOKLU ASANSÖR'!E37),"—")</f>
        <v/>
      </c>
      <c r="F24" s="189" t="n"/>
    </row>
    <row r="25" ht="24" customHeight="1" s="138">
      <c r="A25" s="184" t="inlineStr">
        <is>
          <t>GRUP KONTROLÜ — MMO/697 s.12 (farklı kapasiteli asansörler)</t>
        </is>
      </c>
      <c r="B25" s="140" t="n"/>
      <c r="C25" s="140" t="n"/>
      <c r="D25" s="140" t="n"/>
      <c r="E25" s="140" t="n"/>
      <c r="F25" s="185" t="n"/>
    </row>
    <row r="26" ht="20.25" customHeight="1" s="138">
      <c r="A26" s="191" t="inlineStr">
        <is>
          <t>Reş = ΣRi ≥ B·k    ve    1/TReş = Σ(1/TRi),  TReş ≤ Izul</t>
        </is>
      </c>
      <c r="B26" s="192" t="n"/>
      <c r="C26" s="192" t="n"/>
      <c r="D26" s="192" t="n"/>
      <c r="E26" s="192" t="n"/>
      <c r="F26" s="193" t="n"/>
    </row>
    <row r="27" ht="24" customHeight="1" s="138">
      <c r="A27" s="195">
        <f>IF('ÇOKLU ASANSÖR'!$B$47&lt;&gt;"OK",'ÇOKLU ASANSÖR'!$B$47,"Reş = "&amp;IF('ÇOKLU ASANSÖR'!B24&lt;&gt;"","R1="&amp;INT(ROUND('ÇOKLU ASANSÖR'!B37,1))&amp;","&amp;TEXT(MOD(ROUND('ÇOKLU ASANSÖR'!B37*10,0),10),"0"),"")&amp;IF('ÇOKLU ASANSÖR'!C24&lt;&gt;"",IF('ÇOKLU ASANSÖR'!B24&lt;&gt;""," + ","")&amp;"R2="&amp;INT(ROUND('ÇOKLU ASANSÖR'!C37,1))&amp;","&amp;TEXT(MOD(ROUND('ÇOKLU ASANSÖR'!C37*10,0),10),"0"),"")&amp;IF('ÇOKLU ASANSÖR'!D24&lt;&gt;"",IF(COUNT('ÇOKLU ASANSÖR'!B24:C24)&gt;0," + ","")&amp;"R3="&amp;INT(ROUND('ÇOKLU ASANSÖR'!D37,1))&amp;","&amp;TEXT(MOD(ROUND('ÇOKLU ASANSÖR'!D37*10,0),10),"0"),"")&amp;IF('ÇOKLU ASANSÖR'!E24&lt;&gt;"",IF(COUNT('ÇOKLU ASANSÖR'!B24:D24)&gt;0," + ","")&amp;"R4="&amp;INT(ROUND('ÇOKLU ASANSÖR'!E37,1))&amp;","&amp;TEXT(MOD(ROUND('ÇOKLU ASANSÖR'!E37*10,0),10),"0"),"")&amp;" = "&amp;INT(ROUND('ÇOKLU ASANSÖR'!B40,1))&amp;","&amp;TEXT(MOD(ROUND('ÇOKLU ASANSÖR'!B40*10,0),10),"0")&amp;"  ≥  B·k = "&amp;INT(ROUND('ÇOKLU ASANSÖR'!B41,1))&amp;","&amp;TEXT(MOD(ROUND('ÇOKLU ASANSÖR'!B41*10,0),10),"0")&amp;"  →  "&amp;IF('ÇOKLU ASANSÖR'!B40&gt;='ÇOKLU ASANSÖR'!B41,"SAĞLANIYOR","SAĞLANMIYOR"))</f>
        <v/>
      </c>
      <c r="B27" s="196" t="n"/>
      <c r="C27" s="196" t="n"/>
      <c r="D27" s="196" t="n"/>
      <c r="E27" s="196" t="n"/>
      <c r="F27" s="197" t="n"/>
    </row>
    <row r="28" ht="24" customHeight="1" s="138">
      <c r="A28" s="195">
        <f>IF('ÇOKLU ASANSÖR'!$B$47&lt;&gt;"OK",'ÇOKLU ASANSÖR'!$B$47,"1/TReş = "&amp;IF('ÇOKLU ASANSÖR'!B24&lt;&gt;"","1/TR1 (1/"&amp;INT(ROUND('ÇOKLU ASANSÖR'!B36,1))&amp;","&amp;TEXT(MOD(ROUND('ÇOKLU ASANSÖR'!B36*10,0),10),"0")&amp;")","")&amp;IF('ÇOKLU ASANSÖR'!C24&lt;&gt;"",IF('ÇOKLU ASANSÖR'!B24&lt;&gt;""," + ","")&amp;"1/TR2 (1/"&amp;INT(ROUND('ÇOKLU ASANSÖR'!C36,1))&amp;","&amp;TEXT(MOD(ROUND('ÇOKLU ASANSÖR'!C36*10,0),10),"0")&amp;")","")&amp;IF('ÇOKLU ASANSÖR'!D24&lt;&gt;"",IF(COUNT('ÇOKLU ASANSÖR'!B24:C24)&gt;0," + ","")&amp;"1/TR3 (1/"&amp;INT(ROUND('ÇOKLU ASANSÖR'!D36,1))&amp;","&amp;TEXT(MOD(ROUND('ÇOKLU ASANSÖR'!D36*10,0),10),"0")&amp;")","")&amp;IF('ÇOKLU ASANSÖR'!E24&lt;&gt;"",IF(COUNT('ÇOKLU ASANSÖR'!B24:D24)&gt;0," + ","")&amp;"1/TR4 (1/"&amp;INT(ROUND('ÇOKLU ASANSÖR'!E36,1))&amp;","&amp;TEXT(MOD(ROUND('ÇOKLU ASANSÖR'!E36*10,0),10),"0")&amp;")","")&amp;"  →  TReş = "&amp;INT(ROUND('ÇOKLU ASANSÖR'!B43,1))&amp;","&amp;TEXT(MOD(ROUND('ÇOKLU ASANSÖR'!B43*10,0),10),"0")&amp;" s  ≤  Izul = "&amp;'ÇOKLU ASANSÖR'!B44&amp;" s  →  "&amp;IF('ÇOKLU ASANSÖR'!B43&lt;='ÇOKLU ASANSÖR'!B44,"SAĞLANIYOR","SAĞLANMIYOR"))</f>
        <v/>
      </c>
      <c r="B28" s="196" t="n"/>
      <c r="C28" s="196" t="n"/>
      <c r="D28" s="196" t="n"/>
      <c r="E28" s="196" t="n"/>
      <c r="F28" s="197" t="n"/>
    </row>
    <row r="29" ht="35.25" customHeight="1" s="138">
      <c r="A29" s="201">
        <f>'ÇOKLU ASANSÖR'!B53</f>
        <v/>
      </c>
      <c r="B29" s="202" t="n"/>
      <c r="C29" s="202" t="n"/>
      <c r="D29" s="202" t="n"/>
      <c r="E29" s="202" t="n"/>
      <c r="F29" s="203" t="n"/>
    </row>
    <row r="30" ht="32.25" customHeight="1" s="138">
      <c r="A30" s="204">
        <f>'ÇOKLU ASANSÖR'!B54</f>
        <v/>
      </c>
      <c r="B30" s="205" t="n"/>
      <c r="C30" s="205" t="n"/>
      <c r="D30" s="205" t="n"/>
      <c r="E30" s="205" t="n"/>
      <c r="F30" s="20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8">
    <mergeCell ref="A2:F2"/>
    <mergeCell ref="A28:F28"/>
    <mergeCell ref="B8:E8"/>
    <mergeCell ref="B4:E4"/>
    <mergeCell ref="A1:F1"/>
    <mergeCell ref="A5:F5"/>
    <mergeCell ref="A9:F9"/>
    <mergeCell ref="A27:F27"/>
    <mergeCell ref="A6:F6"/>
    <mergeCell ref="B11:E11"/>
    <mergeCell ref="B3:E3"/>
    <mergeCell ref="A12:F12"/>
    <mergeCell ref="A26:F26"/>
    <mergeCell ref="A30:F30"/>
    <mergeCell ref="A29:F29"/>
    <mergeCell ref="A7:F7"/>
    <mergeCell ref="A25:F25"/>
    <mergeCell ref="B10:E10"/>
  </mergeCells>
  <printOptions horizontalCentered="1" verticalCentered="0" headings="0" gridLines="0" gridLinesSet="1"/>
  <pageMargins left="0.39375" right="0.39375" top="0.393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36" customWidth="1" style="137" min="1" max="1"/>
    <col width="12" customWidth="1" style="137" min="2" max="2"/>
    <col width="16" customWidth="1" style="137" min="3" max="3"/>
    <col width="3" customWidth="1" style="137" min="4" max="4"/>
    <col width="21" customWidth="1" style="137" min="5" max="7"/>
    <col width="2" customWidth="1" style="137" min="8" max="11"/>
  </cols>
  <sheetData>
    <row r="1" ht="31.5" customHeight="1" s="138">
      <c r="A1" s="234" t="inlineStr">
        <is>
          <t>MMO/697 NÜFUS KATSAYILARI — YARDIMCI REFERANS</t>
        </is>
      </c>
    </row>
    <row r="2" ht="33.75" customHeight="1" s="138">
      <c r="A2" s="235" t="inlineStr">
        <is>
          <t>Nüfus girdileri artık HESAPLAMA ve ÇOKLU ASANSÖR sayfalarının altındaki ayrıntılı tablolara girilir. Bu sayfa yalnız katsayı kaynağıdır.</t>
        </is>
      </c>
    </row>
    <row r="3" ht="15" customHeight="1" s="138">
      <c r="A3" s="236" t="inlineStr">
        <is>
          <t>TABLO-1 KATSAYI EŞLEMESİ</t>
        </is>
      </c>
      <c r="E3" s="237" t="inlineStr">
        <is>
          <t>KULLANIM NOTLARI</t>
        </is>
      </c>
    </row>
    <row r="4" ht="37.5" customHeight="1" s="138">
      <c r="A4" s="238" t="inlineStr">
        <is>
          <t>Kalem</t>
        </is>
      </c>
      <c r="B4" s="238" t="inlineStr">
        <is>
          <t>Birim</t>
        </is>
      </c>
      <c r="C4" s="238" t="inlineStr">
        <is>
          <t>Kişi katsayısı</t>
        </is>
      </c>
      <c r="E4" s="239" t="inlineStr">
        <is>
          <t>Konut: Her bağımsız bölümün ilk yatak odasını ve diğer odalarını ayrı miktarlar olarak girin.</t>
        </is>
      </c>
      <c r="F4" s="240" t="n"/>
      <c r="G4" s="241" t="n"/>
    </row>
    <row r="5" ht="37.5" customHeight="1" s="138">
      <c r="A5" s="242" t="inlineStr">
        <is>
          <t>KONUT — İlk yatak odası</t>
        </is>
      </c>
      <c r="B5" s="242" t="inlineStr">
        <is>
          <t>oda</t>
        </is>
      </c>
      <c r="C5" s="243" t="n">
        <v>2</v>
      </c>
      <c r="E5" s="239" t="inlineStr">
        <is>
          <t>İş merkezi / resmî bina: Miktar alanına toplam çalışma alanını m² olarak girin; katsayı 1/12'dir.</t>
        </is>
      </c>
      <c r="F5" s="240" t="n"/>
      <c r="G5" s="241" t="n"/>
    </row>
    <row r="6" ht="37.5" customHeight="1" s="138">
      <c r="A6" s="242" t="inlineStr">
        <is>
          <t>KONUT — Diğer oda</t>
        </is>
      </c>
      <c r="B6" s="242" t="inlineStr">
        <is>
          <t>oda</t>
        </is>
      </c>
      <c r="C6" s="243" t="n">
        <v>1</v>
      </c>
      <c r="E6" s="239" t="inlineStr">
        <is>
          <t>Karma yapı: Her kullanım kalemini ayrı satıra ekleyin. Tablo-9'da k yoksa manuel k zorunludur.</t>
        </is>
      </c>
      <c r="F6" s="240" t="n"/>
      <c r="G6" s="241" t="n"/>
    </row>
    <row r="7" ht="45.75" customHeight="1" s="138">
      <c r="A7" s="242" t="inlineStr">
        <is>
          <t>OTEL — Yatak</t>
        </is>
      </c>
      <c r="B7" s="242" t="inlineStr">
        <is>
          <t>yatak</t>
        </is>
      </c>
      <c r="C7" s="243" t="n">
        <v>1</v>
      </c>
      <c r="E7" s="239" t="inlineStr">
        <is>
          <t>DOĞRUDAN KİŞİ kalemi MMO/697 Tablo-1 dışındaki proje verileri içindir; mühendislik gerekçesini açıklama alanına yazın.</t>
        </is>
      </c>
      <c r="F7" s="240" t="n"/>
      <c r="G7" s="241" t="n"/>
    </row>
    <row r="8" ht="15" customHeight="1" s="138">
      <c r="A8" s="242" t="inlineStr">
        <is>
          <t>İŞ MERKEZİ — Çalışma alanı</t>
        </is>
      </c>
      <c r="B8" s="242" t="inlineStr">
        <is>
          <t>m²</t>
        </is>
      </c>
      <c r="C8" s="244" t="n">
        <v>0.0833333333333333</v>
      </c>
      <c r="E8" s="137" t="inlineStr">
        <is>
          <t>HIZLI GİRİŞ: HESAPLAMA ve ÇOKLU ASANSÖR sayfalarındaki ⑤/⑥ kutuları bina tipine göre doğru Tablo-1 kalemini kendisi seçer; bu tabloya yalnız karma/istisnai nüfus için satır eklenir.</t>
        </is>
      </c>
    </row>
    <row r="9" ht="15" customHeight="1" s="138">
      <c r="A9" s="242" t="inlineStr">
        <is>
          <t>HASTANE — Yatak</t>
        </is>
      </c>
      <c r="B9" s="242" t="inlineStr">
        <is>
          <t>yatak</t>
        </is>
      </c>
      <c r="C9" s="243" t="n">
        <v>3</v>
      </c>
    </row>
    <row r="10" ht="15" customHeight="1" s="138">
      <c r="A10" s="242" t="inlineStr">
        <is>
          <t>RESMİ BİNA — Çalışma alanı</t>
        </is>
      </c>
      <c r="B10" s="242" t="inlineStr">
        <is>
          <t>m²</t>
        </is>
      </c>
      <c r="C10" s="244" t="n">
        <v>0.0833333333333333</v>
      </c>
    </row>
    <row r="11" ht="15" customHeight="1" s="138">
      <c r="A11" s="242" t="inlineStr">
        <is>
          <t>OTOPARK — Ticari araç</t>
        </is>
      </c>
      <c r="B11" s="242" t="inlineStr">
        <is>
          <t>araç</t>
        </is>
      </c>
      <c r="C11" s="244" t="n">
        <v>1.5</v>
      </c>
    </row>
    <row r="12" ht="15" customHeight="1" s="138">
      <c r="A12" s="242" t="inlineStr">
        <is>
          <t>OTOPARK — Özel araç</t>
        </is>
      </c>
      <c r="B12" s="242" t="inlineStr">
        <is>
          <t>araç</t>
        </is>
      </c>
      <c r="C12" s="243" t="n">
        <v>1</v>
      </c>
    </row>
    <row r="13" ht="15" customHeight="1" s="138">
      <c r="A13" s="242" t="inlineStr">
        <is>
          <t>DOĞRUDAN KİŞİ — Tablo-1 dışı</t>
        </is>
      </c>
      <c r="B13" s="242" t="inlineStr">
        <is>
          <t>kişi</t>
        </is>
      </c>
      <c r="C13" s="243" t="n">
        <v>1</v>
      </c>
    </row>
    <row r="14" ht="7.5" customHeight="1" s="138"/>
    <row r="15" ht="7.5" customHeight="1" s="138"/>
    <row r="16" ht="7.5" customHeight="1" s="138"/>
    <row r="17" ht="7.5" customHeight="1" s="138"/>
    <row r="18" ht="7.5" customHeight="1" s="138"/>
    <row r="19" ht="7.5" customHeight="1" s="138"/>
    <row r="20" ht="7.5" customHeight="1" s="138"/>
    <row r="21" ht="7.5" customHeight="1" s="138"/>
    <row r="22" ht="7.5" customHeight="1" s="138"/>
    <row r="23" ht="7.5" customHeight="1" s="138"/>
    <row r="24" ht="7.5" customHeight="1" s="138"/>
    <row r="25" ht="7.5" customHeight="1" s="138"/>
    <row r="26" ht="7.5" customHeight="1" s="138"/>
    <row r="27" ht="7.5" customHeight="1" s="138"/>
    <row r="28" ht="7.5" customHeight="1" s="138"/>
    <row r="29" ht="7.5" customHeight="1" s="138"/>
    <row r="30" ht="7.5" customHeight="1" s="138"/>
    <row r="31" ht="7.5" customHeight="1" s="138"/>
    <row r="32" ht="7.5" customHeight="1" s="138"/>
    <row r="33" ht="7.5" customHeight="1" s="138"/>
    <row r="34" ht="7.5" customHeight="1" s="138"/>
    <row r="35" ht="7.5" customHeight="1" s="138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8">
    <mergeCell ref="A1:G1"/>
    <mergeCell ref="E5:G5"/>
    <mergeCell ref="A2:G2"/>
    <mergeCell ref="A3:C3"/>
    <mergeCell ref="E4:G4"/>
    <mergeCell ref="E3:G3"/>
    <mergeCell ref="E7:G7"/>
    <mergeCell ref="E6:G6"/>
  </mergeCells>
  <dataValidations count="1">
    <dataValidation sqref="D5:D17 D22:D34" showDropDown="0" showInputMessage="0" showErrorMessage="1" allowBlank="0" errorTitle="Geçersiz miktar" error="Sıfır veya pozitif bir miktar girin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24" customWidth="1" style="137" min="1" max="1"/>
    <col width="68" customWidth="1" style="137" min="2" max="2"/>
    <col width="30" customWidth="1" style="137" min="3" max="3"/>
    <col width="64" customWidth="1" style="137" min="4" max="4"/>
  </cols>
  <sheetData>
    <row r="1" ht="30" customHeight="1" s="138">
      <c r="A1" s="245" t="inlineStr">
        <is>
          <t>HESAP VE UYUM KAYNAKLARI</t>
        </is>
      </c>
    </row>
    <row r="2" ht="15" customHeight="1" s="138">
      <c r="A2" s="246" t="n"/>
      <c r="B2" s="246" t="n"/>
      <c r="C2" s="246" t="n"/>
      <c r="D2" s="246" t="n"/>
    </row>
    <row r="3" ht="15" customHeight="1" s="138">
      <c r="A3" s="247" t="inlineStr">
        <is>
          <t>Konu</t>
        </is>
      </c>
      <c r="B3" s="247" t="inlineStr">
        <is>
          <t>Kaynak</t>
        </is>
      </c>
      <c r="C3" s="247" t="inlineStr">
        <is>
          <t>Konum</t>
        </is>
      </c>
      <c r="D3" s="247" t="inlineStr">
        <is>
          <t>Uygulama notu</t>
        </is>
      </c>
    </row>
    <row r="4" ht="42" customHeight="1" s="138">
      <c r="A4" s="248" t="inlineStr">
        <is>
          <t>Ana trafik hesabı</t>
        </is>
      </c>
      <c r="B4" s="248" t="inlineStr">
        <is>
          <t>MMO/697 — Asansör Avan Projesi Hazırlama Teknik Esasları, 2. Baskı, Ocak 2020</t>
        </is>
      </c>
      <c r="C4" s="248" t="inlineStr">
        <is>
          <t>s.11-17</t>
        </is>
      </c>
      <c r="D4" s="248" t="inlineStr">
        <is>
          <t>TR, R, H, S, p, Tablo 1-10 ve b=Σc</t>
        </is>
      </c>
    </row>
    <row r="5" ht="42" customHeight="1" s="138">
      <c r="A5" s="248" t="inlineStr">
        <is>
          <t>Yüksek bina tanımı</t>
        </is>
      </c>
      <c r="B5" s="248" t="inlineStr">
        <is>
          <t>Binaların Yangından Korunması Hakkında Yönetmelik Kılavuzu</t>
        </is>
      </c>
      <c r="C5" s="248" t="inlineStr">
        <is>
          <t>md.4 / PDF s.15</t>
        </is>
      </c>
      <c r="D5" s="248" t="inlineStr">
        <is>
          <t>Bina yüksekliği &gt;21,50 m veya yapı yüksekliği &gt;30,50 m ise yüksek bina</t>
        </is>
      </c>
    </row>
    <row r="6" ht="42" customHeight="1" s="138">
      <c r="A6" s="248" t="inlineStr">
        <is>
          <t>Resmî kaynak URL</t>
        </is>
      </c>
      <c r="B6" s="248" t="inlineStr">
        <is>
          <t>https://webdosya.csb.gov.tr/v2/meslekihizmetler/2026/05/Binalar-n-Yang-n-Korunmas-Hakk-nda-Y-netmelik-K-lavuzu-20260507112134.pdf</t>
        </is>
      </c>
      <c r="C6" s="248" t="inlineStr">
        <is>
          <t>ÇŞİDB Mesleki Hizmetler Genel Müdürlüğü</t>
        </is>
      </c>
      <c r="D6" s="248" t="inlineStr">
        <is>
          <t>Yüksek bina ölçütü çalışma kitabında otomatik standarda dönüştürülür</t>
        </is>
      </c>
    </row>
    <row r="7" ht="42" customHeight="1" s="138">
      <c r="A7" s="248" t="inlineStr">
        <is>
          <t>15 kişi / 1125 kg</t>
        </is>
      </c>
      <c r="B7" s="248" t="inlineStr">
        <is>
          <t>MMO/697 örnek proje</t>
        </is>
      </c>
      <c r="C7" s="248" t="inlineStr">
        <is>
          <t>s.53-54</t>
        </is>
      </c>
      <c r="D7" s="248" t="inlineStr">
        <is>
          <t>Tablo-7 kaydı değildir; örnek istisnası olarak etiketlenir</t>
        </is>
      </c>
    </row>
    <row r="8" ht="42" customHeight="1" s="138">
      <c r="A8" s="248" t="inlineStr">
        <is>
          <t>Basılı TR₁ aritmetiği</t>
        </is>
      </c>
      <c r="B8" s="248" t="inlineStr">
        <is>
          <t>MMO/697 örnek proje</t>
        </is>
      </c>
      <c r="C8" s="248" t="inlineStr">
        <is>
          <t>s.54</t>
        </is>
      </c>
      <c r="D8" s="248" t="inlineStr">
        <is>
          <t>Basılı 149,9955 s yerine kitabın eski tp=2,2 s girdileriyle denklem sonucu yaklaşık 174,03 s'dir; güncel tp tablosunda TR değişir</t>
        </is>
      </c>
    </row>
    <row r="9" ht="48" customHeight="1" s="138">
      <c r="A9" s="248" t="inlineStr">
        <is>
          <t>Kişi transfer zamanı (tp)</t>
        </is>
      </c>
      <c r="B9" s="248" t="inlineStr">
        <is>
          <t>ISO 8100-32:2020, "Lifts — Part 32: Planning and selection of passenger lifts to be installed in office, hotel and residential buildings", Tablo 6</t>
        </is>
      </c>
      <c r="C9" s="248" t="inlineStr">
        <is>
          <t>Tablo-8</t>
        </is>
      </c>
      <c r="D9" s="248" t="inlineStr">
        <is>
          <t>800 mm: 1,2 s | 900 mm: 1,1 s | 1000-1100 mm: 1,0 s | 1200-1300 mm: 0,9 s. 800 mm satırı ISO/CD 8100-32 (2017) Tablo 6 ve Barney/Peters (2018) Tablo 3 ile teyitlidir; 1300 mm, 1200 mm değerinin düz devamıdır.</t>
        </is>
      </c>
    </row>
    <row r="10" ht="33.75" customHeight="1" s="138">
      <c r="A10" s="249" t="inlineStr">
        <is>
          <t>Not: Yükseklik değerleri mimari projeden ayrı ayrı girilmelidir; N×h yaklaşımı bina/yapı yüksekliği tanımlarının yerine kullanılmaz.</t>
        </is>
      </c>
    </row>
    <row r="11" ht="30" customHeight="1" s="138">
      <c r="A11" s="248" t="inlineStr">
        <is>
          <t>Bina yüksekliği nedir</t>
        </is>
      </c>
      <c r="B11" s="248" t="inlineStr">
        <is>
          <t>Binanın kot aldığı noktadan saçak seviyesine kadar olan mesafedir; bodrum katlar bu ölçüye girmez.</t>
        </is>
      </c>
      <c r="C11" s="248" t="inlineStr">
        <is>
          <t>BYKHY md.4</t>
        </is>
      </c>
      <c r="D11" s="248" t="inlineStr">
        <is>
          <t>HESAPLAMA E8 / ÇOKLU ASANSÖR D8 hücresine yazılır.</t>
        </is>
      </c>
    </row>
    <row r="12" ht="43.5" customHeight="1" s="138">
      <c r="A12" s="248" t="inlineStr">
        <is>
          <t>Yapı yüksekliği nedir</t>
        </is>
      </c>
      <c r="B12" s="248" t="inlineStr">
        <is>
          <t>Bodrum katlar, asma katlar ve çatı arası piyesler dâhil, yapının inşa edilen bütün katlarının toplam yüksekliğidir. Bu nedenle yapı yüksekliği ≥ bina yüksekliği; bodrumsuz binada ikisi eşittir.</t>
        </is>
      </c>
      <c r="C12" s="248" t="inlineStr">
        <is>
          <t>BYKHY md.4</t>
        </is>
      </c>
      <c r="D12" s="248" t="inlineStr">
        <is>
          <t>HESAPLAMA E9 / ÇOKLU ASANSÖR D9 hücresine yazılır.</t>
        </is>
      </c>
    </row>
    <row r="13" ht="57" customHeight="1" s="138">
      <c r="A13" s="248" t="inlineStr">
        <is>
          <t>Neden ikisi de soruluyor</t>
        </is>
      </c>
      <c r="B13" s="248" t="inlineStr">
        <is>
          <t>Yüksek bina ölçütü iki koşuldan BİRİ aşılınca oluşur: bina yüksekliği &gt; 21,50 m VEYA yapı yüksekliği &gt; 30,50 m. Örnek: 3 bodrum (9 m) + zemin + 6 normal kat (21 m) → bina yüksekliği 21 m ile sınırın altındadır, ancak bir bodrum daha eklenince yapı yüksekliği 33 m olur ve bina yüksek bina sınıfına girer.</t>
        </is>
      </c>
      <c r="C13" s="248" t="inlineStr">
        <is>
          <t>BYKHY md.4</t>
        </is>
      </c>
      <c r="D13" s="248" t="inlineStr">
        <is>
          <t>Yüksek binada HESAPLAMA C8 'Yükseltilmiş'e döner: k yüzdesi artar, Tablo-10 bekleme sınırı düşer (kamu binasında 40 → 30 sn); sonuç genelde daha fazla asansördür.</t>
        </is>
      </c>
    </row>
    <row r="14" ht="43.5" customHeight="1" s="138">
      <c r="A14" s="248" t="inlineStr">
        <is>
          <t>Sık yapılan hata</t>
        </is>
      </c>
      <c r="B14" s="248" t="inlineStr">
        <is>
          <t>N × h çarpımı yükseklik yerine kullanılamaz. N yalnızca ana giriş üstündeki kat adedidir, bodrumları içermez; iki yükseklik değeri mimari projeden ayrı ayrı okunur.</t>
        </is>
      </c>
      <c r="C14" s="248" t="inlineStr">
        <is>
          <t>MMO/697 + BYKHY</t>
        </is>
      </c>
      <c r="D14" s="248" t="inlineStr">
        <is>
          <t>Emin olunamayan durumda büyük değeri yapı yüksekliğine yazın — eksik yazmak kriteri gevşetir.</t>
        </is>
      </c>
    </row>
    <row r="16" ht="33.75" customHeight="1" s="138">
      <c r="A16" s="249" t="inlineStr">
        <is>
          <t>BU DOSYA NASIL KULLANILIR — KULLANIM SENARYOLARI</t>
        </is>
      </c>
    </row>
    <row r="17" ht="30" customHeight="1" s="138">
      <c r="A17" s="247" t="inlineStr">
        <is>
          <t>Durum</t>
        </is>
      </c>
      <c r="B17" s="247" t="inlineStr">
        <is>
          <t>Hangi sayfayı doldurursun</t>
        </is>
      </c>
      <c r="C17" s="247" t="inlineStr">
        <is>
          <t>Çıktı (PDF'e basılan)</t>
        </is>
      </c>
      <c r="D17" s="247" t="inlineStr">
        <is>
          <t>Not</t>
        </is>
      </c>
    </row>
    <row r="18" ht="43.5" customHeight="1" s="138">
      <c r="A18" s="248" t="inlineStr">
        <is>
          <t>TEK ASANSÖR</t>
        </is>
      </c>
      <c r="B18" s="248" t="inlineStr">
        <is>
          <t>HESAPLAMA</t>
        </is>
      </c>
      <c r="C18" s="248" t="inlineStr">
        <is>
          <t>PAFTA</t>
        </is>
      </c>
      <c r="D18" s="248" t="inlineStr">
        <is>
          <t>Kabini ve hızı sen verirsin, gereken adedi hesap bulur:  n = MAX[taşıma adedi ; bekleme adedi].</t>
        </is>
      </c>
    </row>
    <row r="19" ht="57.75" customHeight="1" s="138">
      <c r="A19" s="248" t="inlineStr">
        <is>
          <t>BİRDEN FAZLA ASANSÖR</t>
        </is>
      </c>
      <c r="B19" s="248" t="inlineStr">
        <is>
          <t>ÇOKLU ASANSÖR</t>
        </is>
      </c>
      <c r="C19" s="248" t="inlineStr">
        <is>
          <t>PAFTA-COKLU</t>
        </is>
      </c>
      <c r="D19" s="248" t="inlineStr">
        <is>
          <t>Planladığın asansörleri sen girersin, hesap grubu kontrol eder:  Reş = ΣR ≥ B·k  ve  TReş = 1/Σ(1/TR) ≤ Izul  (MMO/697 s.12).</t>
        </is>
      </c>
    </row>
    <row r="20" ht="57.75" customHeight="1" s="138">
      <c r="A20" s="248" t="inlineStr">
        <is>
          <t>FARKLI KAPASİTEDE ASANSÖR</t>
        </is>
      </c>
      <c r="B20" s="248" t="inlineStr">
        <is>
          <t>ÇOKLU ASANSÖR (zorunlu)</t>
        </is>
      </c>
      <c r="C20" s="248" t="inlineStr">
        <is>
          <t>PAFTA-COKLU</t>
        </is>
      </c>
      <c r="D20" s="248" t="inlineStr">
        <is>
          <t>HESAPLAMA'nın verdiği adet, asansörlerin HEPSİNİN aynı kabin ve aynı hızda olduğunu varsayar. Kapasiteler farklıysa grup formülü zorunludur.</t>
        </is>
      </c>
    </row>
    <row r="21" ht="57.75" customHeight="1" s="138">
      <c r="A21" s="248" t="inlineStr">
        <is>
          <t>ÖNERİLEN SIRA</t>
        </is>
      </c>
      <c r="B21" s="248" t="inlineStr">
        <is>
          <t>Önce HESAPLAMA ile kaç adet gerektiğine bak</t>
        </is>
      </c>
      <c r="C21" s="248" t="inlineStr">
        <is>
          <t>Tek çıkarsa PAFTA; birden fazla ve farklı kapasiteliyse ÇOKLU ASANSÖR'e geç</t>
        </is>
      </c>
      <c r="D21" s="248" t="inlineStr">
        <is>
          <t>İki sayfanın girdileri BAĞIMSIZDIR — birinde yaptığın değişiklik diğerine geçmez. Hangi paftayı basacaksan onun kendi girdilerini doldur.</t>
        </is>
      </c>
    </row>
    <row r="22" ht="33.75" customHeight="1" s="138">
      <c r="A22" s="249" t="inlineStr">
        <is>
          <t>YENİ PROJEYE BAŞLARKEN KONTROL EDİLECEKLER</t>
        </is>
      </c>
    </row>
    <row r="23" ht="57.75" customHeight="1" s="138">
      <c r="A23" s="248" t="inlineStr">
        <is>
          <t>Önceki projeden kalıntı</t>
        </is>
      </c>
      <c r="B23" s="248" t="inlineStr">
        <is>
          <t>HESAPLAMA E26:E29 (manuel ta / tk / tg / tp) ve C39 (elle asansör adedi) bir önceki işten kalmış olabilir</t>
        </is>
      </c>
      <c r="C23" s="248" t="inlineStr">
        <is>
          <t>E30 ve E39 uyarı yazar</t>
        </is>
      </c>
      <c r="D23" s="248" t="inlineStr">
        <is>
          <t>Boşalt. Manuel süre girilirse paftada kaynak 'İmalatçı verisi'ne döner ve teknik föy referansı istenir.</t>
        </is>
      </c>
    </row>
    <row r="24" ht="43.5" customHeight="1" s="138">
      <c r="A24" s="248" t="inlineStr">
        <is>
          <t>Kapsam sınırları</t>
        </is>
      </c>
      <c r="B24" s="248" t="inlineStr">
        <is>
          <t>Kabin 6–34 kişi, kat N = 1–30. Kapı genişliği tam hesaplanabilir değerler: 900 / 1100 / 1300 mm (Tablo-4 ∩ Tablo-8).</t>
        </is>
      </c>
      <c r="C24" s="248" t="inlineStr">
        <is>
          <t>Tablo-3 / 4 / 5 / 8</t>
        </is>
      </c>
      <c r="D24" s="248" t="inlineStr">
        <is>
          <t>Aralık dışında hesap durur ve EKSİK OLAN DEĞERİ ADIYLA söyler; sessizce yanlış sonuç üretmez. N &gt; 30 için tek bölgeli hesap geçersizdir, bölgeli (zoned) hesap gerekir.</t>
        </is>
      </c>
    </row>
    <row r="25" ht="43.5" customHeight="1" s="138">
      <c r="A25" s="248" t="inlineStr">
        <is>
          <t>Manuel giriş gereken tipler</t>
        </is>
      </c>
      <c r="B25" s="248" t="inlineStr">
        <is>
          <t>Karma Binalar, Poliklinik, Katlı Otopark ve Hastane</t>
        </is>
      </c>
      <c r="C25" s="248" t="inlineStr">
        <is>
          <t>Tablo-2 / Tablo-9</t>
        </is>
      </c>
      <c r="D25" s="248" t="inlineStr">
        <is>
          <t>Bu tiplerde hız ve/veya %k tabloda yoktur; E10 (manuel V) ve E5 (manuel k) hücrelerinden girilir.</t>
        </is>
      </c>
    </row>
    <row r="26" ht="72" customHeight="1" s="138">
      <c r="A26" s="248" t="inlineStr">
        <is>
          <t>Bodrum katı</t>
        </is>
      </c>
      <c r="B26" s="248" t="inlineStr">
        <is>
          <t>N = ana giriş katının ÜSTÜNDEKİ kat adedidir; bodrum N'e dâhil EDİLMEZ</t>
        </is>
      </c>
      <c r="C26" s="248" t="inlineStr">
        <is>
          <t>MMO/697 s.11</t>
        </is>
      </c>
      <c r="D26" s="248" t="inlineStr">
        <is>
          <t>Bodrum durağı seyir mesafesini, kuyu dibini ve durak/kapı adedini etkiler; tur süresine girmez. Bodrumdan yolcu binen bina (kapalı otopark) bu yöntemle modellenmez.</t>
        </is>
      </c>
    </row>
    <row r="27" ht="57.75" customHeight="1" s="138">
      <c r="A27" s="248" t="inlineStr">
        <is>
          <t>tp değerinin MMO/697 ile ilişkisi</t>
        </is>
      </c>
      <c r="B27" s="248" t="inlineStr">
        <is>
          <t>Tablo-8 değerleri MMO/697'nin BASILI tablosu değildir; MMO/697 kendi örneğinde tp = 2,2 s kullanır (eski ISO 4190-6:1984 yaklaşımı 1,75 s idi). Çalışma kitabı güncel ISO 8100-32:2020 Tablo 6 değerlerini kullanır.</t>
        </is>
      </c>
      <c r="C27" s="248" t="inlineStr">
        <is>
          <t>ISO 8100-32:2020</t>
        </is>
      </c>
      <c r="D27" s="248" t="inlineStr">
        <is>
          <t>Sıkışık hesaplarda bu fark sonucu değiştirir. İtiraz gelirse dayanak ISO 8100-32:2020 Tablo 6'dır; muhafazakâr konut tasarımı için Barney/Peters +0,3 s konut düzeltmesi E29 hücresinden elle uygulanabilir.</t>
        </is>
      </c>
    </row>
    <row r="28" ht="43.5" customHeight="1" s="138">
      <c r="A28" s="248" t="inlineStr">
        <is>
          <t>Ondalık ayırıcı</t>
        </is>
      </c>
      <c r="B28" s="248" t="inlineStr">
        <is>
          <t>Ondalık yazarken NOKTA değil VİRGÜL kullanın</t>
        </is>
      </c>
      <c r="C28" s="248" t="inlineStr">
        <is>
          <t>Türkçe Excel</t>
        </is>
      </c>
      <c r="D28" s="248" t="inlineStr">
        <is>
          <t>"17.1" yazarsanız 17 Ocak tarihine (46039) dönüşür ve hesap sessizce bozulur.</t>
        </is>
      </c>
    </row>
    <row r="30" ht="34.5" customHeight="1" s="138">
      <c r="A30" s="248" t="inlineStr">
        <is>
          <t>Asansör adedinin boyutlandığı sınır</t>
        </is>
      </c>
      <c r="B30" s="248" t="inlineStr">
        <is>
          <t>Gereken adet, MMO/697 Tablo-10 STANDART sınırına (yüksek yapıda Yükseltilmiş) göre bulunur; Şartlı Kabul sınırına göre değil.</t>
        </is>
      </c>
      <c r="C30" s="248" t="inlineStr">
        <is>
          <t>Tablo-10</t>
        </is>
      </c>
      <c r="D30" s="248" t="inlineStr">
        <is>
          <t>Şartlı Kabul yalnızca sonuç raporlanırken, daha az asansörle de geçilebileceğini göstermek için PAFTA satırında ayrıca yazılır ve taahhütname gerektirir.</t>
        </is>
      </c>
    </row>
    <row r="31" ht="23.25" customHeight="1" s="138">
      <c r="A31" s="248" t="inlineStr">
        <is>
          <t>Ara hız değerleri (1,75 / 3,00 m/s)</t>
        </is>
      </c>
      <c r="B31" s="248" t="inlineStr">
        <is>
          <t>Tablo-6 satır başlığı değildir; tg doğrusal enterpolasyonla bulunur.</t>
        </is>
      </c>
      <c r="C31" s="248" t="inlineStr">
        <is>
          <t>Tablo-6</t>
        </is>
      </c>
      <c r="D31" s="248" t="inlineStr">
        <is>
          <t>Paftada kaynak "Tablo-6 (ara değer — enterpolasyon)" olarak basılır.</t>
        </is>
      </c>
    </row>
    <row r="32" ht="34.5" customHeight="1" s="138">
      <c r="A32" s="248" t="inlineStr">
        <is>
          <t>Öneri bloğu kapı genişliği varsayımı</t>
        </is>
      </c>
      <c r="B32" s="248" t="inlineStr">
        <is>
          <t>ISO 8100-32:2020, Ek C, Tablo 8 — beyan yüküne göre varsayılan kapı genişlikleri</t>
        </is>
      </c>
      <c r="C32" s="248" t="inlineStr">
        <is>
          <t>HESAPLAMA 6) blok</t>
        </is>
      </c>
      <c r="D32" s="248" t="inlineStr">
        <is>
          <t>630 kg→800 mm, 800 kg→900 mm, 1000/1275/1600 kg→1100 mm, 2000 kg→1300 mm. Yalnız öneri tablosunda kullanılır; kesin hesap ⑨ girdinizle yapılır.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22:D22"/>
    <mergeCell ref="A1:D1"/>
    <mergeCell ref="A10:D10"/>
    <mergeCell ref="A16:D1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8" customWidth="1" style="136" min="1" max="1"/>
    <col width="40" customWidth="1" style="136" min="2" max="2"/>
    <col width="8" customWidth="1" style="136" min="3" max="3"/>
  </cols>
  <sheetData>
    <row r="1" ht="19.5" customHeight="1" s="138">
      <c r="A1" s="250" t="inlineStr">
        <is>
          <t>Bina Tipi *</t>
        </is>
      </c>
      <c r="B1" s="251" t="n"/>
      <c r="C1" s="252" t="inlineStr">
        <is>
          <t>b</t>
        </is>
      </c>
      <c r="D1" s="253" t="n"/>
      <c r="E1" s="253" t="n"/>
      <c r="F1" s="253" t="n"/>
    </row>
    <row r="2" ht="18" customHeight="1" s="138">
      <c r="A2" s="254" t="inlineStr">
        <is>
          <t>KONUT **</t>
        </is>
      </c>
      <c r="B2" s="255" t="inlineStr">
        <is>
          <t>her dairede ilk yatak odası için</t>
        </is>
      </c>
      <c r="C2" s="255" t="inlineStr">
        <is>
          <t>2</t>
        </is>
      </c>
      <c r="D2" s="253" t="n"/>
      <c r="E2" s="253" t="n"/>
      <c r="F2" s="253" t="n"/>
    </row>
    <row r="3" ht="18" customHeight="1" s="138">
      <c r="A3" s="256" t="n"/>
      <c r="B3" s="255" t="inlineStr">
        <is>
          <t>diğer odaların her biri için</t>
        </is>
      </c>
      <c r="C3" s="255" t="inlineStr">
        <is>
          <t>1</t>
        </is>
      </c>
      <c r="D3" s="253" t="n"/>
      <c r="E3" s="253" t="n"/>
      <c r="F3" s="253" t="n"/>
    </row>
    <row r="4" ht="18" customHeight="1" s="138">
      <c r="A4" s="255" t="inlineStr">
        <is>
          <t>OTEL</t>
        </is>
      </c>
      <c r="B4" s="255" t="inlineStr">
        <is>
          <t>Her yatak için</t>
        </is>
      </c>
      <c r="C4" s="255" t="inlineStr">
        <is>
          <t>1</t>
        </is>
      </c>
      <c r="D4" s="253" t="n"/>
      <c r="E4" s="253" t="n"/>
      <c r="F4" s="253" t="n"/>
    </row>
    <row r="5" ht="18" customHeight="1" s="138">
      <c r="A5" s="255" t="inlineStr">
        <is>
          <t>İŞ MERKEZİ</t>
        </is>
      </c>
      <c r="B5" s="255" t="inlineStr">
        <is>
          <t>çalışma alanının her 12 m²si için</t>
        </is>
      </c>
      <c r="C5" s="255" t="inlineStr">
        <is>
          <t>1</t>
        </is>
      </c>
      <c r="D5" s="253" t="n"/>
      <c r="E5" s="253" t="n"/>
      <c r="F5" s="253" t="n"/>
    </row>
    <row r="6" ht="18" customHeight="1" s="138">
      <c r="A6" s="255" t="inlineStr">
        <is>
          <t>HASTANE</t>
        </is>
      </c>
      <c r="B6" s="255" t="inlineStr">
        <is>
          <t>her yatak için</t>
        </is>
      </c>
      <c r="C6" s="255" t="inlineStr">
        <is>
          <t>3</t>
        </is>
      </c>
      <c r="D6" s="253" t="n"/>
      <c r="E6" s="253" t="n"/>
      <c r="F6" s="253" t="n"/>
    </row>
    <row r="7" ht="18" customHeight="1" s="138">
      <c r="A7" s="255" t="inlineStr">
        <is>
          <t>RESMİ BİNALAR</t>
        </is>
      </c>
      <c r="B7" s="255" t="inlineStr">
        <is>
          <t>çalışma alanının 12 m²si için</t>
        </is>
      </c>
      <c r="C7" s="255" t="inlineStr">
        <is>
          <t>1</t>
        </is>
      </c>
      <c r="D7" s="253" t="n"/>
      <c r="E7" s="253" t="n"/>
      <c r="F7" s="253" t="n"/>
    </row>
    <row r="8" ht="18" customHeight="1" s="138">
      <c r="A8" s="255" t="inlineStr">
        <is>
          <t>OTOPARK</t>
        </is>
      </c>
      <c r="B8" s="255" t="inlineStr">
        <is>
          <t>ticari amaçlı araç adedi başına</t>
        </is>
      </c>
      <c r="C8" s="255" t="inlineStr">
        <is>
          <t>1,5</t>
        </is>
      </c>
      <c r="D8" s="253" t="n"/>
      <c r="E8" s="253" t="n"/>
      <c r="F8" s="253" t="n"/>
    </row>
    <row r="9" ht="18" customHeight="1" s="138">
      <c r="A9" s="254" t="n"/>
      <c r="B9" s="255" t="inlineStr">
        <is>
          <t>özel amaçlı araç adedi başına</t>
        </is>
      </c>
      <c r="C9" s="255" t="inlineStr">
        <is>
          <t>1</t>
        </is>
      </c>
      <c r="D9" s="253" t="n"/>
      <c r="E9" s="253" t="n"/>
      <c r="F9" s="253" t="n"/>
    </row>
    <row r="10" ht="24" customHeight="1" s="138">
      <c r="A10" s="257" t="inlineStr">
        <is>
          <t>* Servis asansörleri bu değerlerin dışındadır.</t>
        </is>
      </c>
      <c r="D10" s="253" t="n"/>
      <c r="E10" s="253" t="n"/>
      <c r="F10" s="253" t="n"/>
    </row>
    <row r="11" ht="24" customHeight="1" s="138">
      <c r="A11" s="258" t="inlineStr">
        <is>
          <t>** Diğer bölümler ve mutfak hesaba katılmayacaktır.</t>
        </is>
      </c>
      <c r="D11" s="253" t="n"/>
      <c r="E11" s="253" t="n"/>
      <c r="F11" s="253" t="n"/>
    </row>
    <row r="12" ht="24" customHeight="1" s="138">
      <c r="A12" s="258" t="inlineStr">
        <is>
          <t>*** Engelliler için ayrıca hesap yapılmayacaktır.</t>
        </is>
      </c>
      <c r="D12" s="253" t="n"/>
      <c r="E12" s="253" t="n"/>
      <c r="F12" s="253" t="n"/>
    </row>
    <row r="13" ht="30" customHeight="1" s="138">
      <c r="A13" s="259" t="inlineStr">
        <is>
          <t>Tablo –1 Binada sürekli bulunan insan sayısı</t>
        </is>
      </c>
      <c r="D13" s="253" t="n"/>
      <c r="E13" s="253" t="n"/>
      <c r="F13" s="253" t="n"/>
    </row>
    <row r="14" ht="24" customHeight="1" s="138">
      <c r="A14" s="260" t="inlineStr">
        <is>
          <t>Kaynak: MMO/697 "Asansör Avan Projesi Hazırlama Teknik Esasları", 2. Baskı, Ocak 2020, s.13</t>
        </is>
      </c>
      <c r="D14" s="253" t="n"/>
      <c r="E14" s="253" t="n"/>
      <c r="F14" s="253" t="n"/>
    </row>
    <row r="15" ht="15" customHeight="1" s="138">
      <c r="A15" s="253" t="n"/>
      <c r="B15" s="253" t="n"/>
      <c r="C15" s="253" t="n"/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253" t="n"/>
      <c r="B17" s="253" t="n"/>
      <c r="C17" s="253" t="n"/>
      <c r="D17" s="253" t="n"/>
      <c r="E17" s="253" t="n"/>
      <c r="F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5">
    <mergeCell ref="A10:C10"/>
    <mergeCell ref="A13:C13"/>
    <mergeCell ref="A11:C11"/>
    <mergeCell ref="A14:C14"/>
    <mergeCell ref="A12:C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" customWidth="1" style="136" min="1" max="2"/>
    <col width="10" customWidth="1" style="136" min="3" max="3"/>
  </cols>
  <sheetData>
    <row r="1" ht="18" customHeight="1" s="138">
      <c r="A1" s="252" t="inlineStr">
        <is>
          <t>Bina Tipi</t>
        </is>
      </c>
      <c r="B1" s="252" t="inlineStr">
        <is>
          <t>Durak Adedi</t>
        </is>
      </c>
      <c r="C1" s="252" t="inlineStr">
        <is>
          <t>Hız [m/s]</t>
        </is>
      </c>
      <c r="D1" s="253" t="n"/>
      <c r="E1" s="253" t="n"/>
      <c r="F1" s="253" t="n"/>
    </row>
    <row r="2" ht="15.75" customHeight="1" s="138">
      <c r="A2" s="254" t="inlineStr">
        <is>
          <t>Konut</t>
        </is>
      </c>
      <c r="B2" s="255" t="inlineStr">
        <is>
          <t>2-9 Durak</t>
        </is>
      </c>
      <c r="C2" s="255" t="inlineStr">
        <is>
          <t>1</t>
        </is>
      </c>
      <c r="D2" s="253" t="n"/>
      <c r="E2" s="253" t="n"/>
      <c r="F2" s="253" t="n"/>
    </row>
    <row r="3" ht="15.75" customHeight="1" s="138">
      <c r="A3" s="256" t="n"/>
      <c r="B3" s="255" t="inlineStr">
        <is>
          <t>10-14 Durak</t>
        </is>
      </c>
      <c r="C3" s="255" t="inlineStr">
        <is>
          <t>1.6</t>
        </is>
      </c>
      <c r="D3" s="253" t="n"/>
      <c r="E3" s="253" t="n"/>
      <c r="F3" s="253" t="n"/>
    </row>
    <row r="4" ht="15.75" customHeight="1" s="138">
      <c r="A4" s="256" t="n"/>
      <c r="B4" s="255" t="inlineStr">
        <is>
          <t>15-19 Durak</t>
        </is>
      </c>
      <c r="C4" s="255" t="inlineStr">
        <is>
          <t>2.0</t>
        </is>
      </c>
      <c r="D4" s="253" t="n"/>
      <c r="E4" s="253" t="n"/>
      <c r="F4" s="253" t="n"/>
    </row>
    <row r="5" ht="15.75" customHeight="1" s="138">
      <c r="A5" s="256" t="n"/>
      <c r="B5" s="255" t="inlineStr">
        <is>
          <t>20 Durak ve üzeri</t>
        </is>
      </c>
      <c r="C5" s="255" t="inlineStr">
        <is>
          <t>≥ 2.5</t>
        </is>
      </c>
      <c r="D5" s="253" t="n"/>
      <c r="E5" s="253" t="n"/>
      <c r="F5" s="253" t="n"/>
    </row>
    <row r="6" ht="15.75" customHeight="1" s="138">
      <c r="A6" s="254" t="inlineStr">
        <is>
          <t>Büro ve İş Merkezi</t>
        </is>
      </c>
      <c r="B6" s="255" t="inlineStr">
        <is>
          <t>2-5 Durak</t>
        </is>
      </c>
      <c r="C6" s="255" t="inlineStr">
        <is>
          <t>1</t>
        </is>
      </c>
      <c r="D6" s="253" t="n"/>
      <c r="E6" s="253" t="n"/>
      <c r="F6" s="253" t="n"/>
    </row>
    <row r="7" ht="15.75" customHeight="1" s="138">
      <c r="A7" s="256" t="n"/>
      <c r="B7" s="255" t="inlineStr">
        <is>
          <t>6-10 Durak</t>
        </is>
      </c>
      <c r="C7" s="255" t="inlineStr">
        <is>
          <t>1.6</t>
        </is>
      </c>
      <c r="D7" s="253" t="n"/>
      <c r="E7" s="253" t="n"/>
      <c r="F7" s="253" t="n"/>
    </row>
    <row r="8" ht="15.75" customHeight="1" s="138">
      <c r="A8" s="256" t="n"/>
      <c r="B8" s="255" t="inlineStr">
        <is>
          <t>11-15 Durak</t>
        </is>
      </c>
      <c r="C8" s="255" t="inlineStr">
        <is>
          <t>2.0</t>
        </is>
      </c>
      <c r="D8" s="253" t="n"/>
      <c r="E8" s="253" t="n"/>
      <c r="F8" s="253" t="n"/>
    </row>
    <row r="9" ht="15.75" customHeight="1" s="138">
      <c r="A9" s="256" t="n"/>
      <c r="B9" s="255" t="inlineStr">
        <is>
          <t>16-19 Durak</t>
        </is>
      </c>
      <c r="C9" s="255" t="inlineStr">
        <is>
          <t>2.5</t>
        </is>
      </c>
      <c r="D9" s="253" t="n"/>
      <c r="E9" s="253" t="n"/>
      <c r="F9" s="253" t="n"/>
    </row>
    <row r="10" ht="15.75" customHeight="1" s="138">
      <c r="A10" s="254" t="n"/>
      <c r="B10" s="255" t="inlineStr">
        <is>
          <t>20 Durak ve üzeri</t>
        </is>
      </c>
      <c r="C10" s="255" t="inlineStr">
        <is>
          <t>&gt; 2.5</t>
        </is>
      </c>
      <c r="D10" s="253" t="n"/>
      <c r="E10" s="253" t="n"/>
      <c r="F10" s="253" t="n"/>
    </row>
    <row r="11" ht="15.75" customHeight="1" s="138">
      <c r="A11" s="256" t="inlineStr">
        <is>
          <t>Otel</t>
        </is>
      </c>
      <c r="B11" s="255" t="inlineStr">
        <is>
          <t>2-6 Durak</t>
        </is>
      </c>
      <c r="C11" s="255" t="inlineStr">
        <is>
          <t>1</t>
        </is>
      </c>
      <c r="D11" s="253" t="n"/>
      <c r="E11" s="253" t="n"/>
      <c r="F11" s="253" t="n"/>
    </row>
    <row r="12" ht="15.75" customHeight="1" s="138">
      <c r="A12" s="256" t="n"/>
      <c r="B12" s="255" t="inlineStr">
        <is>
          <t>7-10 Durak</t>
        </is>
      </c>
      <c r="C12" s="255" t="inlineStr">
        <is>
          <t>1.6</t>
        </is>
      </c>
      <c r="D12" s="253" t="n"/>
      <c r="E12" s="253" t="n"/>
      <c r="F12" s="253" t="n"/>
    </row>
    <row r="13" ht="15.75" customHeight="1" s="138">
      <c r="A13" s="256" t="n"/>
      <c r="B13" s="255" t="inlineStr">
        <is>
          <t>11-15 Durak</t>
        </is>
      </c>
      <c r="C13" s="255" t="inlineStr">
        <is>
          <t>2.0</t>
        </is>
      </c>
      <c r="D13" s="253" t="n"/>
      <c r="E13" s="253" t="n"/>
      <c r="F13" s="253" t="n"/>
    </row>
    <row r="14" ht="15.75" customHeight="1" s="138">
      <c r="A14" s="256" t="n"/>
      <c r="B14" s="255" t="inlineStr">
        <is>
          <t>16-19 Durak</t>
        </is>
      </c>
      <c r="C14" s="255" t="inlineStr">
        <is>
          <t>2.5</t>
        </is>
      </c>
      <c r="D14" s="253" t="n"/>
      <c r="E14" s="253" t="n"/>
      <c r="F14" s="253" t="n"/>
    </row>
    <row r="15" ht="21.75" customHeight="1" s="138">
      <c r="A15" s="254" t="n"/>
      <c r="B15" s="256" t="inlineStr">
        <is>
          <t>20 Durak ve üzeri</t>
        </is>
      </c>
      <c r="C15" s="256" t="inlineStr">
        <is>
          <t>&gt; 2.5</t>
        </is>
      </c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159" t="inlineStr">
        <is>
          <t>Tablo –2 Kabin hızları</t>
        </is>
      </c>
      <c r="D17" s="253" t="n"/>
      <c r="E17" s="253" t="n"/>
      <c r="F17" s="253" t="n"/>
    </row>
    <row r="18" ht="15" customHeight="1" s="138">
      <c r="A18" s="143" t="inlineStr">
        <is>
          <t>Kaynak: MMO/697, 2. Baskı, Ocak 2020, s.13</t>
        </is>
      </c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  <row r="21" ht="15" customHeight="1" s="138">
      <c r="A21" s="253" t="n"/>
      <c r="B21" s="253" t="n"/>
      <c r="C21" s="253" t="n"/>
      <c r="D21" s="253" t="n"/>
      <c r="E21" s="253" t="n"/>
      <c r="F21" s="253" t="n"/>
    </row>
    <row r="22" ht="15" customHeight="1" s="138">
      <c r="A22" s="253" t="n"/>
      <c r="B22" s="253" t="n"/>
      <c r="C22" s="253" t="n"/>
      <c r="D22" s="253" t="n"/>
      <c r="E22" s="253" t="n"/>
      <c r="F2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17:C17"/>
    <mergeCell ref="A18:C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  <col hidden="1" width="4" customWidth="1" style="136" min="21" max="21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2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143" t="inlineStr">
        <is>
          <t>i (yardımcı)</t>
        </is>
      </c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$A3 - SUMPRODUCT(($AG$3:$AG$31&lt;$A3)*(($AG$3:$AG$31/$A3)^B$2))</f>
        <v/>
      </c>
      <c r="C3" s="263">
        <f>$A3 - SUMPRODUCT(($AG$3:$AG$31&lt;$A3)*(($AG$3:$AG$31/$A3)^C$2))</f>
        <v/>
      </c>
      <c r="D3" s="263">
        <f>$A3 - SUMPRODUCT(($AG$3:$AG$31&lt;$A3)*(($AG$3:$AG$31/$A3)^D$2))</f>
        <v/>
      </c>
      <c r="E3" s="263">
        <f>$A3 - SUMPRODUCT(($AG$3:$AG$31&lt;$A3)*(($AG$3:$AG$31/$A3)^E$2))</f>
        <v/>
      </c>
      <c r="F3" s="263">
        <f>$A3 - SUMPRODUCT(($AG$3:$AG$31&lt;$A3)*(($AG$3:$AG$31/$A3)^F$2))</f>
        <v/>
      </c>
      <c r="G3" s="263">
        <f>$A3 - SUMPRODUCT(($AG$3:$AG$31&lt;$A3)*(($AG$3:$AG$31/$A3)^G$2))</f>
        <v/>
      </c>
      <c r="H3" s="263">
        <f>$A3 - SUMPRODUCT(($AG$3:$AG$31&lt;$A3)*(($AG$3:$AG$31/$A3)^H$2))</f>
        <v/>
      </c>
      <c r="I3" s="263">
        <f>$A3 - SUMPRODUCT(($AG$3:$AG$31&lt;$A3)*(($AG$3:$AG$31/$A3)^I$2))</f>
        <v/>
      </c>
      <c r="J3" s="263">
        <f>$A3 - SUMPRODUCT(($AG$3:$AG$31&lt;$A3)*(($AG$3:$AG$31/$A3)^J$2))</f>
        <v/>
      </c>
      <c r="K3" s="263">
        <f>$A3 - SUMPRODUCT(($AG$3:$AG$31&lt;$A3)*(($AG$3:$AG$31/$A3)^K$2))</f>
        <v/>
      </c>
      <c r="L3" s="263">
        <f>$A3 - SUMPRODUCT(($AG$3:$AG$31&lt;$A3)*(($AG$3:$AG$31/$A3)^L$2))</f>
        <v/>
      </c>
      <c r="M3" s="263">
        <f>$A3 - SUMPRODUCT(($AG$3:$AG$31&lt;$A3)*(($AG$3:$AG$31/$A3)^M$2))</f>
        <v/>
      </c>
      <c r="N3" s="263">
        <f>$A3 - SUMPRODUCT(($AG$3:$AG$31&lt;$A3)*(($AG$3:$AG$31/$A3)^N$2))</f>
        <v/>
      </c>
      <c r="O3" s="263">
        <f>$A3 - SUMPRODUCT(($AG$3:$AG$31&lt;$A3)*(($AG$3:$AG$31/$A3)^O$2))</f>
        <v/>
      </c>
      <c r="P3" s="263">
        <f>$A3 - SUMPRODUCT(($AG$3:$AG$31&lt;$A3)*(($AG$3:$AG$31/$A3)^P$2))</f>
        <v/>
      </c>
      <c r="Q3" s="263">
        <f>$A3 - SUMPRODUCT(($AG$3:$AG$31&lt;$A3)*(($AG$3:$AG$31/$A3)^Q$2))</f>
        <v/>
      </c>
      <c r="R3" s="263">
        <f>$A3 - SUMPRODUCT(($AG$3:$AG$31&lt;$A3)*(($AG$3:$AG$31/$A3)^R$2))</f>
        <v/>
      </c>
      <c r="S3" s="264">
        <f>$A3 - SUMPRODUCT(($AG$3:$AG$31&lt;$A3)*(($AG$3:$AG$31/$A3)^S$2))</f>
        <v/>
      </c>
      <c r="T3" s="264">
        <f>$A3 - SUMPRODUCT(($AG$3:$AG$31&lt;$A3)*(($AG$3:$AG$31/$A3)^T$2))</f>
        <v/>
      </c>
      <c r="U3" s="264">
        <f>$A3 - SUMPRODUCT(($AG$3:$AG$31&lt;$A3)*(($AG$3:$AG$31/$A3)^U$2))</f>
        <v/>
      </c>
      <c r="V3" s="264">
        <f>$A3 - SUMPRODUCT(($AG$3:$AG$31&lt;$A3)*(($AG$3:$AG$31/$A3)^V$2))</f>
        <v/>
      </c>
      <c r="W3" s="264">
        <f>$A3 - SUMPRODUCT(($AG$3:$AG$31&lt;$A3)*(($AG$3:$AG$31/$A3)^W$2))</f>
        <v/>
      </c>
      <c r="X3" s="264">
        <f>$A3 - SUMPRODUCT(($AG$3:$AG$31&lt;$A3)*(($AG$3:$AG$31/$A3)^X$2))</f>
        <v/>
      </c>
      <c r="Y3" s="264">
        <f>$A3 - SUMPRODUCT(($AG$3:$AG$31&lt;$A3)*(($AG$3:$AG$31/$A3)^Y$2))</f>
        <v/>
      </c>
      <c r="Z3" s="264">
        <f>$A3 - SUMPRODUCT(($AG$3:$AG$31&lt;$A3)*(($AG$3:$AG$31/$A3)^Z$2))</f>
        <v/>
      </c>
      <c r="AA3" s="264">
        <f>$A3 - SUMPRODUCT(($AG$3:$AG$31&lt;$A3)*(($AG$3:$AG$31/$A3)^AA$2))</f>
        <v/>
      </c>
      <c r="AB3" s="264">
        <f>$A3 - SUMPRODUCT(($AG$3:$AG$31&lt;$A3)*(($AG$3:$AG$31/$A3)^AB$2))</f>
        <v/>
      </c>
      <c r="AC3" s="264">
        <f>$A3 - SUMPRODUCT(($AG$3:$AG$31&lt;$A3)*(($AG$3:$AG$31/$A3)^AC$2))</f>
        <v/>
      </c>
      <c r="AD3" s="264">
        <f>$A3 - SUMPRODUCT(($AG$3:$AG$31&lt;$A3)*(($AG$3:$AG$31/$A3)^AD$2))</f>
        <v/>
      </c>
      <c r="AE3" s="253" t="n"/>
      <c r="AF3" s="253" t="n"/>
      <c r="AG3" s="253" t="n">
        <v>1</v>
      </c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$A4 - SUMPRODUCT(($AG$3:$AG$31&lt;$A4)*(($AG$3:$AG$31/$A4)^B$2))</f>
        <v/>
      </c>
      <c r="C4" s="263">
        <f>$A4 - SUMPRODUCT(($AG$3:$AG$31&lt;$A4)*(($AG$3:$AG$31/$A4)^C$2))</f>
        <v/>
      </c>
      <c r="D4" s="263">
        <f>$A4 - SUMPRODUCT(($AG$3:$AG$31&lt;$A4)*(($AG$3:$AG$31/$A4)^D$2))</f>
        <v/>
      </c>
      <c r="E4" s="263">
        <f>$A4 - SUMPRODUCT(($AG$3:$AG$31&lt;$A4)*(($AG$3:$AG$31/$A4)^E$2))</f>
        <v/>
      </c>
      <c r="F4" s="263">
        <f>$A4 - SUMPRODUCT(($AG$3:$AG$31&lt;$A4)*(($AG$3:$AG$31/$A4)^F$2))</f>
        <v/>
      </c>
      <c r="G4" s="263">
        <f>$A4 - SUMPRODUCT(($AG$3:$AG$31&lt;$A4)*(($AG$3:$AG$31/$A4)^G$2))</f>
        <v/>
      </c>
      <c r="H4" s="263">
        <f>$A4 - SUMPRODUCT(($AG$3:$AG$31&lt;$A4)*(($AG$3:$AG$31/$A4)^H$2))</f>
        <v/>
      </c>
      <c r="I4" s="263">
        <f>$A4 - SUMPRODUCT(($AG$3:$AG$31&lt;$A4)*(($AG$3:$AG$31/$A4)^I$2))</f>
        <v/>
      </c>
      <c r="J4" s="263">
        <f>$A4 - SUMPRODUCT(($AG$3:$AG$31&lt;$A4)*(($AG$3:$AG$31/$A4)^J$2))</f>
        <v/>
      </c>
      <c r="K4" s="263">
        <f>$A4 - SUMPRODUCT(($AG$3:$AG$31&lt;$A4)*(($AG$3:$AG$31/$A4)^K$2))</f>
        <v/>
      </c>
      <c r="L4" s="263">
        <f>$A4 - SUMPRODUCT(($AG$3:$AG$31&lt;$A4)*(($AG$3:$AG$31/$A4)^L$2))</f>
        <v/>
      </c>
      <c r="M4" s="263">
        <f>$A4 - SUMPRODUCT(($AG$3:$AG$31&lt;$A4)*(($AG$3:$AG$31/$A4)^M$2))</f>
        <v/>
      </c>
      <c r="N4" s="263">
        <f>$A4 - SUMPRODUCT(($AG$3:$AG$31&lt;$A4)*(($AG$3:$AG$31/$A4)^N$2))</f>
        <v/>
      </c>
      <c r="O4" s="263">
        <f>$A4 - SUMPRODUCT(($AG$3:$AG$31&lt;$A4)*(($AG$3:$AG$31/$A4)^O$2))</f>
        <v/>
      </c>
      <c r="P4" s="263">
        <f>$A4 - SUMPRODUCT(($AG$3:$AG$31&lt;$A4)*(($AG$3:$AG$31/$A4)^P$2))</f>
        <v/>
      </c>
      <c r="Q4" s="263">
        <f>$A4 - SUMPRODUCT(($AG$3:$AG$31&lt;$A4)*(($AG$3:$AG$31/$A4)^Q$2))</f>
        <v/>
      </c>
      <c r="R4" s="263">
        <f>$A4 - SUMPRODUCT(($AG$3:$AG$31&lt;$A4)*(($AG$3:$AG$31/$A4)^R$2))</f>
        <v/>
      </c>
      <c r="S4" s="264">
        <f>$A4 - SUMPRODUCT(($AG$3:$AG$31&lt;$A4)*(($AG$3:$AG$31/$A4)^S$2))</f>
        <v/>
      </c>
      <c r="T4" s="264">
        <f>$A4 - SUMPRODUCT(($AG$3:$AG$31&lt;$A4)*(($AG$3:$AG$31/$A4)^T$2))</f>
        <v/>
      </c>
      <c r="U4" s="264">
        <f>$A4 - SUMPRODUCT(($AG$3:$AG$31&lt;$A4)*(($AG$3:$AG$31/$A4)^U$2))</f>
        <v/>
      </c>
      <c r="V4" s="264">
        <f>$A4 - SUMPRODUCT(($AG$3:$AG$31&lt;$A4)*(($AG$3:$AG$31/$A4)^V$2))</f>
        <v/>
      </c>
      <c r="W4" s="264">
        <f>$A4 - SUMPRODUCT(($AG$3:$AG$31&lt;$A4)*(($AG$3:$AG$31/$A4)^W$2))</f>
        <v/>
      </c>
      <c r="X4" s="264">
        <f>$A4 - SUMPRODUCT(($AG$3:$AG$31&lt;$A4)*(($AG$3:$AG$31/$A4)^X$2))</f>
        <v/>
      </c>
      <c r="Y4" s="264">
        <f>$A4 - SUMPRODUCT(($AG$3:$AG$31&lt;$A4)*(($AG$3:$AG$31/$A4)^Y$2))</f>
        <v/>
      </c>
      <c r="Z4" s="264">
        <f>$A4 - SUMPRODUCT(($AG$3:$AG$31&lt;$A4)*(($AG$3:$AG$31/$A4)^Z$2))</f>
        <v/>
      </c>
      <c r="AA4" s="264">
        <f>$A4 - SUMPRODUCT(($AG$3:$AG$31&lt;$A4)*(($AG$3:$AG$31/$A4)^AA$2))</f>
        <v/>
      </c>
      <c r="AB4" s="264">
        <f>$A4 - SUMPRODUCT(($AG$3:$AG$31&lt;$A4)*(($AG$3:$AG$31/$A4)^AB$2))</f>
        <v/>
      </c>
      <c r="AC4" s="264">
        <f>$A4 - SUMPRODUCT(($AG$3:$AG$31&lt;$A4)*(($AG$3:$AG$31/$A4)^AC$2))</f>
        <v/>
      </c>
      <c r="AD4" s="264">
        <f>$A4 - SUMPRODUCT(($AG$3:$AG$31&lt;$A4)*(($AG$3:$AG$31/$A4)^AD$2))</f>
        <v/>
      </c>
      <c r="AE4" s="253" t="n"/>
      <c r="AF4" s="253" t="n"/>
      <c r="AG4" s="253" t="n">
        <v>2</v>
      </c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$A5 - SUMPRODUCT(($AG$3:$AG$31&lt;$A5)*(($AG$3:$AG$31/$A5)^B$2))</f>
        <v/>
      </c>
      <c r="C5" s="263">
        <f>$A5 - SUMPRODUCT(($AG$3:$AG$31&lt;$A5)*(($AG$3:$AG$31/$A5)^C$2))</f>
        <v/>
      </c>
      <c r="D5" s="263">
        <f>$A5 - SUMPRODUCT(($AG$3:$AG$31&lt;$A5)*(($AG$3:$AG$31/$A5)^D$2))</f>
        <v/>
      </c>
      <c r="E5" s="263">
        <f>$A5 - SUMPRODUCT(($AG$3:$AG$31&lt;$A5)*(($AG$3:$AG$31/$A5)^E$2))</f>
        <v/>
      </c>
      <c r="F5" s="263">
        <f>$A5 - SUMPRODUCT(($AG$3:$AG$31&lt;$A5)*(($AG$3:$AG$31/$A5)^F$2))</f>
        <v/>
      </c>
      <c r="G5" s="263">
        <f>$A5 - SUMPRODUCT(($AG$3:$AG$31&lt;$A5)*(($AG$3:$AG$31/$A5)^G$2))</f>
        <v/>
      </c>
      <c r="H5" s="263">
        <f>$A5 - SUMPRODUCT(($AG$3:$AG$31&lt;$A5)*(($AG$3:$AG$31/$A5)^H$2))</f>
        <v/>
      </c>
      <c r="I5" s="263">
        <f>$A5 - SUMPRODUCT(($AG$3:$AG$31&lt;$A5)*(($AG$3:$AG$31/$A5)^I$2))</f>
        <v/>
      </c>
      <c r="J5" s="263">
        <f>$A5 - SUMPRODUCT(($AG$3:$AG$31&lt;$A5)*(($AG$3:$AG$31/$A5)^J$2))</f>
        <v/>
      </c>
      <c r="K5" s="263">
        <f>$A5 - SUMPRODUCT(($AG$3:$AG$31&lt;$A5)*(($AG$3:$AG$31/$A5)^K$2))</f>
        <v/>
      </c>
      <c r="L5" s="263">
        <f>$A5 - SUMPRODUCT(($AG$3:$AG$31&lt;$A5)*(($AG$3:$AG$31/$A5)^L$2))</f>
        <v/>
      </c>
      <c r="M5" s="263">
        <f>$A5 - SUMPRODUCT(($AG$3:$AG$31&lt;$A5)*(($AG$3:$AG$31/$A5)^M$2))</f>
        <v/>
      </c>
      <c r="N5" s="263">
        <f>$A5 - SUMPRODUCT(($AG$3:$AG$31&lt;$A5)*(($AG$3:$AG$31/$A5)^N$2))</f>
        <v/>
      </c>
      <c r="O5" s="263">
        <f>$A5 - SUMPRODUCT(($AG$3:$AG$31&lt;$A5)*(($AG$3:$AG$31/$A5)^O$2))</f>
        <v/>
      </c>
      <c r="P5" s="263">
        <f>$A5 - SUMPRODUCT(($AG$3:$AG$31&lt;$A5)*(($AG$3:$AG$31/$A5)^P$2))</f>
        <v/>
      </c>
      <c r="Q5" s="263">
        <f>$A5 - SUMPRODUCT(($AG$3:$AG$31&lt;$A5)*(($AG$3:$AG$31/$A5)^Q$2))</f>
        <v/>
      </c>
      <c r="R5" s="263">
        <f>$A5 - SUMPRODUCT(($AG$3:$AG$31&lt;$A5)*(($AG$3:$AG$31/$A5)^R$2))</f>
        <v/>
      </c>
      <c r="S5" s="264">
        <f>$A5 - SUMPRODUCT(($AG$3:$AG$31&lt;$A5)*(($AG$3:$AG$31/$A5)^S$2))</f>
        <v/>
      </c>
      <c r="T5" s="264">
        <f>$A5 - SUMPRODUCT(($AG$3:$AG$31&lt;$A5)*(($AG$3:$AG$31/$A5)^T$2))</f>
        <v/>
      </c>
      <c r="U5" s="264">
        <f>$A5 - SUMPRODUCT(($AG$3:$AG$31&lt;$A5)*(($AG$3:$AG$31/$A5)^U$2))</f>
        <v/>
      </c>
      <c r="V5" s="264">
        <f>$A5 - SUMPRODUCT(($AG$3:$AG$31&lt;$A5)*(($AG$3:$AG$31/$A5)^V$2))</f>
        <v/>
      </c>
      <c r="W5" s="264">
        <f>$A5 - SUMPRODUCT(($AG$3:$AG$31&lt;$A5)*(($AG$3:$AG$31/$A5)^W$2))</f>
        <v/>
      </c>
      <c r="X5" s="264">
        <f>$A5 - SUMPRODUCT(($AG$3:$AG$31&lt;$A5)*(($AG$3:$AG$31/$A5)^X$2))</f>
        <v/>
      </c>
      <c r="Y5" s="264">
        <f>$A5 - SUMPRODUCT(($AG$3:$AG$31&lt;$A5)*(($AG$3:$AG$31/$A5)^Y$2))</f>
        <v/>
      </c>
      <c r="Z5" s="264">
        <f>$A5 - SUMPRODUCT(($AG$3:$AG$31&lt;$A5)*(($AG$3:$AG$31/$A5)^Z$2))</f>
        <v/>
      </c>
      <c r="AA5" s="264">
        <f>$A5 - SUMPRODUCT(($AG$3:$AG$31&lt;$A5)*(($AG$3:$AG$31/$A5)^AA$2))</f>
        <v/>
      </c>
      <c r="AB5" s="264">
        <f>$A5 - SUMPRODUCT(($AG$3:$AG$31&lt;$A5)*(($AG$3:$AG$31/$A5)^AB$2))</f>
        <v/>
      </c>
      <c r="AC5" s="264">
        <f>$A5 - SUMPRODUCT(($AG$3:$AG$31&lt;$A5)*(($AG$3:$AG$31/$A5)^AC$2))</f>
        <v/>
      </c>
      <c r="AD5" s="264">
        <f>$A5 - SUMPRODUCT(($AG$3:$AG$31&lt;$A5)*(($AG$3:$AG$31/$A5)^AD$2))</f>
        <v/>
      </c>
      <c r="AE5" s="253" t="n"/>
      <c r="AF5" s="253" t="n"/>
      <c r="AG5" s="253" t="n">
        <v>3</v>
      </c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$A6 - SUMPRODUCT(($AG$3:$AG$31&lt;$A6)*(($AG$3:$AG$31/$A6)^B$2))</f>
        <v/>
      </c>
      <c r="C6" s="263">
        <f>$A6 - SUMPRODUCT(($AG$3:$AG$31&lt;$A6)*(($AG$3:$AG$31/$A6)^C$2))</f>
        <v/>
      </c>
      <c r="D6" s="263">
        <f>$A6 - SUMPRODUCT(($AG$3:$AG$31&lt;$A6)*(($AG$3:$AG$31/$A6)^D$2))</f>
        <v/>
      </c>
      <c r="E6" s="263">
        <f>$A6 - SUMPRODUCT(($AG$3:$AG$31&lt;$A6)*(($AG$3:$AG$31/$A6)^E$2))</f>
        <v/>
      </c>
      <c r="F6" s="263">
        <f>$A6 - SUMPRODUCT(($AG$3:$AG$31&lt;$A6)*(($AG$3:$AG$31/$A6)^F$2))</f>
        <v/>
      </c>
      <c r="G6" s="263">
        <f>$A6 - SUMPRODUCT(($AG$3:$AG$31&lt;$A6)*(($AG$3:$AG$31/$A6)^G$2))</f>
        <v/>
      </c>
      <c r="H6" s="263">
        <f>$A6 - SUMPRODUCT(($AG$3:$AG$31&lt;$A6)*(($AG$3:$AG$31/$A6)^H$2))</f>
        <v/>
      </c>
      <c r="I6" s="263">
        <f>$A6 - SUMPRODUCT(($AG$3:$AG$31&lt;$A6)*(($AG$3:$AG$31/$A6)^I$2))</f>
        <v/>
      </c>
      <c r="J6" s="263">
        <f>$A6 - SUMPRODUCT(($AG$3:$AG$31&lt;$A6)*(($AG$3:$AG$31/$A6)^J$2))</f>
        <v/>
      </c>
      <c r="K6" s="263">
        <f>$A6 - SUMPRODUCT(($AG$3:$AG$31&lt;$A6)*(($AG$3:$AG$31/$A6)^K$2))</f>
        <v/>
      </c>
      <c r="L6" s="263">
        <f>$A6 - SUMPRODUCT(($AG$3:$AG$31&lt;$A6)*(($AG$3:$AG$31/$A6)^L$2))</f>
        <v/>
      </c>
      <c r="M6" s="263">
        <f>$A6 - SUMPRODUCT(($AG$3:$AG$31&lt;$A6)*(($AG$3:$AG$31/$A6)^M$2))</f>
        <v/>
      </c>
      <c r="N6" s="263">
        <f>$A6 - SUMPRODUCT(($AG$3:$AG$31&lt;$A6)*(($AG$3:$AG$31/$A6)^N$2))</f>
        <v/>
      </c>
      <c r="O6" s="263">
        <f>$A6 - SUMPRODUCT(($AG$3:$AG$31&lt;$A6)*(($AG$3:$AG$31/$A6)^O$2))</f>
        <v/>
      </c>
      <c r="P6" s="263">
        <f>$A6 - SUMPRODUCT(($AG$3:$AG$31&lt;$A6)*(($AG$3:$AG$31/$A6)^P$2))</f>
        <v/>
      </c>
      <c r="Q6" s="263">
        <f>$A6 - SUMPRODUCT(($AG$3:$AG$31&lt;$A6)*(($AG$3:$AG$31/$A6)^Q$2))</f>
        <v/>
      </c>
      <c r="R6" s="263">
        <f>$A6 - SUMPRODUCT(($AG$3:$AG$31&lt;$A6)*(($AG$3:$AG$31/$A6)^R$2))</f>
        <v/>
      </c>
      <c r="S6" s="264">
        <f>$A6 - SUMPRODUCT(($AG$3:$AG$31&lt;$A6)*(($AG$3:$AG$31/$A6)^S$2))</f>
        <v/>
      </c>
      <c r="T6" s="264">
        <f>$A6 - SUMPRODUCT(($AG$3:$AG$31&lt;$A6)*(($AG$3:$AG$31/$A6)^T$2))</f>
        <v/>
      </c>
      <c r="U6" s="264">
        <f>$A6 - SUMPRODUCT(($AG$3:$AG$31&lt;$A6)*(($AG$3:$AG$31/$A6)^U$2))</f>
        <v/>
      </c>
      <c r="V6" s="264">
        <f>$A6 - SUMPRODUCT(($AG$3:$AG$31&lt;$A6)*(($AG$3:$AG$31/$A6)^V$2))</f>
        <v/>
      </c>
      <c r="W6" s="264">
        <f>$A6 - SUMPRODUCT(($AG$3:$AG$31&lt;$A6)*(($AG$3:$AG$31/$A6)^W$2))</f>
        <v/>
      </c>
      <c r="X6" s="264">
        <f>$A6 - SUMPRODUCT(($AG$3:$AG$31&lt;$A6)*(($AG$3:$AG$31/$A6)^X$2))</f>
        <v/>
      </c>
      <c r="Y6" s="264">
        <f>$A6 - SUMPRODUCT(($AG$3:$AG$31&lt;$A6)*(($AG$3:$AG$31/$A6)^Y$2))</f>
        <v/>
      </c>
      <c r="Z6" s="264">
        <f>$A6 - SUMPRODUCT(($AG$3:$AG$31&lt;$A6)*(($AG$3:$AG$31/$A6)^Z$2))</f>
        <v/>
      </c>
      <c r="AA6" s="264">
        <f>$A6 - SUMPRODUCT(($AG$3:$AG$31&lt;$A6)*(($AG$3:$AG$31/$A6)^AA$2))</f>
        <v/>
      </c>
      <c r="AB6" s="264">
        <f>$A6 - SUMPRODUCT(($AG$3:$AG$31&lt;$A6)*(($AG$3:$AG$31/$A6)^AB$2))</f>
        <v/>
      </c>
      <c r="AC6" s="264">
        <f>$A6 - SUMPRODUCT(($AG$3:$AG$31&lt;$A6)*(($AG$3:$AG$31/$A6)^AC$2))</f>
        <v/>
      </c>
      <c r="AD6" s="264">
        <f>$A6 - SUMPRODUCT(($AG$3:$AG$31&lt;$A6)*(($AG$3:$AG$31/$A6)^AD$2))</f>
        <v/>
      </c>
      <c r="AE6" s="253" t="n"/>
      <c r="AF6" s="253" t="n"/>
      <c r="AG6" s="253" t="n">
        <v>4</v>
      </c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$A7 - SUMPRODUCT(($AG$3:$AG$31&lt;$A7)*(($AG$3:$AG$31/$A7)^B$2))</f>
        <v/>
      </c>
      <c r="C7" s="263">
        <f>$A7 - SUMPRODUCT(($AG$3:$AG$31&lt;$A7)*(($AG$3:$AG$31/$A7)^C$2))</f>
        <v/>
      </c>
      <c r="D7" s="263">
        <f>$A7 - SUMPRODUCT(($AG$3:$AG$31&lt;$A7)*(($AG$3:$AG$31/$A7)^D$2))</f>
        <v/>
      </c>
      <c r="E7" s="263">
        <f>$A7 - SUMPRODUCT(($AG$3:$AG$31&lt;$A7)*(($AG$3:$AG$31/$A7)^E$2))</f>
        <v/>
      </c>
      <c r="F7" s="263">
        <f>$A7 - SUMPRODUCT(($AG$3:$AG$31&lt;$A7)*(($AG$3:$AG$31/$A7)^F$2))</f>
        <v/>
      </c>
      <c r="G7" s="263">
        <f>$A7 - SUMPRODUCT(($AG$3:$AG$31&lt;$A7)*(($AG$3:$AG$31/$A7)^G$2))</f>
        <v/>
      </c>
      <c r="H7" s="263">
        <f>$A7 - SUMPRODUCT(($AG$3:$AG$31&lt;$A7)*(($AG$3:$AG$31/$A7)^H$2))</f>
        <v/>
      </c>
      <c r="I7" s="263">
        <f>$A7 - SUMPRODUCT(($AG$3:$AG$31&lt;$A7)*(($AG$3:$AG$31/$A7)^I$2))</f>
        <v/>
      </c>
      <c r="J7" s="263">
        <f>$A7 - SUMPRODUCT(($AG$3:$AG$31&lt;$A7)*(($AG$3:$AG$31/$A7)^J$2))</f>
        <v/>
      </c>
      <c r="K7" s="263">
        <f>$A7 - SUMPRODUCT(($AG$3:$AG$31&lt;$A7)*(($AG$3:$AG$31/$A7)^K$2))</f>
        <v/>
      </c>
      <c r="L7" s="263">
        <f>$A7 - SUMPRODUCT(($AG$3:$AG$31&lt;$A7)*(($AG$3:$AG$31/$A7)^L$2))</f>
        <v/>
      </c>
      <c r="M7" s="263">
        <f>$A7 - SUMPRODUCT(($AG$3:$AG$31&lt;$A7)*(($AG$3:$AG$31/$A7)^M$2))</f>
        <v/>
      </c>
      <c r="N7" s="263">
        <f>$A7 - SUMPRODUCT(($AG$3:$AG$31&lt;$A7)*(($AG$3:$AG$31/$A7)^N$2))</f>
        <v/>
      </c>
      <c r="O7" s="263">
        <f>$A7 - SUMPRODUCT(($AG$3:$AG$31&lt;$A7)*(($AG$3:$AG$31/$A7)^O$2))</f>
        <v/>
      </c>
      <c r="P7" s="263">
        <f>$A7 - SUMPRODUCT(($AG$3:$AG$31&lt;$A7)*(($AG$3:$AG$31/$A7)^P$2))</f>
        <v/>
      </c>
      <c r="Q7" s="263">
        <f>$A7 - SUMPRODUCT(($AG$3:$AG$31&lt;$A7)*(($AG$3:$AG$31/$A7)^Q$2))</f>
        <v/>
      </c>
      <c r="R7" s="263">
        <f>$A7 - SUMPRODUCT(($AG$3:$AG$31&lt;$A7)*(($AG$3:$AG$31/$A7)^R$2))</f>
        <v/>
      </c>
      <c r="S7" s="264">
        <f>$A7 - SUMPRODUCT(($AG$3:$AG$31&lt;$A7)*(($AG$3:$AG$31/$A7)^S$2))</f>
        <v/>
      </c>
      <c r="T7" s="264">
        <f>$A7 - SUMPRODUCT(($AG$3:$AG$31&lt;$A7)*(($AG$3:$AG$31/$A7)^T$2))</f>
        <v/>
      </c>
      <c r="U7" s="264">
        <f>$A7 - SUMPRODUCT(($AG$3:$AG$31&lt;$A7)*(($AG$3:$AG$31/$A7)^U$2))</f>
        <v/>
      </c>
      <c r="V7" s="264">
        <f>$A7 - SUMPRODUCT(($AG$3:$AG$31&lt;$A7)*(($AG$3:$AG$31/$A7)^V$2))</f>
        <v/>
      </c>
      <c r="W7" s="264">
        <f>$A7 - SUMPRODUCT(($AG$3:$AG$31&lt;$A7)*(($AG$3:$AG$31/$A7)^W$2))</f>
        <v/>
      </c>
      <c r="X7" s="264">
        <f>$A7 - SUMPRODUCT(($AG$3:$AG$31&lt;$A7)*(($AG$3:$AG$31/$A7)^X$2))</f>
        <v/>
      </c>
      <c r="Y7" s="264">
        <f>$A7 - SUMPRODUCT(($AG$3:$AG$31&lt;$A7)*(($AG$3:$AG$31/$A7)^Y$2))</f>
        <v/>
      </c>
      <c r="Z7" s="264">
        <f>$A7 - SUMPRODUCT(($AG$3:$AG$31&lt;$A7)*(($AG$3:$AG$31/$A7)^Z$2))</f>
        <v/>
      </c>
      <c r="AA7" s="264">
        <f>$A7 - SUMPRODUCT(($AG$3:$AG$31&lt;$A7)*(($AG$3:$AG$31/$A7)^AA$2))</f>
        <v/>
      </c>
      <c r="AB7" s="264">
        <f>$A7 - SUMPRODUCT(($AG$3:$AG$31&lt;$A7)*(($AG$3:$AG$31/$A7)^AB$2))</f>
        <v/>
      </c>
      <c r="AC7" s="264">
        <f>$A7 - SUMPRODUCT(($AG$3:$AG$31&lt;$A7)*(($AG$3:$AG$31/$A7)^AC$2))</f>
        <v/>
      </c>
      <c r="AD7" s="264">
        <f>$A7 - SUMPRODUCT(($AG$3:$AG$31&lt;$A7)*(($AG$3:$AG$31/$A7)^AD$2))</f>
        <v/>
      </c>
      <c r="AE7" s="253" t="n"/>
      <c r="AF7" s="253" t="n"/>
      <c r="AG7" s="253" t="n">
        <v>5</v>
      </c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$A8 - SUMPRODUCT(($AG$3:$AG$31&lt;$A8)*(($AG$3:$AG$31/$A8)^B$2))</f>
        <v/>
      </c>
      <c r="C8" s="263">
        <f>$A8 - SUMPRODUCT(($AG$3:$AG$31&lt;$A8)*(($AG$3:$AG$31/$A8)^C$2))</f>
        <v/>
      </c>
      <c r="D8" s="263">
        <f>$A8 - SUMPRODUCT(($AG$3:$AG$31&lt;$A8)*(($AG$3:$AG$31/$A8)^D$2))</f>
        <v/>
      </c>
      <c r="E8" s="263">
        <f>$A8 - SUMPRODUCT(($AG$3:$AG$31&lt;$A8)*(($AG$3:$AG$31/$A8)^E$2))</f>
        <v/>
      </c>
      <c r="F8" s="263">
        <f>$A8 - SUMPRODUCT(($AG$3:$AG$31&lt;$A8)*(($AG$3:$AG$31/$A8)^F$2))</f>
        <v/>
      </c>
      <c r="G8" s="263">
        <f>$A8 - SUMPRODUCT(($AG$3:$AG$31&lt;$A8)*(($AG$3:$AG$31/$A8)^G$2))</f>
        <v/>
      </c>
      <c r="H8" s="263">
        <f>$A8 - SUMPRODUCT(($AG$3:$AG$31&lt;$A8)*(($AG$3:$AG$31/$A8)^H$2))</f>
        <v/>
      </c>
      <c r="I8" s="263">
        <f>$A8 - SUMPRODUCT(($AG$3:$AG$31&lt;$A8)*(($AG$3:$AG$31/$A8)^I$2))</f>
        <v/>
      </c>
      <c r="J8" s="263">
        <f>$A8 - SUMPRODUCT(($AG$3:$AG$31&lt;$A8)*(($AG$3:$AG$31/$A8)^J$2))</f>
        <v/>
      </c>
      <c r="K8" s="263">
        <f>$A8 - SUMPRODUCT(($AG$3:$AG$31&lt;$A8)*(($AG$3:$AG$31/$A8)^K$2))</f>
        <v/>
      </c>
      <c r="L8" s="263">
        <f>$A8 - SUMPRODUCT(($AG$3:$AG$31&lt;$A8)*(($AG$3:$AG$31/$A8)^L$2))</f>
        <v/>
      </c>
      <c r="M8" s="263">
        <f>$A8 - SUMPRODUCT(($AG$3:$AG$31&lt;$A8)*(($AG$3:$AG$31/$A8)^M$2))</f>
        <v/>
      </c>
      <c r="N8" s="263">
        <f>$A8 - SUMPRODUCT(($AG$3:$AG$31&lt;$A8)*(($AG$3:$AG$31/$A8)^N$2))</f>
        <v/>
      </c>
      <c r="O8" s="263">
        <f>$A8 - SUMPRODUCT(($AG$3:$AG$31&lt;$A8)*(($AG$3:$AG$31/$A8)^O$2))</f>
        <v/>
      </c>
      <c r="P8" s="263">
        <f>$A8 - SUMPRODUCT(($AG$3:$AG$31&lt;$A8)*(($AG$3:$AG$31/$A8)^P$2))</f>
        <v/>
      </c>
      <c r="Q8" s="263">
        <f>$A8 - SUMPRODUCT(($AG$3:$AG$31&lt;$A8)*(($AG$3:$AG$31/$A8)^Q$2))</f>
        <v/>
      </c>
      <c r="R8" s="263">
        <f>$A8 - SUMPRODUCT(($AG$3:$AG$31&lt;$A8)*(($AG$3:$AG$31/$A8)^R$2))</f>
        <v/>
      </c>
      <c r="S8" s="264">
        <f>$A8 - SUMPRODUCT(($AG$3:$AG$31&lt;$A8)*(($AG$3:$AG$31/$A8)^S$2))</f>
        <v/>
      </c>
      <c r="T8" s="264">
        <f>$A8 - SUMPRODUCT(($AG$3:$AG$31&lt;$A8)*(($AG$3:$AG$31/$A8)^T$2))</f>
        <v/>
      </c>
      <c r="U8" s="264">
        <f>$A8 - SUMPRODUCT(($AG$3:$AG$31&lt;$A8)*(($AG$3:$AG$31/$A8)^U$2))</f>
        <v/>
      </c>
      <c r="V8" s="264">
        <f>$A8 - SUMPRODUCT(($AG$3:$AG$31&lt;$A8)*(($AG$3:$AG$31/$A8)^V$2))</f>
        <v/>
      </c>
      <c r="W8" s="264">
        <f>$A8 - SUMPRODUCT(($AG$3:$AG$31&lt;$A8)*(($AG$3:$AG$31/$A8)^W$2))</f>
        <v/>
      </c>
      <c r="X8" s="264">
        <f>$A8 - SUMPRODUCT(($AG$3:$AG$31&lt;$A8)*(($AG$3:$AG$31/$A8)^X$2))</f>
        <v/>
      </c>
      <c r="Y8" s="264">
        <f>$A8 - SUMPRODUCT(($AG$3:$AG$31&lt;$A8)*(($AG$3:$AG$31/$A8)^Y$2))</f>
        <v/>
      </c>
      <c r="Z8" s="264">
        <f>$A8 - SUMPRODUCT(($AG$3:$AG$31&lt;$A8)*(($AG$3:$AG$31/$A8)^Z$2))</f>
        <v/>
      </c>
      <c r="AA8" s="264">
        <f>$A8 - SUMPRODUCT(($AG$3:$AG$31&lt;$A8)*(($AG$3:$AG$31/$A8)^AA$2))</f>
        <v/>
      </c>
      <c r="AB8" s="264">
        <f>$A8 - SUMPRODUCT(($AG$3:$AG$31&lt;$A8)*(($AG$3:$AG$31/$A8)^AB$2))</f>
        <v/>
      </c>
      <c r="AC8" s="264">
        <f>$A8 - SUMPRODUCT(($AG$3:$AG$31&lt;$A8)*(($AG$3:$AG$31/$A8)^AC$2))</f>
        <v/>
      </c>
      <c r="AD8" s="264">
        <f>$A8 - SUMPRODUCT(($AG$3:$AG$31&lt;$A8)*(($AG$3:$AG$31/$A8)^AD$2))</f>
        <v/>
      </c>
      <c r="AE8" s="253" t="n"/>
      <c r="AF8" s="253" t="n"/>
      <c r="AG8" s="253" t="n">
        <v>6</v>
      </c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$A9 - SUMPRODUCT(($AG$3:$AG$31&lt;$A9)*(($AG$3:$AG$31/$A9)^B$2))</f>
        <v/>
      </c>
      <c r="C9" s="263">
        <f>$A9 - SUMPRODUCT(($AG$3:$AG$31&lt;$A9)*(($AG$3:$AG$31/$A9)^C$2))</f>
        <v/>
      </c>
      <c r="D9" s="263">
        <f>$A9 - SUMPRODUCT(($AG$3:$AG$31&lt;$A9)*(($AG$3:$AG$31/$A9)^D$2))</f>
        <v/>
      </c>
      <c r="E9" s="263">
        <f>$A9 - SUMPRODUCT(($AG$3:$AG$31&lt;$A9)*(($AG$3:$AG$31/$A9)^E$2))</f>
        <v/>
      </c>
      <c r="F9" s="263">
        <f>$A9 - SUMPRODUCT(($AG$3:$AG$31&lt;$A9)*(($AG$3:$AG$31/$A9)^F$2))</f>
        <v/>
      </c>
      <c r="G9" s="263">
        <f>$A9 - SUMPRODUCT(($AG$3:$AG$31&lt;$A9)*(($AG$3:$AG$31/$A9)^G$2))</f>
        <v/>
      </c>
      <c r="H9" s="263">
        <f>$A9 - SUMPRODUCT(($AG$3:$AG$31&lt;$A9)*(($AG$3:$AG$31/$A9)^H$2))</f>
        <v/>
      </c>
      <c r="I9" s="263">
        <f>$A9 - SUMPRODUCT(($AG$3:$AG$31&lt;$A9)*(($AG$3:$AG$31/$A9)^I$2))</f>
        <v/>
      </c>
      <c r="J9" s="263">
        <f>$A9 - SUMPRODUCT(($AG$3:$AG$31&lt;$A9)*(($AG$3:$AG$31/$A9)^J$2))</f>
        <v/>
      </c>
      <c r="K9" s="263">
        <f>$A9 - SUMPRODUCT(($AG$3:$AG$31&lt;$A9)*(($AG$3:$AG$31/$A9)^K$2))</f>
        <v/>
      </c>
      <c r="L9" s="263">
        <f>$A9 - SUMPRODUCT(($AG$3:$AG$31&lt;$A9)*(($AG$3:$AG$31/$A9)^L$2))</f>
        <v/>
      </c>
      <c r="M9" s="263">
        <f>$A9 - SUMPRODUCT(($AG$3:$AG$31&lt;$A9)*(($AG$3:$AG$31/$A9)^M$2))</f>
        <v/>
      </c>
      <c r="N9" s="263">
        <f>$A9 - SUMPRODUCT(($AG$3:$AG$31&lt;$A9)*(($AG$3:$AG$31/$A9)^N$2))</f>
        <v/>
      </c>
      <c r="O9" s="263">
        <f>$A9 - SUMPRODUCT(($AG$3:$AG$31&lt;$A9)*(($AG$3:$AG$31/$A9)^O$2))</f>
        <v/>
      </c>
      <c r="P9" s="263">
        <f>$A9 - SUMPRODUCT(($AG$3:$AG$31&lt;$A9)*(($AG$3:$AG$31/$A9)^P$2))</f>
        <v/>
      </c>
      <c r="Q9" s="263">
        <f>$A9 - SUMPRODUCT(($AG$3:$AG$31&lt;$A9)*(($AG$3:$AG$31/$A9)^Q$2))</f>
        <v/>
      </c>
      <c r="R9" s="263">
        <f>$A9 - SUMPRODUCT(($AG$3:$AG$31&lt;$A9)*(($AG$3:$AG$31/$A9)^R$2))</f>
        <v/>
      </c>
      <c r="S9" s="264">
        <f>$A9 - SUMPRODUCT(($AG$3:$AG$31&lt;$A9)*(($AG$3:$AG$31/$A9)^S$2))</f>
        <v/>
      </c>
      <c r="T9" s="264">
        <f>$A9 - SUMPRODUCT(($AG$3:$AG$31&lt;$A9)*(($AG$3:$AG$31/$A9)^T$2))</f>
        <v/>
      </c>
      <c r="U9" s="264">
        <f>$A9 - SUMPRODUCT(($AG$3:$AG$31&lt;$A9)*(($AG$3:$AG$31/$A9)^U$2))</f>
        <v/>
      </c>
      <c r="V9" s="264">
        <f>$A9 - SUMPRODUCT(($AG$3:$AG$31&lt;$A9)*(($AG$3:$AG$31/$A9)^V$2))</f>
        <v/>
      </c>
      <c r="W9" s="264">
        <f>$A9 - SUMPRODUCT(($AG$3:$AG$31&lt;$A9)*(($AG$3:$AG$31/$A9)^W$2))</f>
        <v/>
      </c>
      <c r="X9" s="264">
        <f>$A9 - SUMPRODUCT(($AG$3:$AG$31&lt;$A9)*(($AG$3:$AG$31/$A9)^X$2))</f>
        <v/>
      </c>
      <c r="Y9" s="264">
        <f>$A9 - SUMPRODUCT(($AG$3:$AG$31&lt;$A9)*(($AG$3:$AG$31/$A9)^Y$2))</f>
        <v/>
      </c>
      <c r="Z9" s="264">
        <f>$A9 - SUMPRODUCT(($AG$3:$AG$31&lt;$A9)*(($AG$3:$AG$31/$A9)^Z$2))</f>
        <v/>
      </c>
      <c r="AA9" s="264">
        <f>$A9 - SUMPRODUCT(($AG$3:$AG$31&lt;$A9)*(($AG$3:$AG$31/$A9)^AA$2))</f>
        <v/>
      </c>
      <c r="AB9" s="264">
        <f>$A9 - SUMPRODUCT(($AG$3:$AG$31&lt;$A9)*(($AG$3:$AG$31/$A9)^AB$2))</f>
        <v/>
      </c>
      <c r="AC9" s="264">
        <f>$A9 - SUMPRODUCT(($AG$3:$AG$31&lt;$A9)*(($AG$3:$AG$31/$A9)^AC$2))</f>
        <v/>
      </c>
      <c r="AD9" s="264">
        <f>$A9 - SUMPRODUCT(($AG$3:$AG$31&lt;$A9)*(($AG$3:$AG$31/$A9)^AD$2))</f>
        <v/>
      </c>
      <c r="AE9" s="253" t="n"/>
      <c r="AF9" s="253" t="n"/>
      <c r="AG9" s="253" t="n">
        <v>7</v>
      </c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$A10 - SUMPRODUCT(($AG$3:$AG$31&lt;$A10)*(($AG$3:$AG$31/$A10)^B$2))</f>
        <v/>
      </c>
      <c r="C10" s="263">
        <f>$A10 - SUMPRODUCT(($AG$3:$AG$31&lt;$A10)*(($AG$3:$AG$31/$A10)^C$2))</f>
        <v/>
      </c>
      <c r="D10" s="263">
        <f>$A10 - SUMPRODUCT(($AG$3:$AG$31&lt;$A10)*(($AG$3:$AG$31/$A10)^D$2))</f>
        <v/>
      </c>
      <c r="E10" s="263">
        <f>$A10 - SUMPRODUCT(($AG$3:$AG$31&lt;$A10)*(($AG$3:$AG$31/$A10)^E$2))</f>
        <v/>
      </c>
      <c r="F10" s="263">
        <f>$A10 - SUMPRODUCT(($AG$3:$AG$31&lt;$A10)*(($AG$3:$AG$31/$A10)^F$2))</f>
        <v/>
      </c>
      <c r="G10" s="263">
        <f>$A10 - SUMPRODUCT(($AG$3:$AG$31&lt;$A10)*(($AG$3:$AG$31/$A10)^G$2))</f>
        <v/>
      </c>
      <c r="H10" s="263">
        <f>$A10 - SUMPRODUCT(($AG$3:$AG$31&lt;$A10)*(($AG$3:$AG$31/$A10)^H$2))</f>
        <v/>
      </c>
      <c r="I10" s="263">
        <f>$A10 - SUMPRODUCT(($AG$3:$AG$31&lt;$A10)*(($AG$3:$AG$31/$A10)^I$2))</f>
        <v/>
      </c>
      <c r="J10" s="263">
        <f>$A10 - SUMPRODUCT(($AG$3:$AG$31&lt;$A10)*(($AG$3:$AG$31/$A10)^J$2))</f>
        <v/>
      </c>
      <c r="K10" s="263">
        <f>$A10 - SUMPRODUCT(($AG$3:$AG$31&lt;$A10)*(($AG$3:$AG$31/$A10)^K$2))</f>
        <v/>
      </c>
      <c r="L10" s="263">
        <f>$A10 - SUMPRODUCT(($AG$3:$AG$31&lt;$A10)*(($AG$3:$AG$31/$A10)^L$2))</f>
        <v/>
      </c>
      <c r="M10" s="263">
        <f>$A10 - SUMPRODUCT(($AG$3:$AG$31&lt;$A10)*(($AG$3:$AG$31/$A10)^M$2))</f>
        <v/>
      </c>
      <c r="N10" s="263">
        <f>$A10 - SUMPRODUCT(($AG$3:$AG$31&lt;$A10)*(($AG$3:$AG$31/$A10)^N$2))</f>
        <v/>
      </c>
      <c r="O10" s="263">
        <f>$A10 - SUMPRODUCT(($AG$3:$AG$31&lt;$A10)*(($AG$3:$AG$31/$A10)^O$2))</f>
        <v/>
      </c>
      <c r="P10" s="263">
        <f>$A10 - SUMPRODUCT(($AG$3:$AG$31&lt;$A10)*(($AG$3:$AG$31/$A10)^P$2))</f>
        <v/>
      </c>
      <c r="Q10" s="263">
        <f>$A10 - SUMPRODUCT(($AG$3:$AG$31&lt;$A10)*(($AG$3:$AG$31/$A10)^Q$2))</f>
        <v/>
      </c>
      <c r="R10" s="263">
        <f>$A10 - SUMPRODUCT(($AG$3:$AG$31&lt;$A10)*(($AG$3:$AG$31/$A10)^R$2))</f>
        <v/>
      </c>
      <c r="S10" s="264">
        <f>$A10 - SUMPRODUCT(($AG$3:$AG$31&lt;$A10)*(($AG$3:$AG$31/$A10)^S$2))</f>
        <v/>
      </c>
      <c r="T10" s="264">
        <f>$A10 - SUMPRODUCT(($AG$3:$AG$31&lt;$A10)*(($AG$3:$AG$31/$A10)^T$2))</f>
        <v/>
      </c>
      <c r="U10" s="264">
        <f>$A10 - SUMPRODUCT(($AG$3:$AG$31&lt;$A10)*(($AG$3:$AG$31/$A10)^U$2))</f>
        <v/>
      </c>
      <c r="V10" s="264">
        <f>$A10 - SUMPRODUCT(($AG$3:$AG$31&lt;$A10)*(($AG$3:$AG$31/$A10)^V$2))</f>
        <v/>
      </c>
      <c r="W10" s="264">
        <f>$A10 - SUMPRODUCT(($AG$3:$AG$31&lt;$A10)*(($AG$3:$AG$31/$A10)^W$2))</f>
        <v/>
      </c>
      <c r="X10" s="264">
        <f>$A10 - SUMPRODUCT(($AG$3:$AG$31&lt;$A10)*(($AG$3:$AG$31/$A10)^X$2))</f>
        <v/>
      </c>
      <c r="Y10" s="264">
        <f>$A10 - SUMPRODUCT(($AG$3:$AG$31&lt;$A10)*(($AG$3:$AG$31/$A10)^Y$2))</f>
        <v/>
      </c>
      <c r="Z10" s="264">
        <f>$A10 - SUMPRODUCT(($AG$3:$AG$31&lt;$A10)*(($AG$3:$AG$31/$A10)^Z$2))</f>
        <v/>
      </c>
      <c r="AA10" s="264">
        <f>$A10 - SUMPRODUCT(($AG$3:$AG$31&lt;$A10)*(($AG$3:$AG$31/$A10)^AA$2))</f>
        <v/>
      </c>
      <c r="AB10" s="264">
        <f>$A10 - SUMPRODUCT(($AG$3:$AG$31&lt;$A10)*(($AG$3:$AG$31/$A10)^AB$2))</f>
        <v/>
      </c>
      <c r="AC10" s="264">
        <f>$A10 - SUMPRODUCT(($AG$3:$AG$31&lt;$A10)*(($AG$3:$AG$31/$A10)^AC$2))</f>
        <v/>
      </c>
      <c r="AD10" s="264">
        <f>$A10 - SUMPRODUCT(($AG$3:$AG$31&lt;$A10)*(($AG$3:$AG$31/$A10)^AD$2))</f>
        <v/>
      </c>
      <c r="AE10" s="253" t="n"/>
      <c r="AF10" s="253" t="n"/>
      <c r="AG10" s="253" t="n">
        <v>8</v>
      </c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$A11 - SUMPRODUCT(($AG$3:$AG$31&lt;$A11)*(($AG$3:$AG$31/$A11)^B$2))</f>
        <v/>
      </c>
      <c r="C11" s="263">
        <f>$A11 - SUMPRODUCT(($AG$3:$AG$31&lt;$A11)*(($AG$3:$AG$31/$A11)^C$2))</f>
        <v/>
      </c>
      <c r="D11" s="263">
        <f>$A11 - SUMPRODUCT(($AG$3:$AG$31&lt;$A11)*(($AG$3:$AG$31/$A11)^D$2))</f>
        <v/>
      </c>
      <c r="E11" s="263">
        <f>$A11 - SUMPRODUCT(($AG$3:$AG$31&lt;$A11)*(($AG$3:$AG$31/$A11)^E$2))</f>
        <v/>
      </c>
      <c r="F11" s="263">
        <f>$A11 - SUMPRODUCT(($AG$3:$AG$31&lt;$A11)*(($AG$3:$AG$31/$A11)^F$2))</f>
        <v/>
      </c>
      <c r="G11" s="263">
        <f>$A11 - SUMPRODUCT(($AG$3:$AG$31&lt;$A11)*(($AG$3:$AG$31/$A11)^G$2))</f>
        <v/>
      </c>
      <c r="H11" s="263">
        <f>$A11 - SUMPRODUCT(($AG$3:$AG$31&lt;$A11)*(($AG$3:$AG$31/$A11)^H$2))</f>
        <v/>
      </c>
      <c r="I11" s="263">
        <f>$A11 - SUMPRODUCT(($AG$3:$AG$31&lt;$A11)*(($AG$3:$AG$31/$A11)^I$2))</f>
        <v/>
      </c>
      <c r="J11" s="263">
        <f>$A11 - SUMPRODUCT(($AG$3:$AG$31&lt;$A11)*(($AG$3:$AG$31/$A11)^J$2))</f>
        <v/>
      </c>
      <c r="K11" s="263">
        <f>$A11 - SUMPRODUCT(($AG$3:$AG$31&lt;$A11)*(($AG$3:$AG$31/$A11)^K$2))</f>
        <v/>
      </c>
      <c r="L11" s="263">
        <f>$A11 - SUMPRODUCT(($AG$3:$AG$31&lt;$A11)*(($AG$3:$AG$31/$A11)^L$2))</f>
        <v/>
      </c>
      <c r="M11" s="263">
        <f>$A11 - SUMPRODUCT(($AG$3:$AG$31&lt;$A11)*(($AG$3:$AG$31/$A11)^M$2))</f>
        <v/>
      </c>
      <c r="N11" s="263">
        <f>$A11 - SUMPRODUCT(($AG$3:$AG$31&lt;$A11)*(($AG$3:$AG$31/$A11)^N$2))</f>
        <v/>
      </c>
      <c r="O11" s="263">
        <f>$A11 - SUMPRODUCT(($AG$3:$AG$31&lt;$A11)*(($AG$3:$AG$31/$A11)^O$2))</f>
        <v/>
      </c>
      <c r="P11" s="263">
        <f>$A11 - SUMPRODUCT(($AG$3:$AG$31&lt;$A11)*(($AG$3:$AG$31/$A11)^P$2))</f>
        <v/>
      </c>
      <c r="Q11" s="263">
        <f>$A11 - SUMPRODUCT(($AG$3:$AG$31&lt;$A11)*(($AG$3:$AG$31/$A11)^Q$2))</f>
        <v/>
      </c>
      <c r="R11" s="263">
        <f>$A11 - SUMPRODUCT(($AG$3:$AG$31&lt;$A11)*(($AG$3:$AG$31/$A11)^R$2))</f>
        <v/>
      </c>
      <c r="S11" s="264">
        <f>$A11 - SUMPRODUCT(($AG$3:$AG$31&lt;$A11)*(($AG$3:$AG$31/$A11)^S$2))</f>
        <v/>
      </c>
      <c r="T11" s="264">
        <f>$A11 - SUMPRODUCT(($AG$3:$AG$31&lt;$A11)*(($AG$3:$AG$31/$A11)^T$2))</f>
        <v/>
      </c>
      <c r="U11" s="264">
        <f>$A11 - SUMPRODUCT(($AG$3:$AG$31&lt;$A11)*(($AG$3:$AG$31/$A11)^U$2))</f>
        <v/>
      </c>
      <c r="V11" s="264">
        <f>$A11 - SUMPRODUCT(($AG$3:$AG$31&lt;$A11)*(($AG$3:$AG$31/$A11)^V$2))</f>
        <v/>
      </c>
      <c r="W11" s="264">
        <f>$A11 - SUMPRODUCT(($AG$3:$AG$31&lt;$A11)*(($AG$3:$AG$31/$A11)^W$2))</f>
        <v/>
      </c>
      <c r="X11" s="264">
        <f>$A11 - SUMPRODUCT(($AG$3:$AG$31&lt;$A11)*(($AG$3:$AG$31/$A11)^X$2))</f>
        <v/>
      </c>
      <c r="Y11" s="264">
        <f>$A11 - SUMPRODUCT(($AG$3:$AG$31&lt;$A11)*(($AG$3:$AG$31/$A11)^Y$2))</f>
        <v/>
      </c>
      <c r="Z11" s="264">
        <f>$A11 - SUMPRODUCT(($AG$3:$AG$31&lt;$A11)*(($AG$3:$AG$31/$A11)^Z$2))</f>
        <v/>
      </c>
      <c r="AA11" s="264">
        <f>$A11 - SUMPRODUCT(($AG$3:$AG$31&lt;$A11)*(($AG$3:$AG$31/$A11)^AA$2))</f>
        <v/>
      </c>
      <c r="AB11" s="264">
        <f>$A11 - SUMPRODUCT(($AG$3:$AG$31&lt;$A11)*(($AG$3:$AG$31/$A11)^AB$2))</f>
        <v/>
      </c>
      <c r="AC11" s="264">
        <f>$A11 - SUMPRODUCT(($AG$3:$AG$31&lt;$A11)*(($AG$3:$AG$31/$A11)^AC$2))</f>
        <v/>
      </c>
      <c r="AD11" s="264">
        <f>$A11 - SUMPRODUCT(($AG$3:$AG$31&lt;$A11)*(($AG$3:$AG$31/$A11)^AD$2))</f>
        <v/>
      </c>
      <c r="AE11" s="253" t="n"/>
      <c r="AF11" s="253" t="n"/>
      <c r="AG11" s="253" t="n">
        <v>9</v>
      </c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$A12 - SUMPRODUCT(($AG$3:$AG$31&lt;$A12)*(($AG$3:$AG$31/$A12)^B$2))</f>
        <v/>
      </c>
      <c r="C12" s="263">
        <f>$A12 - SUMPRODUCT(($AG$3:$AG$31&lt;$A12)*(($AG$3:$AG$31/$A12)^C$2))</f>
        <v/>
      </c>
      <c r="D12" s="263">
        <f>$A12 - SUMPRODUCT(($AG$3:$AG$31&lt;$A12)*(($AG$3:$AG$31/$A12)^D$2))</f>
        <v/>
      </c>
      <c r="E12" s="263">
        <f>$A12 - SUMPRODUCT(($AG$3:$AG$31&lt;$A12)*(($AG$3:$AG$31/$A12)^E$2))</f>
        <v/>
      </c>
      <c r="F12" s="263">
        <f>$A12 - SUMPRODUCT(($AG$3:$AG$31&lt;$A12)*(($AG$3:$AG$31/$A12)^F$2))</f>
        <v/>
      </c>
      <c r="G12" s="263">
        <f>$A12 - SUMPRODUCT(($AG$3:$AG$31&lt;$A12)*(($AG$3:$AG$31/$A12)^G$2))</f>
        <v/>
      </c>
      <c r="H12" s="263">
        <f>$A12 - SUMPRODUCT(($AG$3:$AG$31&lt;$A12)*(($AG$3:$AG$31/$A12)^H$2))</f>
        <v/>
      </c>
      <c r="I12" s="263">
        <f>$A12 - SUMPRODUCT(($AG$3:$AG$31&lt;$A12)*(($AG$3:$AG$31/$A12)^I$2))</f>
        <v/>
      </c>
      <c r="J12" s="263">
        <f>$A12 - SUMPRODUCT(($AG$3:$AG$31&lt;$A12)*(($AG$3:$AG$31/$A12)^J$2))</f>
        <v/>
      </c>
      <c r="K12" s="263">
        <f>$A12 - SUMPRODUCT(($AG$3:$AG$31&lt;$A12)*(($AG$3:$AG$31/$A12)^K$2))</f>
        <v/>
      </c>
      <c r="L12" s="263">
        <f>$A12 - SUMPRODUCT(($AG$3:$AG$31&lt;$A12)*(($AG$3:$AG$31/$A12)^L$2))</f>
        <v/>
      </c>
      <c r="M12" s="263">
        <f>$A12 - SUMPRODUCT(($AG$3:$AG$31&lt;$A12)*(($AG$3:$AG$31/$A12)^M$2))</f>
        <v/>
      </c>
      <c r="N12" s="263">
        <f>$A12 - SUMPRODUCT(($AG$3:$AG$31&lt;$A12)*(($AG$3:$AG$31/$A12)^N$2))</f>
        <v/>
      </c>
      <c r="O12" s="263">
        <f>$A12 - SUMPRODUCT(($AG$3:$AG$31&lt;$A12)*(($AG$3:$AG$31/$A12)^O$2))</f>
        <v/>
      </c>
      <c r="P12" s="263">
        <f>$A12 - SUMPRODUCT(($AG$3:$AG$31&lt;$A12)*(($AG$3:$AG$31/$A12)^P$2))</f>
        <v/>
      </c>
      <c r="Q12" s="263">
        <f>$A12 - SUMPRODUCT(($AG$3:$AG$31&lt;$A12)*(($AG$3:$AG$31/$A12)^Q$2))</f>
        <v/>
      </c>
      <c r="R12" s="263">
        <f>$A12 - SUMPRODUCT(($AG$3:$AG$31&lt;$A12)*(($AG$3:$AG$31/$A12)^R$2))</f>
        <v/>
      </c>
      <c r="S12" s="264">
        <f>$A12 - SUMPRODUCT(($AG$3:$AG$31&lt;$A12)*(($AG$3:$AG$31/$A12)^S$2))</f>
        <v/>
      </c>
      <c r="T12" s="264">
        <f>$A12 - SUMPRODUCT(($AG$3:$AG$31&lt;$A12)*(($AG$3:$AG$31/$A12)^T$2))</f>
        <v/>
      </c>
      <c r="U12" s="264">
        <f>$A12 - SUMPRODUCT(($AG$3:$AG$31&lt;$A12)*(($AG$3:$AG$31/$A12)^U$2))</f>
        <v/>
      </c>
      <c r="V12" s="264">
        <f>$A12 - SUMPRODUCT(($AG$3:$AG$31&lt;$A12)*(($AG$3:$AG$31/$A12)^V$2))</f>
        <v/>
      </c>
      <c r="W12" s="264">
        <f>$A12 - SUMPRODUCT(($AG$3:$AG$31&lt;$A12)*(($AG$3:$AG$31/$A12)^W$2))</f>
        <v/>
      </c>
      <c r="X12" s="264">
        <f>$A12 - SUMPRODUCT(($AG$3:$AG$31&lt;$A12)*(($AG$3:$AG$31/$A12)^X$2))</f>
        <v/>
      </c>
      <c r="Y12" s="264">
        <f>$A12 - SUMPRODUCT(($AG$3:$AG$31&lt;$A12)*(($AG$3:$AG$31/$A12)^Y$2))</f>
        <v/>
      </c>
      <c r="Z12" s="264">
        <f>$A12 - SUMPRODUCT(($AG$3:$AG$31&lt;$A12)*(($AG$3:$AG$31/$A12)^Z$2))</f>
        <v/>
      </c>
      <c r="AA12" s="264">
        <f>$A12 - SUMPRODUCT(($AG$3:$AG$31&lt;$A12)*(($AG$3:$AG$31/$A12)^AA$2))</f>
        <v/>
      </c>
      <c r="AB12" s="264">
        <f>$A12 - SUMPRODUCT(($AG$3:$AG$31&lt;$A12)*(($AG$3:$AG$31/$A12)^AB$2))</f>
        <v/>
      </c>
      <c r="AC12" s="264">
        <f>$A12 - SUMPRODUCT(($AG$3:$AG$31&lt;$A12)*(($AG$3:$AG$31/$A12)^AC$2))</f>
        <v/>
      </c>
      <c r="AD12" s="264">
        <f>$A12 - SUMPRODUCT(($AG$3:$AG$31&lt;$A12)*(($AG$3:$AG$31/$A12)^AD$2))</f>
        <v/>
      </c>
      <c r="AE12" s="253" t="n"/>
      <c r="AF12" s="253" t="n"/>
      <c r="AG12" s="253" t="n">
        <v>10</v>
      </c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$A13 - SUMPRODUCT(($AG$3:$AG$31&lt;$A13)*(($AG$3:$AG$31/$A13)^B$2))</f>
        <v/>
      </c>
      <c r="C13" s="263">
        <f>$A13 - SUMPRODUCT(($AG$3:$AG$31&lt;$A13)*(($AG$3:$AG$31/$A13)^C$2))</f>
        <v/>
      </c>
      <c r="D13" s="263">
        <f>$A13 - SUMPRODUCT(($AG$3:$AG$31&lt;$A13)*(($AG$3:$AG$31/$A13)^D$2))</f>
        <v/>
      </c>
      <c r="E13" s="263">
        <f>$A13 - SUMPRODUCT(($AG$3:$AG$31&lt;$A13)*(($AG$3:$AG$31/$A13)^E$2))</f>
        <v/>
      </c>
      <c r="F13" s="263">
        <f>$A13 - SUMPRODUCT(($AG$3:$AG$31&lt;$A13)*(($AG$3:$AG$31/$A13)^F$2))</f>
        <v/>
      </c>
      <c r="G13" s="263">
        <f>$A13 - SUMPRODUCT(($AG$3:$AG$31&lt;$A13)*(($AG$3:$AG$31/$A13)^G$2))</f>
        <v/>
      </c>
      <c r="H13" s="263">
        <f>$A13 - SUMPRODUCT(($AG$3:$AG$31&lt;$A13)*(($AG$3:$AG$31/$A13)^H$2))</f>
        <v/>
      </c>
      <c r="I13" s="263">
        <f>$A13 - SUMPRODUCT(($AG$3:$AG$31&lt;$A13)*(($AG$3:$AG$31/$A13)^I$2))</f>
        <v/>
      </c>
      <c r="J13" s="263">
        <f>$A13 - SUMPRODUCT(($AG$3:$AG$31&lt;$A13)*(($AG$3:$AG$31/$A13)^J$2))</f>
        <v/>
      </c>
      <c r="K13" s="263">
        <f>$A13 - SUMPRODUCT(($AG$3:$AG$31&lt;$A13)*(($AG$3:$AG$31/$A13)^K$2))</f>
        <v/>
      </c>
      <c r="L13" s="263">
        <f>$A13 - SUMPRODUCT(($AG$3:$AG$31&lt;$A13)*(($AG$3:$AG$31/$A13)^L$2))</f>
        <v/>
      </c>
      <c r="M13" s="263">
        <f>$A13 - SUMPRODUCT(($AG$3:$AG$31&lt;$A13)*(($AG$3:$AG$31/$A13)^M$2))</f>
        <v/>
      </c>
      <c r="N13" s="263">
        <f>$A13 - SUMPRODUCT(($AG$3:$AG$31&lt;$A13)*(($AG$3:$AG$31/$A13)^N$2))</f>
        <v/>
      </c>
      <c r="O13" s="263">
        <f>$A13 - SUMPRODUCT(($AG$3:$AG$31&lt;$A13)*(($AG$3:$AG$31/$A13)^O$2))</f>
        <v/>
      </c>
      <c r="P13" s="263">
        <f>$A13 - SUMPRODUCT(($AG$3:$AG$31&lt;$A13)*(($AG$3:$AG$31/$A13)^P$2))</f>
        <v/>
      </c>
      <c r="Q13" s="263">
        <f>$A13 - SUMPRODUCT(($AG$3:$AG$31&lt;$A13)*(($AG$3:$AG$31/$A13)^Q$2))</f>
        <v/>
      </c>
      <c r="R13" s="263">
        <f>$A13 - SUMPRODUCT(($AG$3:$AG$31&lt;$A13)*(($AG$3:$AG$31/$A13)^R$2))</f>
        <v/>
      </c>
      <c r="S13" s="264">
        <f>$A13 - SUMPRODUCT(($AG$3:$AG$31&lt;$A13)*(($AG$3:$AG$31/$A13)^S$2))</f>
        <v/>
      </c>
      <c r="T13" s="264">
        <f>$A13 - SUMPRODUCT(($AG$3:$AG$31&lt;$A13)*(($AG$3:$AG$31/$A13)^T$2))</f>
        <v/>
      </c>
      <c r="U13" s="264">
        <f>$A13 - SUMPRODUCT(($AG$3:$AG$31&lt;$A13)*(($AG$3:$AG$31/$A13)^U$2))</f>
        <v/>
      </c>
      <c r="V13" s="264">
        <f>$A13 - SUMPRODUCT(($AG$3:$AG$31&lt;$A13)*(($AG$3:$AG$31/$A13)^V$2))</f>
        <v/>
      </c>
      <c r="W13" s="264">
        <f>$A13 - SUMPRODUCT(($AG$3:$AG$31&lt;$A13)*(($AG$3:$AG$31/$A13)^W$2))</f>
        <v/>
      </c>
      <c r="X13" s="264">
        <f>$A13 - SUMPRODUCT(($AG$3:$AG$31&lt;$A13)*(($AG$3:$AG$31/$A13)^X$2))</f>
        <v/>
      </c>
      <c r="Y13" s="264">
        <f>$A13 - SUMPRODUCT(($AG$3:$AG$31&lt;$A13)*(($AG$3:$AG$31/$A13)^Y$2))</f>
        <v/>
      </c>
      <c r="Z13" s="264">
        <f>$A13 - SUMPRODUCT(($AG$3:$AG$31&lt;$A13)*(($AG$3:$AG$31/$A13)^Z$2))</f>
        <v/>
      </c>
      <c r="AA13" s="264">
        <f>$A13 - SUMPRODUCT(($AG$3:$AG$31&lt;$A13)*(($AG$3:$AG$31/$A13)^AA$2))</f>
        <v/>
      </c>
      <c r="AB13" s="264">
        <f>$A13 - SUMPRODUCT(($AG$3:$AG$31&lt;$A13)*(($AG$3:$AG$31/$A13)^AB$2))</f>
        <v/>
      </c>
      <c r="AC13" s="264">
        <f>$A13 - SUMPRODUCT(($AG$3:$AG$31&lt;$A13)*(($AG$3:$AG$31/$A13)^AC$2))</f>
        <v/>
      </c>
      <c r="AD13" s="264">
        <f>$A13 - SUMPRODUCT(($AG$3:$AG$31&lt;$A13)*(($AG$3:$AG$31/$A13)^AD$2))</f>
        <v/>
      </c>
      <c r="AE13" s="253" t="n"/>
      <c r="AF13" s="253" t="n"/>
      <c r="AG13" s="253" t="n">
        <v>11</v>
      </c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$A14 - SUMPRODUCT(($AG$3:$AG$31&lt;$A14)*(($AG$3:$AG$31/$A14)^B$2))</f>
        <v/>
      </c>
      <c r="C14" s="263">
        <f>$A14 - SUMPRODUCT(($AG$3:$AG$31&lt;$A14)*(($AG$3:$AG$31/$A14)^C$2))</f>
        <v/>
      </c>
      <c r="D14" s="263">
        <f>$A14 - SUMPRODUCT(($AG$3:$AG$31&lt;$A14)*(($AG$3:$AG$31/$A14)^D$2))</f>
        <v/>
      </c>
      <c r="E14" s="263">
        <f>$A14 - SUMPRODUCT(($AG$3:$AG$31&lt;$A14)*(($AG$3:$AG$31/$A14)^E$2))</f>
        <v/>
      </c>
      <c r="F14" s="263">
        <f>$A14 - SUMPRODUCT(($AG$3:$AG$31&lt;$A14)*(($AG$3:$AG$31/$A14)^F$2))</f>
        <v/>
      </c>
      <c r="G14" s="263">
        <f>$A14 - SUMPRODUCT(($AG$3:$AG$31&lt;$A14)*(($AG$3:$AG$31/$A14)^G$2))</f>
        <v/>
      </c>
      <c r="H14" s="263">
        <f>$A14 - SUMPRODUCT(($AG$3:$AG$31&lt;$A14)*(($AG$3:$AG$31/$A14)^H$2))</f>
        <v/>
      </c>
      <c r="I14" s="263">
        <f>$A14 - SUMPRODUCT(($AG$3:$AG$31&lt;$A14)*(($AG$3:$AG$31/$A14)^I$2))</f>
        <v/>
      </c>
      <c r="J14" s="263">
        <f>$A14 - SUMPRODUCT(($AG$3:$AG$31&lt;$A14)*(($AG$3:$AG$31/$A14)^J$2))</f>
        <v/>
      </c>
      <c r="K14" s="263">
        <f>$A14 - SUMPRODUCT(($AG$3:$AG$31&lt;$A14)*(($AG$3:$AG$31/$A14)^K$2))</f>
        <v/>
      </c>
      <c r="L14" s="263">
        <f>$A14 - SUMPRODUCT(($AG$3:$AG$31&lt;$A14)*(($AG$3:$AG$31/$A14)^L$2))</f>
        <v/>
      </c>
      <c r="M14" s="263">
        <f>$A14 - SUMPRODUCT(($AG$3:$AG$31&lt;$A14)*(($AG$3:$AG$31/$A14)^M$2))</f>
        <v/>
      </c>
      <c r="N14" s="263">
        <f>$A14 - SUMPRODUCT(($AG$3:$AG$31&lt;$A14)*(($AG$3:$AG$31/$A14)^N$2))</f>
        <v/>
      </c>
      <c r="O14" s="263">
        <f>$A14 - SUMPRODUCT(($AG$3:$AG$31&lt;$A14)*(($AG$3:$AG$31/$A14)^O$2))</f>
        <v/>
      </c>
      <c r="P14" s="263">
        <f>$A14 - SUMPRODUCT(($AG$3:$AG$31&lt;$A14)*(($AG$3:$AG$31/$A14)^P$2))</f>
        <v/>
      </c>
      <c r="Q14" s="263">
        <f>$A14 - SUMPRODUCT(($AG$3:$AG$31&lt;$A14)*(($AG$3:$AG$31/$A14)^Q$2))</f>
        <v/>
      </c>
      <c r="R14" s="263">
        <f>$A14 - SUMPRODUCT(($AG$3:$AG$31&lt;$A14)*(($AG$3:$AG$31/$A14)^R$2))</f>
        <v/>
      </c>
      <c r="S14" s="264">
        <f>$A14 - SUMPRODUCT(($AG$3:$AG$31&lt;$A14)*(($AG$3:$AG$31/$A14)^S$2))</f>
        <v/>
      </c>
      <c r="T14" s="264">
        <f>$A14 - SUMPRODUCT(($AG$3:$AG$31&lt;$A14)*(($AG$3:$AG$31/$A14)^T$2))</f>
        <v/>
      </c>
      <c r="U14" s="264">
        <f>$A14 - SUMPRODUCT(($AG$3:$AG$31&lt;$A14)*(($AG$3:$AG$31/$A14)^U$2))</f>
        <v/>
      </c>
      <c r="V14" s="264">
        <f>$A14 - SUMPRODUCT(($AG$3:$AG$31&lt;$A14)*(($AG$3:$AG$31/$A14)^V$2))</f>
        <v/>
      </c>
      <c r="W14" s="264">
        <f>$A14 - SUMPRODUCT(($AG$3:$AG$31&lt;$A14)*(($AG$3:$AG$31/$A14)^W$2))</f>
        <v/>
      </c>
      <c r="X14" s="264">
        <f>$A14 - SUMPRODUCT(($AG$3:$AG$31&lt;$A14)*(($AG$3:$AG$31/$A14)^X$2))</f>
        <v/>
      </c>
      <c r="Y14" s="264">
        <f>$A14 - SUMPRODUCT(($AG$3:$AG$31&lt;$A14)*(($AG$3:$AG$31/$A14)^Y$2))</f>
        <v/>
      </c>
      <c r="Z14" s="264">
        <f>$A14 - SUMPRODUCT(($AG$3:$AG$31&lt;$A14)*(($AG$3:$AG$31/$A14)^Z$2))</f>
        <v/>
      </c>
      <c r="AA14" s="264">
        <f>$A14 - SUMPRODUCT(($AG$3:$AG$31&lt;$A14)*(($AG$3:$AG$31/$A14)^AA$2))</f>
        <v/>
      </c>
      <c r="AB14" s="264">
        <f>$A14 - SUMPRODUCT(($AG$3:$AG$31&lt;$A14)*(($AG$3:$AG$31/$A14)^AB$2))</f>
        <v/>
      </c>
      <c r="AC14" s="264">
        <f>$A14 - SUMPRODUCT(($AG$3:$AG$31&lt;$A14)*(($AG$3:$AG$31/$A14)^AC$2))</f>
        <v/>
      </c>
      <c r="AD14" s="264">
        <f>$A14 - SUMPRODUCT(($AG$3:$AG$31&lt;$A14)*(($AG$3:$AG$31/$A14)^AD$2))</f>
        <v/>
      </c>
      <c r="AE14" s="253" t="n"/>
      <c r="AF14" s="253" t="n"/>
      <c r="AG14" s="253" t="n">
        <v>12</v>
      </c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$A15 - SUMPRODUCT(($AG$3:$AG$31&lt;$A15)*(($AG$3:$AG$31/$A15)^B$2))</f>
        <v/>
      </c>
      <c r="C15" s="263">
        <f>$A15 - SUMPRODUCT(($AG$3:$AG$31&lt;$A15)*(($AG$3:$AG$31/$A15)^C$2))</f>
        <v/>
      </c>
      <c r="D15" s="263">
        <f>$A15 - SUMPRODUCT(($AG$3:$AG$31&lt;$A15)*(($AG$3:$AG$31/$A15)^D$2))</f>
        <v/>
      </c>
      <c r="E15" s="263">
        <f>$A15 - SUMPRODUCT(($AG$3:$AG$31&lt;$A15)*(($AG$3:$AG$31/$A15)^E$2))</f>
        <v/>
      </c>
      <c r="F15" s="263">
        <f>$A15 - SUMPRODUCT(($AG$3:$AG$31&lt;$A15)*(($AG$3:$AG$31/$A15)^F$2))</f>
        <v/>
      </c>
      <c r="G15" s="263">
        <f>$A15 - SUMPRODUCT(($AG$3:$AG$31&lt;$A15)*(($AG$3:$AG$31/$A15)^G$2))</f>
        <v/>
      </c>
      <c r="H15" s="263">
        <f>$A15 - SUMPRODUCT(($AG$3:$AG$31&lt;$A15)*(($AG$3:$AG$31/$A15)^H$2))</f>
        <v/>
      </c>
      <c r="I15" s="263">
        <f>$A15 - SUMPRODUCT(($AG$3:$AG$31&lt;$A15)*(($AG$3:$AG$31/$A15)^I$2))</f>
        <v/>
      </c>
      <c r="J15" s="263">
        <f>$A15 - SUMPRODUCT(($AG$3:$AG$31&lt;$A15)*(($AG$3:$AG$31/$A15)^J$2))</f>
        <v/>
      </c>
      <c r="K15" s="263">
        <f>$A15 - SUMPRODUCT(($AG$3:$AG$31&lt;$A15)*(($AG$3:$AG$31/$A15)^K$2))</f>
        <v/>
      </c>
      <c r="L15" s="263">
        <f>$A15 - SUMPRODUCT(($AG$3:$AG$31&lt;$A15)*(($AG$3:$AG$31/$A15)^L$2))</f>
        <v/>
      </c>
      <c r="M15" s="263">
        <f>$A15 - SUMPRODUCT(($AG$3:$AG$31&lt;$A15)*(($AG$3:$AG$31/$A15)^M$2))</f>
        <v/>
      </c>
      <c r="N15" s="263">
        <f>$A15 - SUMPRODUCT(($AG$3:$AG$31&lt;$A15)*(($AG$3:$AG$31/$A15)^N$2))</f>
        <v/>
      </c>
      <c r="O15" s="263">
        <f>$A15 - SUMPRODUCT(($AG$3:$AG$31&lt;$A15)*(($AG$3:$AG$31/$A15)^O$2))</f>
        <v/>
      </c>
      <c r="P15" s="263">
        <f>$A15 - SUMPRODUCT(($AG$3:$AG$31&lt;$A15)*(($AG$3:$AG$31/$A15)^P$2))</f>
        <v/>
      </c>
      <c r="Q15" s="263">
        <f>$A15 - SUMPRODUCT(($AG$3:$AG$31&lt;$A15)*(($AG$3:$AG$31/$A15)^Q$2))</f>
        <v/>
      </c>
      <c r="R15" s="263">
        <f>$A15 - SUMPRODUCT(($AG$3:$AG$31&lt;$A15)*(($AG$3:$AG$31/$A15)^R$2))</f>
        <v/>
      </c>
      <c r="S15" s="264">
        <f>$A15 - SUMPRODUCT(($AG$3:$AG$31&lt;$A15)*(($AG$3:$AG$31/$A15)^S$2))</f>
        <v/>
      </c>
      <c r="T15" s="264">
        <f>$A15 - SUMPRODUCT(($AG$3:$AG$31&lt;$A15)*(($AG$3:$AG$31/$A15)^T$2))</f>
        <v/>
      </c>
      <c r="U15" s="264">
        <f>$A15 - SUMPRODUCT(($AG$3:$AG$31&lt;$A15)*(($AG$3:$AG$31/$A15)^U$2))</f>
        <v/>
      </c>
      <c r="V15" s="264">
        <f>$A15 - SUMPRODUCT(($AG$3:$AG$31&lt;$A15)*(($AG$3:$AG$31/$A15)^V$2))</f>
        <v/>
      </c>
      <c r="W15" s="264">
        <f>$A15 - SUMPRODUCT(($AG$3:$AG$31&lt;$A15)*(($AG$3:$AG$31/$A15)^W$2))</f>
        <v/>
      </c>
      <c r="X15" s="264">
        <f>$A15 - SUMPRODUCT(($AG$3:$AG$31&lt;$A15)*(($AG$3:$AG$31/$A15)^X$2))</f>
        <v/>
      </c>
      <c r="Y15" s="264">
        <f>$A15 - SUMPRODUCT(($AG$3:$AG$31&lt;$A15)*(($AG$3:$AG$31/$A15)^Y$2))</f>
        <v/>
      </c>
      <c r="Z15" s="264">
        <f>$A15 - SUMPRODUCT(($AG$3:$AG$31&lt;$A15)*(($AG$3:$AG$31/$A15)^Z$2))</f>
        <v/>
      </c>
      <c r="AA15" s="264">
        <f>$A15 - SUMPRODUCT(($AG$3:$AG$31&lt;$A15)*(($AG$3:$AG$31/$A15)^AA$2))</f>
        <v/>
      </c>
      <c r="AB15" s="264">
        <f>$A15 - SUMPRODUCT(($AG$3:$AG$31&lt;$A15)*(($AG$3:$AG$31/$A15)^AB$2))</f>
        <v/>
      </c>
      <c r="AC15" s="264">
        <f>$A15 - SUMPRODUCT(($AG$3:$AG$31&lt;$A15)*(($AG$3:$AG$31/$A15)^AC$2))</f>
        <v/>
      </c>
      <c r="AD15" s="264">
        <f>$A15 - SUMPRODUCT(($AG$3:$AG$31&lt;$A15)*(($AG$3:$AG$31/$A15)^AD$2))</f>
        <v/>
      </c>
      <c r="AE15" s="253" t="n"/>
      <c r="AF15" s="253" t="n"/>
      <c r="AG15" s="253" t="n">
        <v>13</v>
      </c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$A16 - SUMPRODUCT(($AG$3:$AG$31&lt;$A16)*(($AG$3:$AG$31/$A16)^B$2))</f>
        <v/>
      </c>
      <c r="C16" s="263">
        <f>$A16 - SUMPRODUCT(($AG$3:$AG$31&lt;$A16)*(($AG$3:$AG$31/$A16)^C$2))</f>
        <v/>
      </c>
      <c r="D16" s="263">
        <f>$A16 - SUMPRODUCT(($AG$3:$AG$31&lt;$A16)*(($AG$3:$AG$31/$A16)^D$2))</f>
        <v/>
      </c>
      <c r="E16" s="263">
        <f>$A16 - SUMPRODUCT(($AG$3:$AG$31&lt;$A16)*(($AG$3:$AG$31/$A16)^E$2))</f>
        <v/>
      </c>
      <c r="F16" s="263">
        <f>$A16 - SUMPRODUCT(($AG$3:$AG$31&lt;$A16)*(($AG$3:$AG$31/$A16)^F$2))</f>
        <v/>
      </c>
      <c r="G16" s="263">
        <f>$A16 - SUMPRODUCT(($AG$3:$AG$31&lt;$A16)*(($AG$3:$AG$31/$A16)^G$2))</f>
        <v/>
      </c>
      <c r="H16" s="263">
        <f>$A16 - SUMPRODUCT(($AG$3:$AG$31&lt;$A16)*(($AG$3:$AG$31/$A16)^H$2))</f>
        <v/>
      </c>
      <c r="I16" s="263">
        <f>$A16 - SUMPRODUCT(($AG$3:$AG$31&lt;$A16)*(($AG$3:$AG$31/$A16)^I$2))</f>
        <v/>
      </c>
      <c r="J16" s="263">
        <f>$A16 - SUMPRODUCT(($AG$3:$AG$31&lt;$A16)*(($AG$3:$AG$31/$A16)^J$2))</f>
        <v/>
      </c>
      <c r="K16" s="263">
        <f>$A16 - SUMPRODUCT(($AG$3:$AG$31&lt;$A16)*(($AG$3:$AG$31/$A16)^K$2))</f>
        <v/>
      </c>
      <c r="L16" s="263">
        <f>$A16 - SUMPRODUCT(($AG$3:$AG$31&lt;$A16)*(($AG$3:$AG$31/$A16)^L$2))</f>
        <v/>
      </c>
      <c r="M16" s="263">
        <f>$A16 - SUMPRODUCT(($AG$3:$AG$31&lt;$A16)*(($AG$3:$AG$31/$A16)^M$2))</f>
        <v/>
      </c>
      <c r="N16" s="263">
        <f>$A16 - SUMPRODUCT(($AG$3:$AG$31&lt;$A16)*(($AG$3:$AG$31/$A16)^N$2))</f>
        <v/>
      </c>
      <c r="O16" s="263">
        <f>$A16 - SUMPRODUCT(($AG$3:$AG$31&lt;$A16)*(($AG$3:$AG$31/$A16)^O$2))</f>
        <v/>
      </c>
      <c r="P16" s="263">
        <f>$A16 - SUMPRODUCT(($AG$3:$AG$31&lt;$A16)*(($AG$3:$AG$31/$A16)^P$2))</f>
        <v/>
      </c>
      <c r="Q16" s="263">
        <f>$A16 - SUMPRODUCT(($AG$3:$AG$31&lt;$A16)*(($AG$3:$AG$31/$A16)^Q$2))</f>
        <v/>
      </c>
      <c r="R16" s="263">
        <f>$A16 - SUMPRODUCT(($AG$3:$AG$31&lt;$A16)*(($AG$3:$AG$31/$A16)^R$2))</f>
        <v/>
      </c>
      <c r="S16" s="264">
        <f>$A16 - SUMPRODUCT(($AG$3:$AG$31&lt;$A16)*(($AG$3:$AG$31/$A16)^S$2))</f>
        <v/>
      </c>
      <c r="T16" s="264">
        <f>$A16 - SUMPRODUCT(($AG$3:$AG$31&lt;$A16)*(($AG$3:$AG$31/$A16)^T$2))</f>
        <v/>
      </c>
      <c r="U16" s="264">
        <f>$A16 - SUMPRODUCT(($AG$3:$AG$31&lt;$A16)*(($AG$3:$AG$31/$A16)^U$2))</f>
        <v/>
      </c>
      <c r="V16" s="264">
        <f>$A16 - SUMPRODUCT(($AG$3:$AG$31&lt;$A16)*(($AG$3:$AG$31/$A16)^V$2))</f>
        <v/>
      </c>
      <c r="W16" s="264">
        <f>$A16 - SUMPRODUCT(($AG$3:$AG$31&lt;$A16)*(($AG$3:$AG$31/$A16)^W$2))</f>
        <v/>
      </c>
      <c r="X16" s="264">
        <f>$A16 - SUMPRODUCT(($AG$3:$AG$31&lt;$A16)*(($AG$3:$AG$31/$A16)^X$2))</f>
        <v/>
      </c>
      <c r="Y16" s="264">
        <f>$A16 - SUMPRODUCT(($AG$3:$AG$31&lt;$A16)*(($AG$3:$AG$31/$A16)^Y$2))</f>
        <v/>
      </c>
      <c r="Z16" s="264">
        <f>$A16 - SUMPRODUCT(($AG$3:$AG$31&lt;$A16)*(($AG$3:$AG$31/$A16)^Z$2))</f>
        <v/>
      </c>
      <c r="AA16" s="264">
        <f>$A16 - SUMPRODUCT(($AG$3:$AG$31&lt;$A16)*(($AG$3:$AG$31/$A16)^AA$2))</f>
        <v/>
      </c>
      <c r="AB16" s="264">
        <f>$A16 - SUMPRODUCT(($AG$3:$AG$31&lt;$A16)*(($AG$3:$AG$31/$A16)^AB$2))</f>
        <v/>
      </c>
      <c r="AC16" s="264">
        <f>$A16 - SUMPRODUCT(($AG$3:$AG$31&lt;$A16)*(($AG$3:$AG$31/$A16)^AC$2))</f>
        <v/>
      </c>
      <c r="AD16" s="264">
        <f>$A16 - SUMPRODUCT(($AG$3:$AG$31&lt;$A16)*(($AG$3:$AG$31/$A16)^AD$2))</f>
        <v/>
      </c>
      <c r="AE16" s="253" t="n"/>
      <c r="AF16" s="253" t="n"/>
      <c r="AG16" s="253" t="n">
        <v>14</v>
      </c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$A17 - SUMPRODUCT(($AG$3:$AG$31&lt;$A17)*(($AG$3:$AG$31/$A17)^B$2))</f>
        <v/>
      </c>
      <c r="C17" s="263">
        <f>$A17 - SUMPRODUCT(($AG$3:$AG$31&lt;$A17)*(($AG$3:$AG$31/$A17)^C$2))</f>
        <v/>
      </c>
      <c r="D17" s="263">
        <f>$A17 - SUMPRODUCT(($AG$3:$AG$31&lt;$A17)*(($AG$3:$AG$31/$A17)^D$2))</f>
        <v/>
      </c>
      <c r="E17" s="263">
        <f>$A17 - SUMPRODUCT(($AG$3:$AG$31&lt;$A17)*(($AG$3:$AG$31/$A17)^E$2))</f>
        <v/>
      </c>
      <c r="F17" s="263">
        <f>$A17 - SUMPRODUCT(($AG$3:$AG$31&lt;$A17)*(($AG$3:$AG$31/$A17)^F$2))</f>
        <v/>
      </c>
      <c r="G17" s="263">
        <f>$A17 - SUMPRODUCT(($AG$3:$AG$31&lt;$A17)*(($AG$3:$AG$31/$A17)^G$2))</f>
        <v/>
      </c>
      <c r="H17" s="263">
        <f>$A17 - SUMPRODUCT(($AG$3:$AG$31&lt;$A17)*(($AG$3:$AG$31/$A17)^H$2))</f>
        <v/>
      </c>
      <c r="I17" s="263">
        <f>$A17 - SUMPRODUCT(($AG$3:$AG$31&lt;$A17)*(($AG$3:$AG$31/$A17)^I$2))</f>
        <v/>
      </c>
      <c r="J17" s="263">
        <f>$A17 - SUMPRODUCT(($AG$3:$AG$31&lt;$A17)*(($AG$3:$AG$31/$A17)^J$2))</f>
        <v/>
      </c>
      <c r="K17" s="263">
        <f>$A17 - SUMPRODUCT(($AG$3:$AG$31&lt;$A17)*(($AG$3:$AG$31/$A17)^K$2))</f>
        <v/>
      </c>
      <c r="L17" s="263">
        <f>$A17 - SUMPRODUCT(($AG$3:$AG$31&lt;$A17)*(($AG$3:$AG$31/$A17)^L$2))</f>
        <v/>
      </c>
      <c r="M17" s="263">
        <f>$A17 - SUMPRODUCT(($AG$3:$AG$31&lt;$A17)*(($AG$3:$AG$31/$A17)^M$2))</f>
        <v/>
      </c>
      <c r="N17" s="263">
        <f>$A17 - SUMPRODUCT(($AG$3:$AG$31&lt;$A17)*(($AG$3:$AG$31/$A17)^N$2))</f>
        <v/>
      </c>
      <c r="O17" s="263">
        <f>$A17 - SUMPRODUCT(($AG$3:$AG$31&lt;$A17)*(($AG$3:$AG$31/$A17)^O$2))</f>
        <v/>
      </c>
      <c r="P17" s="263">
        <f>$A17 - SUMPRODUCT(($AG$3:$AG$31&lt;$A17)*(($AG$3:$AG$31/$A17)^P$2))</f>
        <v/>
      </c>
      <c r="Q17" s="263">
        <f>$A17 - SUMPRODUCT(($AG$3:$AG$31&lt;$A17)*(($AG$3:$AG$31/$A17)^Q$2))</f>
        <v/>
      </c>
      <c r="R17" s="263">
        <f>$A17 - SUMPRODUCT(($AG$3:$AG$31&lt;$A17)*(($AG$3:$AG$31/$A17)^R$2))</f>
        <v/>
      </c>
      <c r="S17" s="264">
        <f>$A17 - SUMPRODUCT(($AG$3:$AG$31&lt;$A17)*(($AG$3:$AG$31/$A17)^S$2))</f>
        <v/>
      </c>
      <c r="T17" s="264">
        <f>$A17 - SUMPRODUCT(($AG$3:$AG$31&lt;$A17)*(($AG$3:$AG$31/$A17)^T$2))</f>
        <v/>
      </c>
      <c r="U17" s="264">
        <f>$A17 - SUMPRODUCT(($AG$3:$AG$31&lt;$A17)*(($AG$3:$AG$31/$A17)^U$2))</f>
        <v/>
      </c>
      <c r="V17" s="264">
        <f>$A17 - SUMPRODUCT(($AG$3:$AG$31&lt;$A17)*(($AG$3:$AG$31/$A17)^V$2))</f>
        <v/>
      </c>
      <c r="W17" s="264">
        <f>$A17 - SUMPRODUCT(($AG$3:$AG$31&lt;$A17)*(($AG$3:$AG$31/$A17)^W$2))</f>
        <v/>
      </c>
      <c r="X17" s="264">
        <f>$A17 - SUMPRODUCT(($AG$3:$AG$31&lt;$A17)*(($AG$3:$AG$31/$A17)^X$2))</f>
        <v/>
      </c>
      <c r="Y17" s="264">
        <f>$A17 - SUMPRODUCT(($AG$3:$AG$31&lt;$A17)*(($AG$3:$AG$31/$A17)^Y$2))</f>
        <v/>
      </c>
      <c r="Z17" s="264">
        <f>$A17 - SUMPRODUCT(($AG$3:$AG$31&lt;$A17)*(($AG$3:$AG$31/$A17)^Z$2))</f>
        <v/>
      </c>
      <c r="AA17" s="264">
        <f>$A17 - SUMPRODUCT(($AG$3:$AG$31&lt;$A17)*(($AG$3:$AG$31/$A17)^AA$2))</f>
        <v/>
      </c>
      <c r="AB17" s="264">
        <f>$A17 - SUMPRODUCT(($AG$3:$AG$31&lt;$A17)*(($AG$3:$AG$31/$A17)^AB$2))</f>
        <v/>
      </c>
      <c r="AC17" s="264">
        <f>$A17 - SUMPRODUCT(($AG$3:$AG$31&lt;$A17)*(($AG$3:$AG$31/$A17)^AC$2))</f>
        <v/>
      </c>
      <c r="AD17" s="264">
        <f>$A17 - SUMPRODUCT(($AG$3:$AG$31&lt;$A17)*(($AG$3:$AG$31/$A17)^AD$2))</f>
        <v/>
      </c>
      <c r="AE17" s="253" t="n"/>
      <c r="AF17" s="253" t="n"/>
      <c r="AG17" s="253" t="n">
        <v>15</v>
      </c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$A18 - SUMPRODUCT(($AG$3:$AG$31&lt;$A18)*(($AG$3:$AG$31/$A18)^B$2))</f>
        <v/>
      </c>
      <c r="C18" s="263">
        <f>$A18 - SUMPRODUCT(($AG$3:$AG$31&lt;$A18)*(($AG$3:$AG$31/$A18)^C$2))</f>
        <v/>
      </c>
      <c r="D18" s="263">
        <f>$A18 - SUMPRODUCT(($AG$3:$AG$31&lt;$A18)*(($AG$3:$AG$31/$A18)^D$2))</f>
        <v/>
      </c>
      <c r="E18" s="263">
        <f>$A18 - SUMPRODUCT(($AG$3:$AG$31&lt;$A18)*(($AG$3:$AG$31/$A18)^E$2))</f>
        <v/>
      </c>
      <c r="F18" s="263">
        <f>$A18 - SUMPRODUCT(($AG$3:$AG$31&lt;$A18)*(($AG$3:$AG$31/$A18)^F$2))</f>
        <v/>
      </c>
      <c r="G18" s="263">
        <f>$A18 - SUMPRODUCT(($AG$3:$AG$31&lt;$A18)*(($AG$3:$AG$31/$A18)^G$2))</f>
        <v/>
      </c>
      <c r="H18" s="263">
        <f>$A18 - SUMPRODUCT(($AG$3:$AG$31&lt;$A18)*(($AG$3:$AG$31/$A18)^H$2))</f>
        <v/>
      </c>
      <c r="I18" s="263">
        <f>$A18 - SUMPRODUCT(($AG$3:$AG$31&lt;$A18)*(($AG$3:$AG$31/$A18)^I$2))</f>
        <v/>
      </c>
      <c r="J18" s="263">
        <f>$A18 - SUMPRODUCT(($AG$3:$AG$31&lt;$A18)*(($AG$3:$AG$31/$A18)^J$2))</f>
        <v/>
      </c>
      <c r="K18" s="263">
        <f>$A18 - SUMPRODUCT(($AG$3:$AG$31&lt;$A18)*(($AG$3:$AG$31/$A18)^K$2))</f>
        <v/>
      </c>
      <c r="L18" s="263">
        <f>$A18 - SUMPRODUCT(($AG$3:$AG$31&lt;$A18)*(($AG$3:$AG$31/$A18)^L$2))</f>
        <v/>
      </c>
      <c r="M18" s="263">
        <f>$A18 - SUMPRODUCT(($AG$3:$AG$31&lt;$A18)*(($AG$3:$AG$31/$A18)^M$2))</f>
        <v/>
      </c>
      <c r="N18" s="263">
        <f>$A18 - SUMPRODUCT(($AG$3:$AG$31&lt;$A18)*(($AG$3:$AG$31/$A18)^N$2))</f>
        <v/>
      </c>
      <c r="O18" s="263">
        <f>$A18 - SUMPRODUCT(($AG$3:$AG$31&lt;$A18)*(($AG$3:$AG$31/$A18)^O$2))</f>
        <v/>
      </c>
      <c r="P18" s="263">
        <f>$A18 - SUMPRODUCT(($AG$3:$AG$31&lt;$A18)*(($AG$3:$AG$31/$A18)^P$2))</f>
        <v/>
      </c>
      <c r="Q18" s="263">
        <f>$A18 - SUMPRODUCT(($AG$3:$AG$31&lt;$A18)*(($AG$3:$AG$31/$A18)^Q$2))</f>
        <v/>
      </c>
      <c r="R18" s="263">
        <f>$A18 - SUMPRODUCT(($AG$3:$AG$31&lt;$A18)*(($AG$3:$AG$31/$A18)^R$2))</f>
        <v/>
      </c>
      <c r="S18" s="264">
        <f>$A18 - SUMPRODUCT(($AG$3:$AG$31&lt;$A18)*(($AG$3:$AG$31/$A18)^S$2))</f>
        <v/>
      </c>
      <c r="T18" s="264">
        <f>$A18 - SUMPRODUCT(($AG$3:$AG$31&lt;$A18)*(($AG$3:$AG$31/$A18)^T$2))</f>
        <v/>
      </c>
      <c r="U18" s="264">
        <f>$A18 - SUMPRODUCT(($AG$3:$AG$31&lt;$A18)*(($AG$3:$AG$31/$A18)^U$2))</f>
        <v/>
      </c>
      <c r="V18" s="264">
        <f>$A18 - SUMPRODUCT(($AG$3:$AG$31&lt;$A18)*(($AG$3:$AG$31/$A18)^V$2))</f>
        <v/>
      </c>
      <c r="W18" s="264">
        <f>$A18 - SUMPRODUCT(($AG$3:$AG$31&lt;$A18)*(($AG$3:$AG$31/$A18)^W$2))</f>
        <v/>
      </c>
      <c r="X18" s="264">
        <f>$A18 - SUMPRODUCT(($AG$3:$AG$31&lt;$A18)*(($AG$3:$AG$31/$A18)^X$2))</f>
        <v/>
      </c>
      <c r="Y18" s="264">
        <f>$A18 - SUMPRODUCT(($AG$3:$AG$31&lt;$A18)*(($AG$3:$AG$31/$A18)^Y$2))</f>
        <v/>
      </c>
      <c r="Z18" s="264">
        <f>$A18 - SUMPRODUCT(($AG$3:$AG$31&lt;$A18)*(($AG$3:$AG$31/$A18)^Z$2))</f>
        <v/>
      </c>
      <c r="AA18" s="264">
        <f>$A18 - SUMPRODUCT(($AG$3:$AG$31&lt;$A18)*(($AG$3:$AG$31/$A18)^AA$2))</f>
        <v/>
      </c>
      <c r="AB18" s="264">
        <f>$A18 - SUMPRODUCT(($AG$3:$AG$31&lt;$A18)*(($AG$3:$AG$31/$A18)^AB$2))</f>
        <v/>
      </c>
      <c r="AC18" s="264">
        <f>$A18 - SUMPRODUCT(($AG$3:$AG$31&lt;$A18)*(($AG$3:$AG$31/$A18)^AC$2))</f>
        <v/>
      </c>
      <c r="AD18" s="264">
        <f>$A18 - SUMPRODUCT(($AG$3:$AG$31&lt;$A18)*(($AG$3:$AG$31/$A18)^AD$2))</f>
        <v/>
      </c>
      <c r="AE18" s="253" t="n"/>
      <c r="AF18" s="253" t="n"/>
      <c r="AG18" s="253" t="n">
        <v>16</v>
      </c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$A19 - SUMPRODUCT(($AG$3:$AG$31&lt;$A19)*(($AG$3:$AG$31/$A19)^B$2))</f>
        <v/>
      </c>
      <c r="C19" s="263">
        <f>$A19 - SUMPRODUCT(($AG$3:$AG$31&lt;$A19)*(($AG$3:$AG$31/$A19)^C$2))</f>
        <v/>
      </c>
      <c r="D19" s="263">
        <f>$A19 - SUMPRODUCT(($AG$3:$AG$31&lt;$A19)*(($AG$3:$AG$31/$A19)^D$2))</f>
        <v/>
      </c>
      <c r="E19" s="263">
        <f>$A19 - SUMPRODUCT(($AG$3:$AG$31&lt;$A19)*(($AG$3:$AG$31/$A19)^E$2))</f>
        <v/>
      </c>
      <c r="F19" s="263">
        <f>$A19 - SUMPRODUCT(($AG$3:$AG$31&lt;$A19)*(($AG$3:$AG$31/$A19)^F$2))</f>
        <v/>
      </c>
      <c r="G19" s="263">
        <f>$A19 - SUMPRODUCT(($AG$3:$AG$31&lt;$A19)*(($AG$3:$AG$31/$A19)^G$2))</f>
        <v/>
      </c>
      <c r="H19" s="263">
        <f>$A19 - SUMPRODUCT(($AG$3:$AG$31&lt;$A19)*(($AG$3:$AG$31/$A19)^H$2))</f>
        <v/>
      </c>
      <c r="I19" s="263">
        <f>$A19 - SUMPRODUCT(($AG$3:$AG$31&lt;$A19)*(($AG$3:$AG$31/$A19)^I$2))</f>
        <v/>
      </c>
      <c r="J19" s="263">
        <f>$A19 - SUMPRODUCT(($AG$3:$AG$31&lt;$A19)*(($AG$3:$AG$31/$A19)^J$2))</f>
        <v/>
      </c>
      <c r="K19" s="263">
        <f>$A19 - SUMPRODUCT(($AG$3:$AG$31&lt;$A19)*(($AG$3:$AG$31/$A19)^K$2))</f>
        <v/>
      </c>
      <c r="L19" s="263">
        <f>$A19 - SUMPRODUCT(($AG$3:$AG$31&lt;$A19)*(($AG$3:$AG$31/$A19)^L$2))</f>
        <v/>
      </c>
      <c r="M19" s="263">
        <f>$A19 - SUMPRODUCT(($AG$3:$AG$31&lt;$A19)*(($AG$3:$AG$31/$A19)^M$2))</f>
        <v/>
      </c>
      <c r="N19" s="263">
        <f>$A19 - SUMPRODUCT(($AG$3:$AG$31&lt;$A19)*(($AG$3:$AG$31/$A19)^N$2))</f>
        <v/>
      </c>
      <c r="O19" s="263">
        <f>$A19 - SUMPRODUCT(($AG$3:$AG$31&lt;$A19)*(($AG$3:$AG$31/$A19)^O$2))</f>
        <v/>
      </c>
      <c r="P19" s="263">
        <f>$A19 - SUMPRODUCT(($AG$3:$AG$31&lt;$A19)*(($AG$3:$AG$31/$A19)^P$2))</f>
        <v/>
      </c>
      <c r="Q19" s="263">
        <f>$A19 - SUMPRODUCT(($AG$3:$AG$31&lt;$A19)*(($AG$3:$AG$31/$A19)^Q$2))</f>
        <v/>
      </c>
      <c r="R19" s="263">
        <f>$A19 - SUMPRODUCT(($AG$3:$AG$31&lt;$A19)*(($AG$3:$AG$31/$A19)^R$2))</f>
        <v/>
      </c>
      <c r="S19" s="264">
        <f>$A19 - SUMPRODUCT(($AG$3:$AG$31&lt;$A19)*(($AG$3:$AG$31/$A19)^S$2))</f>
        <v/>
      </c>
      <c r="T19" s="264">
        <f>$A19 - SUMPRODUCT(($AG$3:$AG$31&lt;$A19)*(($AG$3:$AG$31/$A19)^T$2))</f>
        <v/>
      </c>
      <c r="U19" s="264">
        <f>$A19 - SUMPRODUCT(($AG$3:$AG$31&lt;$A19)*(($AG$3:$AG$31/$A19)^U$2))</f>
        <v/>
      </c>
      <c r="V19" s="264">
        <f>$A19 - SUMPRODUCT(($AG$3:$AG$31&lt;$A19)*(($AG$3:$AG$31/$A19)^V$2))</f>
        <v/>
      </c>
      <c r="W19" s="264">
        <f>$A19 - SUMPRODUCT(($AG$3:$AG$31&lt;$A19)*(($AG$3:$AG$31/$A19)^W$2))</f>
        <v/>
      </c>
      <c r="X19" s="264">
        <f>$A19 - SUMPRODUCT(($AG$3:$AG$31&lt;$A19)*(($AG$3:$AG$31/$A19)^X$2))</f>
        <v/>
      </c>
      <c r="Y19" s="264">
        <f>$A19 - SUMPRODUCT(($AG$3:$AG$31&lt;$A19)*(($AG$3:$AG$31/$A19)^Y$2))</f>
        <v/>
      </c>
      <c r="Z19" s="264">
        <f>$A19 - SUMPRODUCT(($AG$3:$AG$31&lt;$A19)*(($AG$3:$AG$31/$A19)^Z$2))</f>
        <v/>
      </c>
      <c r="AA19" s="264">
        <f>$A19 - SUMPRODUCT(($AG$3:$AG$31&lt;$A19)*(($AG$3:$AG$31/$A19)^AA$2))</f>
        <v/>
      </c>
      <c r="AB19" s="264">
        <f>$A19 - SUMPRODUCT(($AG$3:$AG$31&lt;$A19)*(($AG$3:$AG$31/$A19)^AB$2))</f>
        <v/>
      </c>
      <c r="AC19" s="264">
        <f>$A19 - SUMPRODUCT(($AG$3:$AG$31&lt;$A19)*(($AG$3:$AG$31/$A19)^AC$2))</f>
        <v/>
      </c>
      <c r="AD19" s="264">
        <f>$A19 - SUMPRODUCT(($AG$3:$AG$31&lt;$A19)*(($AG$3:$AG$31/$A19)^AD$2))</f>
        <v/>
      </c>
      <c r="AE19" s="253" t="n"/>
      <c r="AF19" s="253" t="n"/>
      <c r="AG19" s="253" t="n">
        <v>17</v>
      </c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$A20 - SUMPRODUCT(($AG$3:$AG$31&lt;$A20)*(($AG$3:$AG$31/$A20)^B$2))</f>
        <v/>
      </c>
      <c r="C20" s="263">
        <f>$A20 - SUMPRODUCT(($AG$3:$AG$31&lt;$A20)*(($AG$3:$AG$31/$A20)^C$2))</f>
        <v/>
      </c>
      <c r="D20" s="263">
        <f>$A20 - SUMPRODUCT(($AG$3:$AG$31&lt;$A20)*(($AG$3:$AG$31/$A20)^D$2))</f>
        <v/>
      </c>
      <c r="E20" s="263">
        <f>$A20 - SUMPRODUCT(($AG$3:$AG$31&lt;$A20)*(($AG$3:$AG$31/$A20)^E$2))</f>
        <v/>
      </c>
      <c r="F20" s="263">
        <f>$A20 - SUMPRODUCT(($AG$3:$AG$31&lt;$A20)*(($AG$3:$AG$31/$A20)^F$2))</f>
        <v/>
      </c>
      <c r="G20" s="263">
        <f>$A20 - SUMPRODUCT(($AG$3:$AG$31&lt;$A20)*(($AG$3:$AG$31/$A20)^G$2))</f>
        <v/>
      </c>
      <c r="H20" s="263">
        <f>$A20 - SUMPRODUCT(($AG$3:$AG$31&lt;$A20)*(($AG$3:$AG$31/$A20)^H$2))</f>
        <v/>
      </c>
      <c r="I20" s="263">
        <f>$A20 - SUMPRODUCT(($AG$3:$AG$31&lt;$A20)*(($AG$3:$AG$31/$A20)^I$2))</f>
        <v/>
      </c>
      <c r="J20" s="263">
        <f>$A20 - SUMPRODUCT(($AG$3:$AG$31&lt;$A20)*(($AG$3:$AG$31/$A20)^J$2))</f>
        <v/>
      </c>
      <c r="K20" s="263">
        <f>$A20 - SUMPRODUCT(($AG$3:$AG$31&lt;$A20)*(($AG$3:$AG$31/$A20)^K$2))</f>
        <v/>
      </c>
      <c r="L20" s="263">
        <f>$A20 - SUMPRODUCT(($AG$3:$AG$31&lt;$A20)*(($AG$3:$AG$31/$A20)^L$2))</f>
        <v/>
      </c>
      <c r="M20" s="263">
        <f>$A20 - SUMPRODUCT(($AG$3:$AG$31&lt;$A20)*(($AG$3:$AG$31/$A20)^M$2))</f>
        <v/>
      </c>
      <c r="N20" s="263">
        <f>$A20 - SUMPRODUCT(($AG$3:$AG$31&lt;$A20)*(($AG$3:$AG$31/$A20)^N$2))</f>
        <v/>
      </c>
      <c r="O20" s="263">
        <f>$A20 - SUMPRODUCT(($AG$3:$AG$31&lt;$A20)*(($AG$3:$AG$31/$A20)^O$2))</f>
        <v/>
      </c>
      <c r="P20" s="263">
        <f>$A20 - SUMPRODUCT(($AG$3:$AG$31&lt;$A20)*(($AG$3:$AG$31/$A20)^P$2))</f>
        <v/>
      </c>
      <c r="Q20" s="263">
        <f>$A20 - SUMPRODUCT(($AG$3:$AG$31&lt;$A20)*(($AG$3:$AG$31/$A20)^Q$2))</f>
        <v/>
      </c>
      <c r="R20" s="263">
        <f>$A20 - SUMPRODUCT(($AG$3:$AG$31&lt;$A20)*(($AG$3:$AG$31/$A20)^R$2))</f>
        <v/>
      </c>
      <c r="S20" s="264">
        <f>$A20 - SUMPRODUCT(($AG$3:$AG$31&lt;$A20)*(($AG$3:$AG$31/$A20)^S$2))</f>
        <v/>
      </c>
      <c r="T20" s="264">
        <f>$A20 - SUMPRODUCT(($AG$3:$AG$31&lt;$A20)*(($AG$3:$AG$31/$A20)^T$2))</f>
        <v/>
      </c>
      <c r="U20" s="264">
        <f>$A20 - SUMPRODUCT(($AG$3:$AG$31&lt;$A20)*(($AG$3:$AG$31/$A20)^U$2))</f>
        <v/>
      </c>
      <c r="V20" s="264">
        <f>$A20 - SUMPRODUCT(($AG$3:$AG$31&lt;$A20)*(($AG$3:$AG$31/$A20)^V$2))</f>
        <v/>
      </c>
      <c r="W20" s="264">
        <f>$A20 - SUMPRODUCT(($AG$3:$AG$31&lt;$A20)*(($AG$3:$AG$31/$A20)^W$2))</f>
        <v/>
      </c>
      <c r="X20" s="264">
        <f>$A20 - SUMPRODUCT(($AG$3:$AG$31&lt;$A20)*(($AG$3:$AG$31/$A20)^X$2))</f>
        <v/>
      </c>
      <c r="Y20" s="264">
        <f>$A20 - SUMPRODUCT(($AG$3:$AG$31&lt;$A20)*(($AG$3:$AG$31/$A20)^Y$2))</f>
        <v/>
      </c>
      <c r="Z20" s="264">
        <f>$A20 - SUMPRODUCT(($AG$3:$AG$31&lt;$A20)*(($AG$3:$AG$31/$A20)^Z$2))</f>
        <v/>
      </c>
      <c r="AA20" s="264">
        <f>$A20 - SUMPRODUCT(($AG$3:$AG$31&lt;$A20)*(($AG$3:$AG$31/$A20)^AA$2))</f>
        <v/>
      </c>
      <c r="AB20" s="264">
        <f>$A20 - SUMPRODUCT(($AG$3:$AG$31&lt;$A20)*(($AG$3:$AG$31/$A20)^AB$2))</f>
        <v/>
      </c>
      <c r="AC20" s="264">
        <f>$A20 - SUMPRODUCT(($AG$3:$AG$31&lt;$A20)*(($AG$3:$AG$31/$A20)^AC$2))</f>
        <v/>
      </c>
      <c r="AD20" s="264">
        <f>$A20 - SUMPRODUCT(($AG$3:$AG$31&lt;$A20)*(($AG$3:$AG$31/$A20)^AD$2))</f>
        <v/>
      </c>
      <c r="AE20" s="253" t="n"/>
      <c r="AF20" s="253" t="n"/>
      <c r="AG20" s="253" t="n">
        <v>18</v>
      </c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$A21 - SUMPRODUCT(($AG$3:$AG$31&lt;$A21)*(($AG$3:$AG$31/$A21)^B$2))</f>
        <v/>
      </c>
      <c r="C21" s="263">
        <f>$A21 - SUMPRODUCT(($AG$3:$AG$31&lt;$A21)*(($AG$3:$AG$31/$A21)^C$2))</f>
        <v/>
      </c>
      <c r="D21" s="263">
        <f>$A21 - SUMPRODUCT(($AG$3:$AG$31&lt;$A21)*(($AG$3:$AG$31/$A21)^D$2))</f>
        <v/>
      </c>
      <c r="E21" s="263">
        <f>$A21 - SUMPRODUCT(($AG$3:$AG$31&lt;$A21)*(($AG$3:$AG$31/$A21)^E$2))</f>
        <v/>
      </c>
      <c r="F21" s="263">
        <f>$A21 - SUMPRODUCT(($AG$3:$AG$31&lt;$A21)*(($AG$3:$AG$31/$A21)^F$2))</f>
        <v/>
      </c>
      <c r="G21" s="263">
        <f>$A21 - SUMPRODUCT(($AG$3:$AG$31&lt;$A21)*(($AG$3:$AG$31/$A21)^G$2))</f>
        <v/>
      </c>
      <c r="H21" s="263">
        <f>$A21 - SUMPRODUCT(($AG$3:$AG$31&lt;$A21)*(($AG$3:$AG$31/$A21)^H$2))</f>
        <v/>
      </c>
      <c r="I21" s="263">
        <f>$A21 - SUMPRODUCT(($AG$3:$AG$31&lt;$A21)*(($AG$3:$AG$31/$A21)^I$2))</f>
        <v/>
      </c>
      <c r="J21" s="263">
        <f>$A21 - SUMPRODUCT(($AG$3:$AG$31&lt;$A21)*(($AG$3:$AG$31/$A21)^J$2))</f>
        <v/>
      </c>
      <c r="K21" s="263">
        <f>$A21 - SUMPRODUCT(($AG$3:$AG$31&lt;$A21)*(($AG$3:$AG$31/$A21)^K$2))</f>
        <v/>
      </c>
      <c r="L21" s="263">
        <f>$A21 - SUMPRODUCT(($AG$3:$AG$31&lt;$A21)*(($AG$3:$AG$31/$A21)^L$2))</f>
        <v/>
      </c>
      <c r="M21" s="263">
        <f>$A21 - SUMPRODUCT(($AG$3:$AG$31&lt;$A21)*(($AG$3:$AG$31/$A21)^M$2))</f>
        <v/>
      </c>
      <c r="N21" s="263">
        <f>$A21 - SUMPRODUCT(($AG$3:$AG$31&lt;$A21)*(($AG$3:$AG$31/$A21)^N$2))</f>
        <v/>
      </c>
      <c r="O21" s="263">
        <f>$A21 - SUMPRODUCT(($AG$3:$AG$31&lt;$A21)*(($AG$3:$AG$31/$A21)^O$2))</f>
        <v/>
      </c>
      <c r="P21" s="263">
        <f>$A21 - SUMPRODUCT(($AG$3:$AG$31&lt;$A21)*(($AG$3:$AG$31/$A21)^P$2))</f>
        <v/>
      </c>
      <c r="Q21" s="263">
        <f>$A21 - SUMPRODUCT(($AG$3:$AG$31&lt;$A21)*(($AG$3:$AG$31/$A21)^Q$2))</f>
        <v/>
      </c>
      <c r="R21" s="263">
        <f>$A21 - SUMPRODUCT(($AG$3:$AG$31&lt;$A21)*(($AG$3:$AG$31/$A21)^R$2))</f>
        <v/>
      </c>
      <c r="S21" s="264">
        <f>$A21 - SUMPRODUCT(($AG$3:$AG$31&lt;$A21)*(($AG$3:$AG$31/$A21)^S$2))</f>
        <v/>
      </c>
      <c r="T21" s="264">
        <f>$A21 - SUMPRODUCT(($AG$3:$AG$31&lt;$A21)*(($AG$3:$AG$31/$A21)^T$2))</f>
        <v/>
      </c>
      <c r="U21" s="264">
        <f>$A21 - SUMPRODUCT(($AG$3:$AG$31&lt;$A21)*(($AG$3:$AG$31/$A21)^U$2))</f>
        <v/>
      </c>
      <c r="V21" s="264">
        <f>$A21 - SUMPRODUCT(($AG$3:$AG$31&lt;$A21)*(($AG$3:$AG$31/$A21)^V$2))</f>
        <v/>
      </c>
      <c r="W21" s="264">
        <f>$A21 - SUMPRODUCT(($AG$3:$AG$31&lt;$A21)*(($AG$3:$AG$31/$A21)^W$2))</f>
        <v/>
      </c>
      <c r="X21" s="264">
        <f>$A21 - SUMPRODUCT(($AG$3:$AG$31&lt;$A21)*(($AG$3:$AG$31/$A21)^X$2))</f>
        <v/>
      </c>
      <c r="Y21" s="264">
        <f>$A21 - SUMPRODUCT(($AG$3:$AG$31&lt;$A21)*(($AG$3:$AG$31/$A21)^Y$2))</f>
        <v/>
      </c>
      <c r="Z21" s="264">
        <f>$A21 - SUMPRODUCT(($AG$3:$AG$31&lt;$A21)*(($AG$3:$AG$31/$A21)^Z$2))</f>
        <v/>
      </c>
      <c r="AA21" s="264">
        <f>$A21 - SUMPRODUCT(($AG$3:$AG$31&lt;$A21)*(($AG$3:$AG$31/$A21)^AA$2))</f>
        <v/>
      </c>
      <c r="AB21" s="264">
        <f>$A21 - SUMPRODUCT(($AG$3:$AG$31&lt;$A21)*(($AG$3:$AG$31/$A21)^AB$2))</f>
        <v/>
      </c>
      <c r="AC21" s="264">
        <f>$A21 - SUMPRODUCT(($AG$3:$AG$31&lt;$A21)*(($AG$3:$AG$31/$A21)^AC$2))</f>
        <v/>
      </c>
      <c r="AD21" s="264">
        <f>$A21 - SUMPRODUCT(($AG$3:$AG$31&lt;$A21)*(($AG$3:$AG$31/$A21)^AD$2))</f>
        <v/>
      </c>
      <c r="AE21" s="253" t="n"/>
      <c r="AF21" s="253" t="n"/>
      <c r="AG21" s="253" t="n">
        <v>19</v>
      </c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$A22 - SUMPRODUCT(($AG$3:$AG$31&lt;$A22)*(($AG$3:$AG$31/$A22)^B$2))</f>
        <v/>
      </c>
      <c r="C22" s="263">
        <f>$A22 - SUMPRODUCT(($AG$3:$AG$31&lt;$A22)*(($AG$3:$AG$31/$A22)^C$2))</f>
        <v/>
      </c>
      <c r="D22" s="263">
        <f>$A22 - SUMPRODUCT(($AG$3:$AG$31&lt;$A22)*(($AG$3:$AG$31/$A22)^D$2))</f>
        <v/>
      </c>
      <c r="E22" s="263">
        <f>$A22 - SUMPRODUCT(($AG$3:$AG$31&lt;$A22)*(($AG$3:$AG$31/$A22)^E$2))</f>
        <v/>
      </c>
      <c r="F22" s="263">
        <f>$A22 - SUMPRODUCT(($AG$3:$AG$31&lt;$A22)*(($AG$3:$AG$31/$A22)^F$2))</f>
        <v/>
      </c>
      <c r="G22" s="263">
        <f>$A22 - SUMPRODUCT(($AG$3:$AG$31&lt;$A22)*(($AG$3:$AG$31/$A22)^G$2))</f>
        <v/>
      </c>
      <c r="H22" s="263">
        <f>$A22 - SUMPRODUCT(($AG$3:$AG$31&lt;$A22)*(($AG$3:$AG$31/$A22)^H$2))</f>
        <v/>
      </c>
      <c r="I22" s="263">
        <f>$A22 - SUMPRODUCT(($AG$3:$AG$31&lt;$A22)*(($AG$3:$AG$31/$A22)^I$2))</f>
        <v/>
      </c>
      <c r="J22" s="263">
        <f>$A22 - SUMPRODUCT(($AG$3:$AG$31&lt;$A22)*(($AG$3:$AG$31/$A22)^J$2))</f>
        <v/>
      </c>
      <c r="K22" s="263">
        <f>$A22 - SUMPRODUCT(($AG$3:$AG$31&lt;$A22)*(($AG$3:$AG$31/$A22)^K$2))</f>
        <v/>
      </c>
      <c r="L22" s="263">
        <f>$A22 - SUMPRODUCT(($AG$3:$AG$31&lt;$A22)*(($AG$3:$AG$31/$A22)^L$2))</f>
        <v/>
      </c>
      <c r="M22" s="263">
        <f>$A22 - SUMPRODUCT(($AG$3:$AG$31&lt;$A22)*(($AG$3:$AG$31/$A22)^M$2))</f>
        <v/>
      </c>
      <c r="N22" s="263">
        <f>$A22 - SUMPRODUCT(($AG$3:$AG$31&lt;$A22)*(($AG$3:$AG$31/$A22)^N$2))</f>
        <v/>
      </c>
      <c r="O22" s="263">
        <f>$A22 - SUMPRODUCT(($AG$3:$AG$31&lt;$A22)*(($AG$3:$AG$31/$A22)^O$2))</f>
        <v/>
      </c>
      <c r="P22" s="263">
        <f>$A22 - SUMPRODUCT(($AG$3:$AG$31&lt;$A22)*(($AG$3:$AG$31/$A22)^P$2))</f>
        <v/>
      </c>
      <c r="Q22" s="263">
        <f>$A22 - SUMPRODUCT(($AG$3:$AG$31&lt;$A22)*(($AG$3:$AG$31/$A22)^Q$2))</f>
        <v/>
      </c>
      <c r="R22" s="263">
        <f>$A22 - SUMPRODUCT(($AG$3:$AG$31&lt;$A22)*(($AG$3:$AG$31/$A22)^R$2))</f>
        <v/>
      </c>
      <c r="S22" s="264">
        <f>$A22 - SUMPRODUCT(($AG$3:$AG$31&lt;$A22)*(($AG$3:$AG$31/$A22)^S$2))</f>
        <v/>
      </c>
      <c r="T22" s="264">
        <f>$A22 - SUMPRODUCT(($AG$3:$AG$31&lt;$A22)*(($AG$3:$AG$31/$A22)^T$2))</f>
        <v/>
      </c>
      <c r="U22" s="264">
        <f>$A22 - SUMPRODUCT(($AG$3:$AG$31&lt;$A22)*(($AG$3:$AG$31/$A22)^U$2))</f>
        <v/>
      </c>
      <c r="V22" s="264">
        <f>$A22 - SUMPRODUCT(($AG$3:$AG$31&lt;$A22)*(($AG$3:$AG$31/$A22)^V$2))</f>
        <v/>
      </c>
      <c r="W22" s="264">
        <f>$A22 - SUMPRODUCT(($AG$3:$AG$31&lt;$A22)*(($AG$3:$AG$31/$A22)^W$2))</f>
        <v/>
      </c>
      <c r="X22" s="264">
        <f>$A22 - SUMPRODUCT(($AG$3:$AG$31&lt;$A22)*(($AG$3:$AG$31/$A22)^X$2))</f>
        <v/>
      </c>
      <c r="Y22" s="264">
        <f>$A22 - SUMPRODUCT(($AG$3:$AG$31&lt;$A22)*(($AG$3:$AG$31/$A22)^Y$2))</f>
        <v/>
      </c>
      <c r="Z22" s="264">
        <f>$A22 - SUMPRODUCT(($AG$3:$AG$31&lt;$A22)*(($AG$3:$AG$31/$A22)^Z$2))</f>
        <v/>
      </c>
      <c r="AA22" s="264">
        <f>$A22 - SUMPRODUCT(($AG$3:$AG$31&lt;$A22)*(($AG$3:$AG$31/$A22)^AA$2))</f>
        <v/>
      </c>
      <c r="AB22" s="264">
        <f>$A22 - SUMPRODUCT(($AG$3:$AG$31&lt;$A22)*(($AG$3:$AG$31/$A22)^AB$2))</f>
        <v/>
      </c>
      <c r="AC22" s="264">
        <f>$A22 - SUMPRODUCT(($AG$3:$AG$31&lt;$A22)*(($AG$3:$AG$31/$A22)^AC$2))</f>
        <v/>
      </c>
      <c r="AD22" s="264">
        <f>$A22 - SUMPRODUCT(($AG$3:$AG$31&lt;$A22)*(($AG$3:$AG$31/$A22)^AD$2))</f>
        <v/>
      </c>
      <c r="AE22" s="253" t="n"/>
      <c r="AF22" s="253" t="n"/>
      <c r="AG22" s="253" t="n">
        <v>20</v>
      </c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$A23 - SUMPRODUCT(($AG$3:$AG$31&lt;$A23)*(($AG$3:$AG$31/$A23)^B$2))</f>
        <v/>
      </c>
      <c r="C23" s="263">
        <f>$A23 - SUMPRODUCT(($AG$3:$AG$31&lt;$A23)*(($AG$3:$AG$31/$A23)^C$2))</f>
        <v/>
      </c>
      <c r="D23" s="263">
        <f>$A23 - SUMPRODUCT(($AG$3:$AG$31&lt;$A23)*(($AG$3:$AG$31/$A23)^D$2))</f>
        <v/>
      </c>
      <c r="E23" s="263">
        <f>$A23 - SUMPRODUCT(($AG$3:$AG$31&lt;$A23)*(($AG$3:$AG$31/$A23)^E$2))</f>
        <v/>
      </c>
      <c r="F23" s="263">
        <f>$A23 - SUMPRODUCT(($AG$3:$AG$31&lt;$A23)*(($AG$3:$AG$31/$A23)^F$2))</f>
        <v/>
      </c>
      <c r="G23" s="263">
        <f>$A23 - SUMPRODUCT(($AG$3:$AG$31&lt;$A23)*(($AG$3:$AG$31/$A23)^G$2))</f>
        <v/>
      </c>
      <c r="H23" s="263">
        <f>$A23 - SUMPRODUCT(($AG$3:$AG$31&lt;$A23)*(($AG$3:$AG$31/$A23)^H$2))</f>
        <v/>
      </c>
      <c r="I23" s="263">
        <f>$A23 - SUMPRODUCT(($AG$3:$AG$31&lt;$A23)*(($AG$3:$AG$31/$A23)^I$2))</f>
        <v/>
      </c>
      <c r="J23" s="263">
        <f>$A23 - SUMPRODUCT(($AG$3:$AG$31&lt;$A23)*(($AG$3:$AG$31/$A23)^J$2))</f>
        <v/>
      </c>
      <c r="K23" s="263">
        <f>$A23 - SUMPRODUCT(($AG$3:$AG$31&lt;$A23)*(($AG$3:$AG$31/$A23)^K$2))</f>
        <v/>
      </c>
      <c r="L23" s="263">
        <f>$A23 - SUMPRODUCT(($AG$3:$AG$31&lt;$A23)*(($AG$3:$AG$31/$A23)^L$2))</f>
        <v/>
      </c>
      <c r="M23" s="263">
        <f>$A23 - SUMPRODUCT(($AG$3:$AG$31&lt;$A23)*(($AG$3:$AG$31/$A23)^M$2))</f>
        <v/>
      </c>
      <c r="N23" s="263">
        <f>$A23 - SUMPRODUCT(($AG$3:$AG$31&lt;$A23)*(($AG$3:$AG$31/$A23)^N$2))</f>
        <v/>
      </c>
      <c r="O23" s="263">
        <f>$A23 - SUMPRODUCT(($AG$3:$AG$31&lt;$A23)*(($AG$3:$AG$31/$A23)^O$2))</f>
        <v/>
      </c>
      <c r="P23" s="263">
        <f>$A23 - SUMPRODUCT(($AG$3:$AG$31&lt;$A23)*(($AG$3:$AG$31/$A23)^P$2))</f>
        <v/>
      </c>
      <c r="Q23" s="263">
        <f>$A23 - SUMPRODUCT(($AG$3:$AG$31&lt;$A23)*(($AG$3:$AG$31/$A23)^Q$2))</f>
        <v/>
      </c>
      <c r="R23" s="263">
        <f>$A23 - SUMPRODUCT(($AG$3:$AG$31&lt;$A23)*(($AG$3:$AG$31/$A23)^R$2))</f>
        <v/>
      </c>
      <c r="S23" s="264">
        <f>$A23 - SUMPRODUCT(($AG$3:$AG$31&lt;$A23)*(($AG$3:$AG$31/$A23)^S$2))</f>
        <v/>
      </c>
      <c r="T23" s="264">
        <f>$A23 - SUMPRODUCT(($AG$3:$AG$31&lt;$A23)*(($AG$3:$AG$31/$A23)^T$2))</f>
        <v/>
      </c>
      <c r="U23" s="264">
        <f>$A23 - SUMPRODUCT(($AG$3:$AG$31&lt;$A23)*(($AG$3:$AG$31/$A23)^U$2))</f>
        <v/>
      </c>
      <c r="V23" s="264">
        <f>$A23 - SUMPRODUCT(($AG$3:$AG$31&lt;$A23)*(($AG$3:$AG$31/$A23)^V$2))</f>
        <v/>
      </c>
      <c r="W23" s="264">
        <f>$A23 - SUMPRODUCT(($AG$3:$AG$31&lt;$A23)*(($AG$3:$AG$31/$A23)^W$2))</f>
        <v/>
      </c>
      <c r="X23" s="264">
        <f>$A23 - SUMPRODUCT(($AG$3:$AG$31&lt;$A23)*(($AG$3:$AG$31/$A23)^X$2))</f>
        <v/>
      </c>
      <c r="Y23" s="264">
        <f>$A23 - SUMPRODUCT(($AG$3:$AG$31&lt;$A23)*(($AG$3:$AG$31/$A23)^Y$2))</f>
        <v/>
      </c>
      <c r="Z23" s="264">
        <f>$A23 - SUMPRODUCT(($AG$3:$AG$31&lt;$A23)*(($AG$3:$AG$31/$A23)^Z$2))</f>
        <v/>
      </c>
      <c r="AA23" s="264">
        <f>$A23 - SUMPRODUCT(($AG$3:$AG$31&lt;$A23)*(($AG$3:$AG$31/$A23)^AA$2))</f>
        <v/>
      </c>
      <c r="AB23" s="264">
        <f>$A23 - SUMPRODUCT(($AG$3:$AG$31&lt;$A23)*(($AG$3:$AG$31/$A23)^AB$2))</f>
        <v/>
      </c>
      <c r="AC23" s="264">
        <f>$A23 - SUMPRODUCT(($AG$3:$AG$31&lt;$A23)*(($AG$3:$AG$31/$A23)^AC$2))</f>
        <v/>
      </c>
      <c r="AD23" s="264">
        <f>$A23 - SUMPRODUCT(($AG$3:$AG$31&lt;$A23)*(($AG$3:$AG$31/$A23)^AD$2))</f>
        <v/>
      </c>
      <c r="AE23" s="253" t="n"/>
      <c r="AF23" s="253" t="n"/>
      <c r="AG23" s="253" t="n">
        <v>21</v>
      </c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$A24 - SUMPRODUCT(($AG$3:$AG$31&lt;$A24)*(($AG$3:$AG$31/$A24)^B$2))</f>
        <v/>
      </c>
      <c r="C24" s="263">
        <f>$A24 - SUMPRODUCT(($AG$3:$AG$31&lt;$A24)*(($AG$3:$AG$31/$A24)^C$2))</f>
        <v/>
      </c>
      <c r="D24" s="263">
        <f>$A24 - SUMPRODUCT(($AG$3:$AG$31&lt;$A24)*(($AG$3:$AG$31/$A24)^D$2))</f>
        <v/>
      </c>
      <c r="E24" s="263">
        <f>$A24 - SUMPRODUCT(($AG$3:$AG$31&lt;$A24)*(($AG$3:$AG$31/$A24)^E$2))</f>
        <v/>
      </c>
      <c r="F24" s="263">
        <f>$A24 - SUMPRODUCT(($AG$3:$AG$31&lt;$A24)*(($AG$3:$AG$31/$A24)^F$2))</f>
        <v/>
      </c>
      <c r="G24" s="263">
        <f>$A24 - SUMPRODUCT(($AG$3:$AG$31&lt;$A24)*(($AG$3:$AG$31/$A24)^G$2))</f>
        <v/>
      </c>
      <c r="H24" s="263">
        <f>$A24 - SUMPRODUCT(($AG$3:$AG$31&lt;$A24)*(($AG$3:$AG$31/$A24)^H$2))</f>
        <v/>
      </c>
      <c r="I24" s="263">
        <f>$A24 - SUMPRODUCT(($AG$3:$AG$31&lt;$A24)*(($AG$3:$AG$31/$A24)^I$2))</f>
        <v/>
      </c>
      <c r="J24" s="263">
        <f>$A24 - SUMPRODUCT(($AG$3:$AG$31&lt;$A24)*(($AG$3:$AG$31/$A24)^J$2))</f>
        <v/>
      </c>
      <c r="K24" s="263">
        <f>$A24 - SUMPRODUCT(($AG$3:$AG$31&lt;$A24)*(($AG$3:$AG$31/$A24)^K$2))</f>
        <v/>
      </c>
      <c r="L24" s="263">
        <f>$A24 - SUMPRODUCT(($AG$3:$AG$31&lt;$A24)*(($AG$3:$AG$31/$A24)^L$2))</f>
        <v/>
      </c>
      <c r="M24" s="263">
        <f>$A24 - SUMPRODUCT(($AG$3:$AG$31&lt;$A24)*(($AG$3:$AG$31/$A24)^M$2))</f>
        <v/>
      </c>
      <c r="N24" s="263">
        <f>$A24 - SUMPRODUCT(($AG$3:$AG$31&lt;$A24)*(($AG$3:$AG$31/$A24)^N$2))</f>
        <v/>
      </c>
      <c r="O24" s="263">
        <f>$A24 - SUMPRODUCT(($AG$3:$AG$31&lt;$A24)*(($AG$3:$AG$31/$A24)^O$2))</f>
        <v/>
      </c>
      <c r="P24" s="263">
        <f>$A24 - SUMPRODUCT(($AG$3:$AG$31&lt;$A24)*(($AG$3:$AG$31/$A24)^P$2))</f>
        <v/>
      </c>
      <c r="Q24" s="263">
        <f>$A24 - SUMPRODUCT(($AG$3:$AG$31&lt;$A24)*(($AG$3:$AG$31/$A24)^Q$2))</f>
        <v/>
      </c>
      <c r="R24" s="263">
        <f>$A24 - SUMPRODUCT(($AG$3:$AG$31&lt;$A24)*(($AG$3:$AG$31/$A24)^R$2))</f>
        <v/>
      </c>
      <c r="S24" s="264">
        <f>$A24 - SUMPRODUCT(($AG$3:$AG$31&lt;$A24)*(($AG$3:$AG$31/$A24)^S$2))</f>
        <v/>
      </c>
      <c r="T24" s="264">
        <f>$A24 - SUMPRODUCT(($AG$3:$AG$31&lt;$A24)*(($AG$3:$AG$31/$A24)^T$2))</f>
        <v/>
      </c>
      <c r="U24" s="264">
        <f>$A24 - SUMPRODUCT(($AG$3:$AG$31&lt;$A24)*(($AG$3:$AG$31/$A24)^U$2))</f>
        <v/>
      </c>
      <c r="V24" s="264">
        <f>$A24 - SUMPRODUCT(($AG$3:$AG$31&lt;$A24)*(($AG$3:$AG$31/$A24)^V$2))</f>
        <v/>
      </c>
      <c r="W24" s="264">
        <f>$A24 - SUMPRODUCT(($AG$3:$AG$31&lt;$A24)*(($AG$3:$AG$31/$A24)^W$2))</f>
        <v/>
      </c>
      <c r="X24" s="264">
        <f>$A24 - SUMPRODUCT(($AG$3:$AG$31&lt;$A24)*(($AG$3:$AG$31/$A24)^X$2))</f>
        <v/>
      </c>
      <c r="Y24" s="264">
        <f>$A24 - SUMPRODUCT(($AG$3:$AG$31&lt;$A24)*(($AG$3:$AG$31/$A24)^Y$2))</f>
        <v/>
      </c>
      <c r="Z24" s="264">
        <f>$A24 - SUMPRODUCT(($AG$3:$AG$31&lt;$A24)*(($AG$3:$AG$31/$A24)^Z$2))</f>
        <v/>
      </c>
      <c r="AA24" s="264">
        <f>$A24 - SUMPRODUCT(($AG$3:$AG$31&lt;$A24)*(($AG$3:$AG$31/$A24)^AA$2))</f>
        <v/>
      </c>
      <c r="AB24" s="264">
        <f>$A24 - SUMPRODUCT(($AG$3:$AG$31&lt;$A24)*(($AG$3:$AG$31/$A24)^AB$2))</f>
        <v/>
      </c>
      <c r="AC24" s="264">
        <f>$A24 - SUMPRODUCT(($AG$3:$AG$31&lt;$A24)*(($AG$3:$AG$31/$A24)^AC$2))</f>
        <v/>
      </c>
      <c r="AD24" s="264">
        <f>$A24 - SUMPRODUCT(($AG$3:$AG$31&lt;$A24)*(($AG$3:$AG$31/$A24)^AD$2))</f>
        <v/>
      </c>
      <c r="AE24" s="253" t="n"/>
      <c r="AF24" s="253" t="n"/>
      <c r="AG24" s="253" t="n">
        <v>22</v>
      </c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$A25 - SUMPRODUCT(($AG$3:$AG$31&lt;$A25)*(($AG$3:$AG$31/$A25)^B$2))</f>
        <v/>
      </c>
      <c r="C25" s="263">
        <f>$A25 - SUMPRODUCT(($AG$3:$AG$31&lt;$A25)*(($AG$3:$AG$31/$A25)^C$2))</f>
        <v/>
      </c>
      <c r="D25" s="263">
        <f>$A25 - SUMPRODUCT(($AG$3:$AG$31&lt;$A25)*(($AG$3:$AG$31/$A25)^D$2))</f>
        <v/>
      </c>
      <c r="E25" s="263">
        <f>$A25 - SUMPRODUCT(($AG$3:$AG$31&lt;$A25)*(($AG$3:$AG$31/$A25)^E$2))</f>
        <v/>
      </c>
      <c r="F25" s="263">
        <f>$A25 - SUMPRODUCT(($AG$3:$AG$31&lt;$A25)*(($AG$3:$AG$31/$A25)^F$2))</f>
        <v/>
      </c>
      <c r="G25" s="263">
        <f>$A25 - SUMPRODUCT(($AG$3:$AG$31&lt;$A25)*(($AG$3:$AG$31/$A25)^G$2))</f>
        <v/>
      </c>
      <c r="H25" s="263">
        <f>$A25 - SUMPRODUCT(($AG$3:$AG$31&lt;$A25)*(($AG$3:$AG$31/$A25)^H$2))</f>
        <v/>
      </c>
      <c r="I25" s="263">
        <f>$A25 - SUMPRODUCT(($AG$3:$AG$31&lt;$A25)*(($AG$3:$AG$31/$A25)^I$2))</f>
        <v/>
      </c>
      <c r="J25" s="263">
        <f>$A25 - SUMPRODUCT(($AG$3:$AG$31&lt;$A25)*(($AG$3:$AG$31/$A25)^J$2))</f>
        <v/>
      </c>
      <c r="K25" s="263">
        <f>$A25 - SUMPRODUCT(($AG$3:$AG$31&lt;$A25)*(($AG$3:$AG$31/$A25)^K$2))</f>
        <v/>
      </c>
      <c r="L25" s="263">
        <f>$A25 - SUMPRODUCT(($AG$3:$AG$31&lt;$A25)*(($AG$3:$AG$31/$A25)^L$2))</f>
        <v/>
      </c>
      <c r="M25" s="263">
        <f>$A25 - SUMPRODUCT(($AG$3:$AG$31&lt;$A25)*(($AG$3:$AG$31/$A25)^M$2))</f>
        <v/>
      </c>
      <c r="N25" s="263">
        <f>$A25 - SUMPRODUCT(($AG$3:$AG$31&lt;$A25)*(($AG$3:$AG$31/$A25)^N$2))</f>
        <v/>
      </c>
      <c r="O25" s="263">
        <f>$A25 - SUMPRODUCT(($AG$3:$AG$31&lt;$A25)*(($AG$3:$AG$31/$A25)^O$2))</f>
        <v/>
      </c>
      <c r="P25" s="263">
        <f>$A25 - SUMPRODUCT(($AG$3:$AG$31&lt;$A25)*(($AG$3:$AG$31/$A25)^P$2))</f>
        <v/>
      </c>
      <c r="Q25" s="263">
        <f>$A25 - SUMPRODUCT(($AG$3:$AG$31&lt;$A25)*(($AG$3:$AG$31/$A25)^Q$2))</f>
        <v/>
      </c>
      <c r="R25" s="263">
        <f>$A25 - SUMPRODUCT(($AG$3:$AG$31&lt;$A25)*(($AG$3:$AG$31/$A25)^R$2))</f>
        <v/>
      </c>
      <c r="S25" s="264">
        <f>$A25 - SUMPRODUCT(($AG$3:$AG$31&lt;$A25)*(($AG$3:$AG$31/$A25)^S$2))</f>
        <v/>
      </c>
      <c r="T25" s="264">
        <f>$A25 - SUMPRODUCT(($AG$3:$AG$31&lt;$A25)*(($AG$3:$AG$31/$A25)^T$2))</f>
        <v/>
      </c>
      <c r="U25" s="264">
        <f>$A25 - SUMPRODUCT(($AG$3:$AG$31&lt;$A25)*(($AG$3:$AG$31/$A25)^U$2))</f>
        <v/>
      </c>
      <c r="V25" s="264">
        <f>$A25 - SUMPRODUCT(($AG$3:$AG$31&lt;$A25)*(($AG$3:$AG$31/$A25)^V$2))</f>
        <v/>
      </c>
      <c r="W25" s="264">
        <f>$A25 - SUMPRODUCT(($AG$3:$AG$31&lt;$A25)*(($AG$3:$AG$31/$A25)^W$2))</f>
        <v/>
      </c>
      <c r="X25" s="264">
        <f>$A25 - SUMPRODUCT(($AG$3:$AG$31&lt;$A25)*(($AG$3:$AG$31/$A25)^X$2))</f>
        <v/>
      </c>
      <c r="Y25" s="264">
        <f>$A25 - SUMPRODUCT(($AG$3:$AG$31&lt;$A25)*(($AG$3:$AG$31/$A25)^Y$2))</f>
        <v/>
      </c>
      <c r="Z25" s="264">
        <f>$A25 - SUMPRODUCT(($AG$3:$AG$31&lt;$A25)*(($AG$3:$AG$31/$A25)^Z$2))</f>
        <v/>
      </c>
      <c r="AA25" s="264">
        <f>$A25 - SUMPRODUCT(($AG$3:$AG$31&lt;$A25)*(($AG$3:$AG$31/$A25)^AA$2))</f>
        <v/>
      </c>
      <c r="AB25" s="264">
        <f>$A25 - SUMPRODUCT(($AG$3:$AG$31&lt;$A25)*(($AG$3:$AG$31/$A25)^AB$2))</f>
        <v/>
      </c>
      <c r="AC25" s="264">
        <f>$A25 - SUMPRODUCT(($AG$3:$AG$31&lt;$A25)*(($AG$3:$AG$31/$A25)^AC$2))</f>
        <v/>
      </c>
      <c r="AD25" s="264">
        <f>$A25 - SUMPRODUCT(($AG$3:$AG$31&lt;$A25)*(($AG$3:$AG$31/$A25)^AD$2))</f>
        <v/>
      </c>
      <c r="AE25" s="253" t="n"/>
      <c r="AF25" s="253" t="n"/>
      <c r="AG25" s="253" t="n">
        <v>23</v>
      </c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$A26 - SUMPRODUCT(($AG$3:$AG$31&lt;$A26)*(($AG$3:$AG$31/$A26)^B$2))</f>
        <v/>
      </c>
      <c r="C26" s="263">
        <f>$A26 - SUMPRODUCT(($AG$3:$AG$31&lt;$A26)*(($AG$3:$AG$31/$A26)^C$2))</f>
        <v/>
      </c>
      <c r="D26" s="263">
        <f>$A26 - SUMPRODUCT(($AG$3:$AG$31&lt;$A26)*(($AG$3:$AG$31/$A26)^D$2))</f>
        <v/>
      </c>
      <c r="E26" s="263">
        <f>$A26 - SUMPRODUCT(($AG$3:$AG$31&lt;$A26)*(($AG$3:$AG$31/$A26)^E$2))</f>
        <v/>
      </c>
      <c r="F26" s="263">
        <f>$A26 - SUMPRODUCT(($AG$3:$AG$31&lt;$A26)*(($AG$3:$AG$31/$A26)^F$2))</f>
        <v/>
      </c>
      <c r="G26" s="263">
        <f>$A26 - SUMPRODUCT(($AG$3:$AG$31&lt;$A26)*(($AG$3:$AG$31/$A26)^G$2))</f>
        <v/>
      </c>
      <c r="H26" s="263">
        <f>$A26 - SUMPRODUCT(($AG$3:$AG$31&lt;$A26)*(($AG$3:$AG$31/$A26)^H$2))</f>
        <v/>
      </c>
      <c r="I26" s="263">
        <f>$A26 - SUMPRODUCT(($AG$3:$AG$31&lt;$A26)*(($AG$3:$AG$31/$A26)^I$2))</f>
        <v/>
      </c>
      <c r="J26" s="263">
        <f>$A26 - SUMPRODUCT(($AG$3:$AG$31&lt;$A26)*(($AG$3:$AG$31/$A26)^J$2))</f>
        <v/>
      </c>
      <c r="K26" s="263">
        <f>$A26 - SUMPRODUCT(($AG$3:$AG$31&lt;$A26)*(($AG$3:$AG$31/$A26)^K$2))</f>
        <v/>
      </c>
      <c r="L26" s="263">
        <f>$A26 - SUMPRODUCT(($AG$3:$AG$31&lt;$A26)*(($AG$3:$AG$31/$A26)^L$2))</f>
        <v/>
      </c>
      <c r="M26" s="263">
        <f>$A26 - SUMPRODUCT(($AG$3:$AG$31&lt;$A26)*(($AG$3:$AG$31/$A26)^M$2))</f>
        <v/>
      </c>
      <c r="N26" s="263">
        <f>$A26 - SUMPRODUCT(($AG$3:$AG$31&lt;$A26)*(($AG$3:$AG$31/$A26)^N$2))</f>
        <v/>
      </c>
      <c r="O26" s="263">
        <f>$A26 - SUMPRODUCT(($AG$3:$AG$31&lt;$A26)*(($AG$3:$AG$31/$A26)^O$2))</f>
        <v/>
      </c>
      <c r="P26" s="263">
        <f>$A26 - SUMPRODUCT(($AG$3:$AG$31&lt;$A26)*(($AG$3:$AG$31/$A26)^P$2))</f>
        <v/>
      </c>
      <c r="Q26" s="263">
        <f>$A26 - SUMPRODUCT(($AG$3:$AG$31&lt;$A26)*(($AG$3:$AG$31/$A26)^Q$2))</f>
        <v/>
      </c>
      <c r="R26" s="263">
        <f>$A26 - SUMPRODUCT(($AG$3:$AG$31&lt;$A26)*(($AG$3:$AG$31/$A26)^R$2))</f>
        <v/>
      </c>
      <c r="S26" s="264">
        <f>$A26 - SUMPRODUCT(($AG$3:$AG$31&lt;$A26)*(($AG$3:$AG$31/$A26)^S$2))</f>
        <v/>
      </c>
      <c r="T26" s="264">
        <f>$A26 - SUMPRODUCT(($AG$3:$AG$31&lt;$A26)*(($AG$3:$AG$31/$A26)^T$2))</f>
        <v/>
      </c>
      <c r="U26" s="264">
        <f>$A26 - SUMPRODUCT(($AG$3:$AG$31&lt;$A26)*(($AG$3:$AG$31/$A26)^U$2))</f>
        <v/>
      </c>
      <c r="V26" s="264">
        <f>$A26 - SUMPRODUCT(($AG$3:$AG$31&lt;$A26)*(($AG$3:$AG$31/$A26)^V$2))</f>
        <v/>
      </c>
      <c r="W26" s="264">
        <f>$A26 - SUMPRODUCT(($AG$3:$AG$31&lt;$A26)*(($AG$3:$AG$31/$A26)^W$2))</f>
        <v/>
      </c>
      <c r="X26" s="264">
        <f>$A26 - SUMPRODUCT(($AG$3:$AG$31&lt;$A26)*(($AG$3:$AG$31/$A26)^X$2))</f>
        <v/>
      </c>
      <c r="Y26" s="264">
        <f>$A26 - SUMPRODUCT(($AG$3:$AG$31&lt;$A26)*(($AG$3:$AG$31/$A26)^Y$2))</f>
        <v/>
      </c>
      <c r="Z26" s="264">
        <f>$A26 - SUMPRODUCT(($AG$3:$AG$31&lt;$A26)*(($AG$3:$AG$31/$A26)^Z$2))</f>
        <v/>
      </c>
      <c r="AA26" s="264">
        <f>$A26 - SUMPRODUCT(($AG$3:$AG$31&lt;$A26)*(($AG$3:$AG$31/$A26)^AA$2))</f>
        <v/>
      </c>
      <c r="AB26" s="264">
        <f>$A26 - SUMPRODUCT(($AG$3:$AG$31&lt;$A26)*(($AG$3:$AG$31/$A26)^AB$2))</f>
        <v/>
      </c>
      <c r="AC26" s="264">
        <f>$A26 - SUMPRODUCT(($AG$3:$AG$31&lt;$A26)*(($AG$3:$AG$31/$A26)^AC$2))</f>
        <v/>
      </c>
      <c r="AD26" s="264">
        <f>$A26 - SUMPRODUCT(($AG$3:$AG$31&lt;$A26)*(($AG$3:$AG$31/$A26)^AD$2))</f>
        <v/>
      </c>
      <c r="AE26" s="253" t="n"/>
      <c r="AF26" s="253" t="n"/>
      <c r="AG26" s="253" t="n">
        <v>24</v>
      </c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$A27 - SUMPRODUCT(($AG$3:$AG$31&lt;$A27)*(($AG$3:$AG$31/$A27)^B$2))</f>
        <v/>
      </c>
      <c r="C27" s="263">
        <f>$A27 - SUMPRODUCT(($AG$3:$AG$31&lt;$A27)*(($AG$3:$AG$31/$A27)^C$2))</f>
        <v/>
      </c>
      <c r="D27" s="263">
        <f>$A27 - SUMPRODUCT(($AG$3:$AG$31&lt;$A27)*(($AG$3:$AG$31/$A27)^D$2))</f>
        <v/>
      </c>
      <c r="E27" s="263">
        <f>$A27 - SUMPRODUCT(($AG$3:$AG$31&lt;$A27)*(($AG$3:$AG$31/$A27)^E$2))</f>
        <v/>
      </c>
      <c r="F27" s="263">
        <f>$A27 - SUMPRODUCT(($AG$3:$AG$31&lt;$A27)*(($AG$3:$AG$31/$A27)^F$2))</f>
        <v/>
      </c>
      <c r="G27" s="263">
        <f>$A27 - SUMPRODUCT(($AG$3:$AG$31&lt;$A27)*(($AG$3:$AG$31/$A27)^G$2))</f>
        <v/>
      </c>
      <c r="H27" s="263">
        <f>$A27 - SUMPRODUCT(($AG$3:$AG$31&lt;$A27)*(($AG$3:$AG$31/$A27)^H$2))</f>
        <v/>
      </c>
      <c r="I27" s="263">
        <f>$A27 - SUMPRODUCT(($AG$3:$AG$31&lt;$A27)*(($AG$3:$AG$31/$A27)^I$2))</f>
        <v/>
      </c>
      <c r="J27" s="263">
        <f>$A27 - SUMPRODUCT(($AG$3:$AG$31&lt;$A27)*(($AG$3:$AG$31/$A27)^J$2))</f>
        <v/>
      </c>
      <c r="K27" s="263">
        <f>$A27 - SUMPRODUCT(($AG$3:$AG$31&lt;$A27)*(($AG$3:$AG$31/$A27)^K$2))</f>
        <v/>
      </c>
      <c r="L27" s="263">
        <f>$A27 - SUMPRODUCT(($AG$3:$AG$31&lt;$A27)*(($AG$3:$AG$31/$A27)^L$2))</f>
        <v/>
      </c>
      <c r="M27" s="263">
        <f>$A27 - SUMPRODUCT(($AG$3:$AG$31&lt;$A27)*(($AG$3:$AG$31/$A27)^M$2))</f>
        <v/>
      </c>
      <c r="N27" s="263">
        <f>$A27 - SUMPRODUCT(($AG$3:$AG$31&lt;$A27)*(($AG$3:$AG$31/$A27)^N$2))</f>
        <v/>
      </c>
      <c r="O27" s="263">
        <f>$A27 - SUMPRODUCT(($AG$3:$AG$31&lt;$A27)*(($AG$3:$AG$31/$A27)^O$2))</f>
        <v/>
      </c>
      <c r="P27" s="263">
        <f>$A27 - SUMPRODUCT(($AG$3:$AG$31&lt;$A27)*(($AG$3:$AG$31/$A27)^P$2))</f>
        <v/>
      </c>
      <c r="Q27" s="263">
        <f>$A27 - SUMPRODUCT(($AG$3:$AG$31&lt;$A27)*(($AG$3:$AG$31/$A27)^Q$2))</f>
        <v/>
      </c>
      <c r="R27" s="263">
        <f>$A27 - SUMPRODUCT(($AG$3:$AG$31&lt;$A27)*(($AG$3:$AG$31/$A27)^R$2))</f>
        <v/>
      </c>
      <c r="S27" s="264">
        <f>$A27 - SUMPRODUCT(($AG$3:$AG$31&lt;$A27)*(($AG$3:$AG$31/$A27)^S$2))</f>
        <v/>
      </c>
      <c r="T27" s="264">
        <f>$A27 - SUMPRODUCT(($AG$3:$AG$31&lt;$A27)*(($AG$3:$AG$31/$A27)^T$2))</f>
        <v/>
      </c>
      <c r="U27" s="264">
        <f>$A27 - SUMPRODUCT(($AG$3:$AG$31&lt;$A27)*(($AG$3:$AG$31/$A27)^U$2))</f>
        <v/>
      </c>
      <c r="V27" s="264">
        <f>$A27 - SUMPRODUCT(($AG$3:$AG$31&lt;$A27)*(($AG$3:$AG$31/$A27)^V$2))</f>
        <v/>
      </c>
      <c r="W27" s="264">
        <f>$A27 - SUMPRODUCT(($AG$3:$AG$31&lt;$A27)*(($AG$3:$AG$31/$A27)^W$2))</f>
        <v/>
      </c>
      <c r="X27" s="264">
        <f>$A27 - SUMPRODUCT(($AG$3:$AG$31&lt;$A27)*(($AG$3:$AG$31/$A27)^X$2))</f>
        <v/>
      </c>
      <c r="Y27" s="264">
        <f>$A27 - SUMPRODUCT(($AG$3:$AG$31&lt;$A27)*(($AG$3:$AG$31/$A27)^Y$2))</f>
        <v/>
      </c>
      <c r="Z27" s="264">
        <f>$A27 - SUMPRODUCT(($AG$3:$AG$31&lt;$A27)*(($AG$3:$AG$31/$A27)^Z$2))</f>
        <v/>
      </c>
      <c r="AA27" s="264">
        <f>$A27 - SUMPRODUCT(($AG$3:$AG$31&lt;$A27)*(($AG$3:$AG$31/$A27)^AA$2))</f>
        <v/>
      </c>
      <c r="AB27" s="264">
        <f>$A27 - SUMPRODUCT(($AG$3:$AG$31&lt;$A27)*(($AG$3:$AG$31/$A27)^AB$2))</f>
        <v/>
      </c>
      <c r="AC27" s="264">
        <f>$A27 - SUMPRODUCT(($AG$3:$AG$31&lt;$A27)*(($AG$3:$AG$31/$A27)^AC$2))</f>
        <v/>
      </c>
      <c r="AD27" s="264">
        <f>$A27 - SUMPRODUCT(($AG$3:$AG$31&lt;$A27)*(($AG$3:$AG$31/$A27)^AD$2))</f>
        <v/>
      </c>
      <c r="AE27" s="253" t="n"/>
      <c r="AF27" s="253" t="n"/>
      <c r="AG27" s="253" t="n">
        <v>25</v>
      </c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$A28 - SUMPRODUCT(($AG$3:$AG$31&lt;$A28)*(($AG$3:$AG$31/$A28)^B$2))</f>
        <v/>
      </c>
      <c r="C28" s="263">
        <f>$A28 - SUMPRODUCT(($AG$3:$AG$31&lt;$A28)*(($AG$3:$AG$31/$A28)^C$2))</f>
        <v/>
      </c>
      <c r="D28" s="263">
        <f>$A28 - SUMPRODUCT(($AG$3:$AG$31&lt;$A28)*(($AG$3:$AG$31/$A28)^D$2))</f>
        <v/>
      </c>
      <c r="E28" s="263">
        <f>$A28 - SUMPRODUCT(($AG$3:$AG$31&lt;$A28)*(($AG$3:$AG$31/$A28)^E$2))</f>
        <v/>
      </c>
      <c r="F28" s="263">
        <f>$A28 - SUMPRODUCT(($AG$3:$AG$31&lt;$A28)*(($AG$3:$AG$31/$A28)^F$2))</f>
        <v/>
      </c>
      <c r="G28" s="263">
        <f>$A28 - SUMPRODUCT(($AG$3:$AG$31&lt;$A28)*(($AG$3:$AG$31/$A28)^G$2))</f>
        <v/>
      </c>
      <c r="H28" s="263">
        <f>$A28 - SUMPRODUCT(($AG$3:$AG$31&lt;$A28)*(($AG$3:$AG$31/$A28)^H$2))</f>
        <v/>
      </c>
      <c r="I28" s="263">
        <f>$A28 - SUMPRODUCT(($AG$3:$AG$31&lt;$A28)*(($AG$3:$AG$31/$A28)^I$2))</f>
        <v/>
      </c>
      <c r="J28" s="263">
        <f>$A28 - SUMPRODUCT(($AG$3:$AG$31&lt;$A28)*(($AG$3:$AG$31/$A28)^J$2))</f>
        <v/>
      </c>
      <c r="K28" s="263">
        <f>$A28 - SUMPRODUCT(($AG$3:$AG$31&lt;$A28)*(($AG$3:$AG$31/$A28)^K$2))</f>
        <v/>
      </c>
      <c r="L28" s="263">
        <f>$A28 - SUMPRODUCT(($AG$3:$AG$31&lt;$A28)*(($AG$3:$AG$31/$A28)^L$2))</f>
        <v/>
      </c>
      <c r="M28" s="263">
        <f>$A28 - SUMPRODUCT(($AG$3:$AG$31&lt;$A28)*(($AG$3:$AG$31/$A28)^M$2))</f>
        <v/>
      </c>
      <c r="N28" s="263">
        <f>$A28 - SUMPRODUCT(($AG$3:$AG$31&lt;$A28)*(($AG$3:$AG$31/$A28)^N$2))</f>
        <v/>
      </c>
      <c r="O28" s="263">
        <f>$A28 - SUMPRODUCT(($AG$3:$AG$31&lt;$A28)*(($AG$3:$AG$31/$A28)^O$2))</f>
        <v/>
      </c>
      <c r="P28" s="263">
        <f>$A28 - SUMPRODUCT(($AG$3:$AG$31&lt;$A28)*(($AG$3:$AG$31/$A28)^P$2))</f>
        <v/>
      </c>
      <c r="Q28" s="263">
        <f>$A28 - SUMPRODUCT(($AG$3:$AG$31&lt;$A28)*(($AG$3:$AG$31/$A28)^Q$2))</f>
        <v/>
      </c>
      <c r="R28" s="263">
        <f>$A28 - SUMPRODUCT(($AG$3:$AG$31&lt;$A28)*(($AG$3:$AG$31/$A28)^R$2))</f>
        <v/>
      </c>
      <c r="S28" s="264">
        <f>$A28 - SUMPRODUCT(($AG$3:$AG$31&lt;$A28)*(($AG$3:$AG$31/$A28)^S$2))</f>
        <v/>
      </c>
      <c r="T28" s="264">
        <f>$A28 - SUMPRODUCT(($AG$3:$AG$31&lt;$A28)*(($AG$3:$AG$31/$A28)^T$2))</f>
        <v/>
      </c>
      <c r="U28" s="264">
        <f>$A28 - SUMPRODUCT(($AG$3:$AG$31&lt;$A28)*(($AG$3:$AG$31/$A28)^U$2))</f>
        <v/>
      </c>
      <c r="V28" s="264">
        <f>$A28 - SUMPRODUCT(($AG$3:$AG$31&lt;$A28)*(($AG$3:$AG$31/$A28)^V$2))</f>
        <v/>
      </c>
      <c r="W28" s="264">
        <f>$A28 - SUMPRODUCT(($AG$3:$AG$31&lt;$A28)*(($AG$3:$AG$31/$A28)^W$2))</f>
        <v/>
      </c>
      <c r="X28" s="264">
        <f>$A28 - SUMPRODUCT(($AG$3:$AG$31&lt;$A28)*(($AG$3:$AG$31/$A28)^X$2))</f>
        <v/>
      </c>
      <c r="Y28" s="264">
        <f>$A28 - SUMPRODUCT(($AG$3:$AG$31&lt;$A28)*(($AG$3:$AG$31/$A28)^Y$2))</f>
        <v/>
      </c>
      <c r="Z28" s="264">
        <f>$A28 - SUMPRODUCT(($AG$3:$AG$31&lt;$A28)*(($AG$3:$AG$31/$A28)^Z$2))</f>
        <v/>
      </c>
      <c r="AA28" s="264">
        <f>$A28 - SUMPRODUCT(($AG$3:$AG$31&lt;$A28)*(($AG$3:$AG$31/$A28)^AA$2))</f>
        <v/>
      </c>
      <c r="AB28" s="264">
        <f>$A28 - SUMPRODUCT(($AG$3:$AG$31&lt;$A28)*(($AG$3:$AG$31/$A28)^AB$2))</f>
        <v/>
      </c>
      <c r="AC28" s="264">
        <f>$A28 - SUMPRODUCT(($AG$3:$AG$31&lt;$A28)*(($AG$3:$AG$31/$A28)^AC$2))</f>
        <v/>
      </c>
      <c r="AD28" s="264">
        <f>$A28 - SUMPRODUCT(($AG$3:$AG$31&lt;$A28)*(($AG$3:$AG$31/$A28)^AD$2))</f>
        <v/>
      </c>
      <c r="AE28" s="253" t="n"/>
      <c r="AF28" s="253" t="n"/>
      <c r="AG28" s="253" t="n">
        <v>26</v>
      </c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$A29 - SUMPRODUCT(($AG$3:$AG$31&lt;$A29)*(($AG$3:$AG$31/$A29)^B$2))</f>
        <v/>
      </c>
      <c r="C29" s="263">
        <f>$A29 - SUMPRODUCT(($AG$3:$AG$31&lt;$A29)*(($AG$3:$AG$31/$A29)^C$2))</f>
        <v/>
      </c>
      <c r="D29" s="263">
        <f>$A29 - SUMPRODUCT(($AG$3:$AG$31&lt;$A29)*(($AG$3:$AG$31/$A29)^D$2))</f>
        <v/>
      </c>
      <c r="E29" s="263">
        <f>$A29 - SUMPRODUCT(($AG$3:$AG$31&lt;$A29)*(($AG$3:$AG$31/$A29)^E$2))</f>
        <v/>
      </c>
      <c r="F29" s="263">
        <f>$A29 - SUMPRODUCT(($AG$3:$AG$31&lt;$A29)*(($AG$3:$AG$31/$A29)^F$2))</f>
        <v/>
      </c>
      <c r="G29" s="263">
        <f>$A29 - SUMPRODUCT(($AG$3:$AG$31&lt;$A29)*(($AG$3:$AG$31/$A29)^G$2))</f>
        <v/>
      </c>
      <c r="H29" s="263">
        <f>$A29 - SUMPRODUCT(($AG$3:$AG$31&lt;$A29)*(($AG$3:$AG$31/$A29)^H$2))</f>
        <v/>
      </c>
      <c r="I29" s="263">
        <f>$A29 - SUMPRODUCT(($AG$3:$AG$31&lt;$A29)*(($AG$3:$AG$31/$A29)^I$2))</f>
        <v/>
      </c>
      <c r="J29" s="263">
        <f>$A29 - SUMPRODUCT(($AG$3:$AG$31&lt;$A29)*(($AG$3:$AG$31/$A29)^J$2))</f>
        <v/>
      </c>
      <c r="K29" s="263">
        <f>$A29 - SUMPRODUCT(($AG$3:$AG$31&lt;$A29)*(($AG$3:$AG$31/$A29)^K$2))</f>
        <v/>
      </c>
      <c r="L29" s="263">
        <f>$A29 - SUMPRODUCT(($AG$3:$AG$31&lt;$A29)*(($AG$3:$AG$31/$A29)^L$2))</f>
        <v/>
      </c>
      <c r="M29" s="263">
        <f>$A29 - SUMPRODUCT(($AG$3:$AG$31&lt;$A29)*(($AG$3:$AG$31/$A29)^M$2))</f>
        <v/>
      </c>
      <c r="N29" s="263">
        <f>$A29 - SUMPRODUCT(($AG$3:$AG$31&lt;$A29)*(($AG$3:$AG$31/$A29)^N$2))</f>
        <v/>
      </c>
      <c r="O29" s="263">
        <f>$A29 - SUMPRODUCT(($AG$3:$AG$31&lt;$A29)*(($AG$3:$AG$31/$A29)^O$2))</f>
        <v/>
      </c>
      <c r="P29" s="263">
        <f>$A29 - SUMPRODUCT(($AG$3:$AG$31&lt;$A29)*(($AG$3:$AG$31/$A29)^P$2))</f>
        <v/>
      </c>
      <c r="Q29" s="263">
        <f>$A29 - SUMPRODUCT(($AG$3:$AG$31&lt;$A29)*(($AG$3:$AG$31/$A29)^Q$2))</f>
        <v/>
      </c>
      <c r="R29" s="263">
        <f>$A29 - SUMPRODUCT(($AG$3:$AG$31&lt;$A29)*(($AG$3:$AG$31/$A29)^R$2))</f>
        <v/>
      </c>
      <c r="S29" s="264">
        <f>$A29 - SUMPRODUCT(($AG$3:$AG$31&lt;$A29)*(($AG$3:$AG$31/$A29)^S$2))</f>
        <v/>
      </c>
      <c r="T29" s="264">
        <f>$A29 - SUMPRODUCT(($AG$3:$AG$31&lt;$A29)*(($AG$3:$AG$31/$A29)^T$2))</f>
        <v/>
      </c>
      <c r="U29" s="264">
        <f>$A29 - SUMPRODUCT(($AG$3:$AG$31&lt;$A29)*(($AG$3:$AG$31/$A29)^U$2))</f>
        <v/>
      </c>
      <c r="V29" s="264">
        <f>$A29 - SUMPRODUCT(($AG$3:$AG$31&lt;$A29)*(($AG$3:$AG$31/$A29)^V$2))</f>
        <v/>
      </c>
      <c r="W29" s="264">
        <f>$A29 - SUMPRODUCT(($AG$3:$AG$31&lt;$A29)*(($AG$3:$AG$31/$A29)^W$2))</f>
        <v/>
      </c>
      <c r="X29" s="264">
        <f>$A29 - SUMPRODUCT(($AG$3:$AG$31&lt;$A29)*(($AG$3:$AG$31/$A29)^X$2))</f>
        <v/>
      </c>
      <c r="Y29" s="264">
        <f>$A29 - SUMPRODUCT(($AG$3:$AG$31&lt;$A29)*(($AG$3:$AG$31/$A29)^Y$2))</f>
        <v/>
      </c>
      <c r="Z29" s="264">
        <f>$A29 - SUMPRODUCT(($AG$3:$AG$31&lt;$A29)*(($AG$3:$AG$31/$A29)^Z$2))</f>
        <v/>
      </c>
      <c r="AA29" s="264">
        <f>$A29 - SUMPRODUCT(($AG$3:$AG$31&lt;$A29)*(($AG$3:$AG$31/$A29)^AA$2))</f>
        <v/>
      </c>
      <c r="AB29" s="264">
        <f>$A29 - SUMPRODUCT(($AG$3:$AG$31&lt;$A29)*(($AG$3:$AG$31/$A29)^AB$2))</f>
        <v/>
      </c>
      <c r="AC29" s="264">
        <f>$A29 - SUMPRODUCT(($AG$3:$AG$31&lt;$A29)*(($AG$3:$AG$31/$A29)^AC$2))</f>
        <v/>
      </c>
      <c r="AD29" s="264">
        <f>$A29 - SUMPRODUCT(($AG$3:$AG$31&lt;$A29)*(($AG$3:$AG$31/$A29)^AD$2))</f>
        <v/>
      </c>
      <c r="AE29" s="253" t="n"/>
      <c r="AF29" s="253" t="n"/>
      <c r="AG29" s="253" t="n">
        <v>27</v>
      </c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$A30 - SUMPRODUCT(($AG$3:$AG$31&lt;$A30)*(($AG$3:$AG$31/$A30)^B$2))</f>
        <v/>
      </c>
      <c r="C30" s="263">
        <f>$A30 - SUMPRODUCT(($AG$3:$AG$31&lt;$A30)*(($AG$3:$AG$31/$A30)^C$2))</f>
        <v/>
      </c>
      <c r="D30" s="263">
        <f>$A30 - SUMPRODUCT(($AG$3:$AG$31&lt;$A30)*(($AG$3:$AG$31/$A30)^D$2))</f>
        <v/>
      </c>
      <c r="E30" s="263">
        <f>$A30 - SUMPRODUCT(($AG$3:$AG$31&lt;$A30)*(($AG$3:$AG$31/$A30)^E$2))</f>
        <v/>
      </c>
      <c r="F30" s="263">
        <f>$A30 - SUMPRODUCT(($AG$3:$AG$31&lt;$A30)*(($AG$3:$AG$31/$A30)^F$2))</f>
        <v/>
      </c>
      <c r="G30" s="263">
        <f>$A30 - SUMPRODUCT(($AG$3:$AG$31&lt;$A30)*(($AG$3:$AG$31/$A30)^G$2))</f>
        <v/>
      </c>
      <c r="H30" s="263">
        <f>$A30 - SUMPRODUCT(($AG$3:$AG$31&lt;$A30)*(($AG$3:$AG$31/$A30)^H$2))</f>
        <v/>
      </c>
      <c r="I30" s="263">
        <f>$A30 - SUMPRODUCT(($AG$3:$AG$31&lt;$A30)*(($AG$3:$AG$31/$A30)^I$2))</f>
        <v/>
      </c>
      <c r="J30" s="263">
        <f>$A30 - SUMPRODUCT(($AG$3:$AG$31&lt;$A30)*(($AG$3:$AG$31/$A30)^J$2))</f>
        <v/>
      </c>
      <c r="K30" s="263">
        <f>$A30 - SUMPRODUCT(($AG$3:$AG$31&lt;$A30)*(($AG$3:$AG$31/$A30)^K$2))</f>
        <v/>
      </c>
      <c r="L30" s="263">
        <f>$A30 - SUMPRODUCT(($AG$3:$AG$31&lt;$A30)*(($AG$3:$AG$31/$A30)^L$2))</f>
        <v/>
      </c>
      <c r="M30" s="263">
        <f>$A30 - SUMPRODUCT(($AG$3:$AG$31&lt;$A30)*(($AG$3:$AG$31/$A30)^M$2))</f>
        <v/>
      </c>
      <c r="N30" s="263">
        <f>$A30 - SUMPRODUCT(($AG$3:$AG$31&lt;$A30)*(($AG$3:$AG$31/$A30)^N$2))</f>
        <v/>
      </c>
      <c r="O30" s="263">
        <f>$A30 - SUMPRODUCT(($AG$3:$AG$31&lt;$A30)*(($AG$3:$AG$31/$A30)^O$2))</f>
        <v/>
      </c>
      <c r="P30" s="263">
        <f>$A30 - SUMPRODUCT(($AG$3:$AG$31&lt;$A30)*(($AG$3:$AG$31/$A30)^P$2))</f>
        <v/>
      </c>
      <c r="Q30" s="263">
        <f>$A30 - SUMPRODUCT(($AG$3:$AG$31&lt;$A30)*(($AG$3:$AG$31/$A30)^Q$2))</f>
        <v/>
      </c>
      <c r="R30" s="263">
        <f>$A30 - SUMPRODUCT(($AG$3:$AG$31&lt;$A30)*(($AG$3:$AG$31/$A30)^R$2))</f>
        <v/>
      </c>
      <c r="S30" s="264">
        <f>$A30 - SUMPRODUCT(($AG$3:$AG$31&lt;$A30)*(($AG$3:$AG$31/$A30)^S$2))</f>
        <v/>
      </c>
      <c r="T30" s="264">
        <f>$A30 - SUMPRODUCT(($AG$3:$AG$31&lt;$A30)*(($AG$3:$AG$31/$A30)^T$2))</f>
        <v/>
      </c>
      <c r="U30" s="264">
        <f>$A30 - SUMPRODUCT(($AG$3:$AG$31&lt;$A30)*(($AG$3:$AG$31/$A30)^U$2))</f>
        <v/>
      </c>
      <c r="V30" s="264">
        <f>$A30 - SUMPRODUCT(($AG$3:$AG$31&lt;$A30)*(($AG$3:$AG$31/$A30)^V$2))</f>
        <v/>
      </c>
      <c r="W30" s="264">
        <f>$A30 - SUMPRODUCT(($AG$3:$AG$31&lt;$A30)*(($AG$3:$AG$31/$A30)^W$2))</f>
        <v/>
      </c>
      <c r="X30" s="264">
        <f>$A30 - SUMPRODUCT(($AG$3:$AG$31&lt;$A30)*(($AG$3:$AG$31/$A30)^X$2))</f>
        <v/>
      </c>
      <c r="Y30" s="264">
        <f>$A30 - SUMPRODUCT(($AG$3:$AG$31&lt;$A30)*(($AG$3:$AG$31/$A30)^Y$2))</f>
        <v/>
      </c>
      <c r="Z30" s="264">
        <f>$A30 - SUMPRODUCT(($AG$3:$AG$31&lt;$A30)*(($AG$3:$AG$31/$A30)^Z$2))</f>
        <v/>
      </c>
      <c r="AA30" s="264">
        <f>$A30 - SUMPRODUCT(($AG$3:$AG$31&lt;$A30)*(($AG$3:$AG$31/$A30)^AA$2))</f>
        <v/>
      </c>
      <c r="AB30" s="264">
        <f>$A30 - SUMPRODUCT(($AG$3:$AG$31&lt;$A30)*(($AG$3:$AG$31/$A30)^AB$2))</f>
        <v/>
      </c>
      <c r="AC30" s="264">
        <f>$A30 - SUMPRODUCT(($AG$3:$AG$31&lt;$A30)*(($AG$3:$AG$31/$A30)^AC$2))</f>
        <v/>
      </c>
      <c r="AD30" s="264">
        <f>$A30 - SUMPRODUCT(($AG$3:$AG$31&lt;$A30)*(($AG$3:$AG$31/$A30)^AD$2))</f>
        <v/>
      </c>
      <c r="AE30" s="253" t="n"/>
      <c r="AF30" s="253" t="n"/>
      <c r="AG30" s="253" t="n">
        <v>28</v>
      </c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$A31 - SUMPRODUCT(($AG$3:$AG$31&lt;$A31)*(($AG$3:$AG$31/$A31)^B$2))</f>
        <v/>
      </c>
      <c r="C31" s="263">
        <f>$A31 - SUMPRODUCT(($AG$3:$AG$31&lt;$A31)*(($AG$3:$AG$31/$A31)^C$2))</f>
        <v/>
      </c>
      <c r="D31" s="263">
        <f>$A31 - SUMPRODUCT(($AG$3:$AG$31&lt;$A31)*(($AG$3:$AG$31/$A31)^D$2))</f>
        <v/>
      </c>
      <c r="E31" s="263">
        <f>$A31 - SUMPRODUCT(($AG$3:$AG$31&lt;$A31)*(($AG$3:$AG$31/$A31)^E$2))</f>
        <v/>
      </c>
      <c r="F31" s="263">
        <f>$A31 - SUMPRODUCT(($AG$3:$AG$31&lt;$A31)*(($AG$3:$AG$31/$A31)^F$2))</f>
        <v/>
      </c>
      <c r="G31" s="263">
        <f>$A31 - SUMPRODUCT(($AG$3:$AG$31&lt;$A31)*(($AG$3:$AG$31/$A31)^G$2))</f>
        <v/>
      </c>
      <c r="H31" s="263">
        <f>$A31 - SUMPRODUCT(($AG$3:$AG$31&lt;$A31)*(($AG$3:$AG$31/$A31)^H$2))</f>
        <v/>
      </c>
      <c r="I31" s="263">
        <f>$A31 - SUMPRODUCT(($AG$3:$AG$31&lt;$A31)*(($AG$3:$AG$31/$A31)^I$2))</f>
        <v/>
      </c>
      <c r="J31" s="263">
        <f>$A31 - SUMPRODUCT(($AG$3:$AG$31&lt;$A31)*(($AG$3:$AG$31/$A31)^J$2))</f>
        <v/>
      </c>
      <c r="K31" s="263">
        <f>$A31 - SUMPRODUCT(($AG$3:$AG$31&lt;$A31)*(($AG$3:$AG$31/$A31)^K$2))</f>
        <v/>
      </c>
      <c r="L31" s="263">
        <f>$A31 - SUMPRODUCT(($AG$3:$AG$31&lt;$A31)*(($AG$3:$AG$31/$A31)^L$2))</f>
        <v/>
      </c>
      <c r="M31" s="263">
        <f>$A31 - SUMPRODUCT(($AG$3:$AG$31&lt;$A31)*(($AG$3:$AG$31/$A31)^M$2))</f>
        <v/>
      </c>
      <c r="N31" s="263">
        <f>$A31 - SUMPRODUCT(($AG$3:$AG$31&lt;$A31)*(($AG$3:$AG$31/$A31)^N$2))</f>
        <v/>
      </c>
      <c r="O31" s="263">
        <f>$A31 - SUMPRODUCT(($AG$3:$AG$31&lt;$A31)*(($AG$3:$AG$31/$A31)^O$2))</f>
        <v/>
      </c>
      <c r="P31" s="263">
        <f>$A31 - SUMPRODUCT(($AG$3:$AG$31&lt;$A31)*(($AG$3:$AG$31/$A31)^P$2))</f>
        <v/>
      </c>
      <c r="Q31" s="263">
        <f>$A31 - SUMPRODUCT(($AG$3:$AG$31&lt;$A31)*(($AG$3:$AG$31/$A31)^Q$2))</f>
        <v/>
      </c>
      <c r="R31" s="263">
        <f>$A31 - SUMPRODUCT(($AG$3:$AG$31&lt;$A31)*(($AG$3:$AG$31/$A31)^R$2))</f>
        <v/>
      </c>
      <c r="S31" s="264">
        <f>$A31 - SUMPRODUCT(($AG$3:$AG$31&lt;$A31)*(($AG$3:$AG$31/$A31)^S$2))</f>
        <v/>
      </c>
      <c r="T31" s="264">
        <f>$A31 - SUMPRODUCT(($AG$3:$AG$31&lt;$A31)*(($AG$3:$AG$31/$A31)^T$2))</f>
        <v/>
      </c>
      <c r="U31" s="264">
        <f>$A31 - SUMPRODUCT(($AG$3:$AG$31&lt;$A31)*(($AG$3:$AG$31/$A31)^U$2))</f>
        <v/>
      </c>
      <c r="V31" s="264">
        <f>$A31 - SUMPRODUCT(($AG$3:$AG$31&lt;$A31)*(($AG$3:$AG$31/$A31)^V$2))</f>
        <v/>
      </c>
      <c r="W31" s="264">
        <f>$A31 - SUMPRODUCT(($AG$3:$AG$31&lt;$A31)*(($AG$3:$AG$31/$A31)^W$2))</f>
        <v/>
      </c>
      <c r="X31" s="264">
        <f>$A31 - SUMPRODUCT(($AG$3:$AG$31&lt;$A31)*(($AG$3:$AG$31/$A31)^X$2))</f>
        <v/>
      </c>
      <c r="Y31" s="264">
        <f>$A31 - SUMPRODUCT(($AG$3:$AG$31&lt;$A31)*(($AG$3:$AG$31/$A31)^Y$2))</f>
        <v/>
      </c>
      <c r="Z31" s="264">
        <f>$A31 - SUMPRODUCT(($AG$3:$AG$31&lt;$A31)*(($AG$3:$AG$31/$A31)^Z$2))</f>
        <v/>
      </c>
      <c r="AA31" s="264">
        <f>$A31 - SUMPRODUCT(($AG$3:$AG$31&lt;$A31)*(($AG$3:$AG$31/$A31)^AA$2))</f>
        <v/>
      </c>
      <c r="AB31" s="264">
        <f>$A31 - SUMPRODUCT(($AG$3:$AG$31&lt;$A31)*(($AG$3:$AG$31/$A31)^AB$2))</f>
        <v/>
      </c>
      <c r="AC31" s="264">
        <f>$A31 - SUMPRODUCT(($AG$3:$AG$31&lt;$A31)*(($AG$3:$AG$31/$A31)^AC$2))</f>
        <v/>
      </c>
      <c r="AD31" s="264">
        <f>$A31 - SUMPRODUCT(($AG$3:$AG$31&lt;$A31)*(($AG$3:$AG$31/$A31)^AD$2))</f>
        <v/>
      </c>
      <c r="AE31" s="253" t="n"/>
      <c r="AF31" s="253" t="n"/>
      <c r="AG31" s="253" t="n">
        <v>29</v>
      </c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$A32 - SUMPRODUCT(($AG$3:$AG$31&lt;$A32)*(($AG$3:$AG$31/$A32)^B$2))</f>
        <v/>
      </c>
      <c r="C32" s="263">
        <f>$A32 - SUMPRODUCT(($AG$3:$AG$31&lt;$A32)*(($AG$3:$AG$31/$A32)^C$2))</f>
        <v/>
      </c>
      <c r="D32" s="263">
        <f>$A32 - SUMPRODUCT(($AG$3:$AG$31&lt;$A32)*(($AG$3:$AG$31/$A32)^D$2))</f>
        <v/>
      </c>
      <c r="E32" s="263">
        <f>$A32 - SUMPRODUCT(($AG$3:$AG$31&lt;$A32)*(($AG$3:$AG$31/$A32)^E$2))</f>
        <v/>
      </c>
      <c r="F32" s="263">
        <f>$A32 - SUMPRODUCT(($AG$3:$AG$31&lt;$A32)*(($AG$3:$AG$31/$A32)^F$2))</f>
        <v/>
      </c>
      <c r="G32" s="263">
        <f>$A32 - SUMPRODUCT(($AG$3:$AG$31&lt;$A32)*(($AG$3:$AG$31/$A32)^G$2))</f>
        <v/>
      </c>
      <c r="H32" s="263">
        <f>$A32 - SUMPRODUCT(($AG$3:$AG$31&lt;$A32)*(($AG$3:$AG$31/$A32)^H$2))</f>
        <v/>
      </c>
      <c r="I32" s="263">
        <f>$A32 - SUMPRODUCT(($AG$3:$AG$31&lt;$A32)*(($AG$3:$AG$31/$A32)^I$2))</f>
        <v/>
      </c>
      <c r="J32" s="263">
        <f>$A32 - SUMPRODUCT(($AG$3:$AG$31&lt;$A32)*(($AG$3:$AG$31/$A32)^J$2))</f>
        <v/>
      </c>
      <c r="K32" s="263">
        <f>$A32 - SUMPRODUCT(($AG$3:$AG$31&lt;$A32)*(($AG$3:$AG$31/$A32)^K$2))</f>
        <v/>
      </c>
      <c r="L32" s="263">
        <f>$A32 - SUMPRODUCT(($AG$3:$AG$31&lt;$A32)*(($AG$3:$AG$31/$A32)^L$2))</f>
        <v/>
      </c>
      <c r="M32" s="263">
        <f>$A32 - SUMPRODUCT(($AG$3:$AG$31&lt;$A32)*(($AG$3:$AG$31/$A32)^M$2))</f>
        <v/>
      </c>
      <c r="N32" s="263">
        <f>$A32 - SUMPRODUCT(($AG$3:$AG$31&lt;$A32)*(($AG$3:$AG$31/$A32)^N$2))</f>
        <v/>
      </c>
      <c r="O32" s="263">
        <f>$A32 - SUMPRODUCT(($AG$3:$AG$31&lt;$A32)*(($AG$3:$AG$31/$A32)^O$2))</f>
        <v/>
      </c>
      <c r="P32" s="263">
        <f>$A32 - SUMPRODUCT(($AG$3:$AG$31&lt;$A32)*(($AG$3:$AG$31/$A32)^P$2))</f>
        <v/>
      </c>
      <c r="Q32" s="263">
        <f>$A32 - SUMPRODUCT(($AG$3:$AG$31&lt;$A32)*(($AG$3:$AG$31/$A32)^Q$2))</f>
        <v/>
      </c>
      <c r="R32" s="263">
        <f>$A32 - SUMPRODUCT(($AG$3:$AG$31&lt;$A32)*(($AG$3:$AG$31/$A32)^R$2))</f>
        <v/>
      </c>
      <c r="S32" s="264">
        <f>$A32 - SUMPRODUCT(($AG$3:$AG$31&lt;$A32)*(($AG$3:$AG$31/$A32)^S$2))</f>
        <v/>
      </c>
      <c r="T32" s="264">
        <f>$A32 - SUMPRODUCT(($AG$3:$AG$31&lt;$A32)*(($AG$3:$AG$31/$A32)^T$2))</f>
        <v/>
      </c>
      <c r="U32" s="264">
        <f>$A32 - SUMPRODUCT(($AG$3:$AG$31&lt;$A32)*(($AG$3:$AG$31/$A32)^U$2))</f>
        <v/>
      </c>
      <c r="V32" s="264">
        <f>$A32 - SUMPRODUCT(($AG$3:$AG$31&lt;$A32)*(($AG$3:$AG$31/$A32)^V$2))</f>
        <v/>
      </c>
      <c r="W32" s="264">
        <f>$A32 - SUMPRODUCT(($AG$3:$AG$31&lt;$A32)*(($AG$3:$AG$31/$A32)^W$2))</f>
        <v/>
      </c>
      <c r="X32" s="264">
        <f>$A32 - SUMPRODUCT(($AG$3:$AG$31&lt;$A32)*(($AG$3:$AG$31/$A32)^X$2))</f>
        <v/>
      </c>
      <c r="Y32" s="264">
        <f>$A32 - SUMPRODUCT(($AG$3:$AG$31&lt;$A32)*(($AG$3:$AG$31/$A32)^Y$2))</f>
        <v/>
      </c>
      <c r="Z32" s="264">
        <f>$A32 - SUMPRODUCT(($AG$3:$AG$31&lt;$A32)*(($AG$3:$AG$31/$A32)^Z$2))</f>
        <v/>
      </c>
      <c r="AA32" s="264">
        <f>$A32 - SUMPRODUCT(($AG$3:$AG$31&lt;$A32)*(($AG$3:$AG$31/$A32)^AA$2))</f>
        <v/>
      </c>
      <c r="AB32" s="264">
        <f>$A32 - SUMPRODUCT(($AG$3:$AG$31&lt;$A32)*(($AG$3:$AG$31/$A32)^AB$2))</f>
        <v/>
      </c>
      <c r="AC32" s="264">
        <f>$A32 - SUMPRODUCT(($AG$3:$AG$31&lt;$A32)*(($AG$3:$AG$31/$A32)^AC$2))</f>
        <v/>
      </c>
      <c r="AD32" s="264">
        <f>$A32 - SUMPRODUCT(($AG$3:$AG$31&lt;$A32)*(($AG$3:$AG$31/$A32)^AD$2))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TABLO-3 ORTALAMA EN YÜKSEK DÖNÜŞ KATI  —  H = N − Σ(i/N)^P ,  i=1..N-1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s.14 (Tablo-3,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9" customWidth="1" style="136" min="2" max="7"/>
    <col hidden="1" width="9" customWidth="1" style="136" min="9" max="14"/>
  </cols>
  <sheetData>
    <row r="1" ht="18" customHeight="1" s="138">
      <c r="A1" s="266" t="n"/>
      <c r="B1" s="267" t="inlineStr">
        <is>
          <t>Kapı Tipi</t>
        </is>
      </c>
      <c r="C1" s="140" t="n"/>
      <c r="D1" s="140" t="n"/>
      <c r="E1" s="140" t="n"/>
      <c r="F1" s="140" t="n"/>
      <c r="G1" s="141" t="n"/>
    </row>
    <row r="2" ht="25.5" customHeight="1" s="138">
      <c r="A2" s="267" t="inlineStr">
        <is>
          <t>Kapı Genişliği (mm)</t>
        </is>
      </c>
      <c r="B2" s="267" t="inlineStr">
        <is>
          <t>Teleskopik Otomatik</t>
        </is>
      </c>
      <c r="C2" s="141" t="n"/>
      <c r="D2" s="267" t="inlineStr">
        <is>
          <t>Merkezden Açılan Oto.</t>
        </is>
      </c>
      <c r="E2" s="141" t="n"/>
      <c r="F2" s="267" t="inlineStr">
        <is>
          <t>Kabin İçi Oto. Kat K.Ç.</t>
        </is>
      </c>
      <c r="G2" s="141" t="n"/>
    </row>
    <row r="3" ht="15.75" customHeight="1" s="138">
      <c r="A3" s="268" t="n"/>
      <c r="B3" s="269" t="inlineStr">
        <is>
          <t>ta[s]</t>
        </is>
      </c>
      <c r="C3" s="269" t="inlineStr">
        <is>
          <t>tk[s]</t>
        </is>
      </c>
      <c r="D3" s="269" t="inlineStr">
        <is>
          <t>ta[s]</t>
        </is>
      </c>
      <c r="E3" s="269" t="inlineStr">
        <is>
          <t>tk[s]</t>
        </is>
      </c>
      <c r="F3" s="269" t="inlineStr">
        <is>
          <t>ta[s]</t>
        </is>
      </c>
      <c r="G3" s="269" t="inlineStr">
        <is>
          <t>tk[s]</t>
        </is>
      </c>
      <c r="I3" s="136" t="inlineStr">
        <is>
          <t>ta_num</t>
        </is>
      </c>
      <c r="J3" s="136" t="inlineStr">
        <is>
          <t>tk_num</t>
        </is>
      </c>
      <c r="K3" s="136" t="inlineStr">
        <is>
          <t>ta_num</t>
        </is>
      </c>
      <c r="L3" s="136" t="inlineStr">
        <is>
          <t>tk_num</t>
        </is>
      </c>
      <c r="M3" s="136" t="inlineStr">
        <is>
          <t>ta_num</t>
        </is>
      </c>
      <c r="N3" s="136" t="inlineStr">
        <is>
          <t>tk_num</t>
        </is>
      </c>
    </row>
    <row r="4" ht="15" customHeight="1" s="138">
      <c r="A4" s="266" t="n">
        <v>700</v>
      </c>
      <c r="B4" s="266" t="inlineStr">
        <is>
          <t>2,5</t>
        </is>
      </c>
      <c r="C4" s="266" t="inlineStr">
        <is>
          <t>3</t>
        </is>
      </c>
      <c r="D4" s="266" t="inlineStr">
        <is>
          <t>2</t>
        </is>
      </c>
      <c r="E4" s="266" t="inlineStr">
        <is>
          <t>2,5</t>
        </is>
      </c>
      <c r="F4" s="266" t="inlineStr">
        <is>
          <t>5</t>
        </is>
      </c>
      <c r="G4" s="266" t="inlineStr">
        <is>
          <t>5</t>
        </is>
      </c>
      <c r="I4" s="136" t="n">
        <v>2.5</v>
      </c>
      <c r="J4" s="136" t="n">
        <v>3</v>
      </c>
      <c r="K4" s="136" t="n">
        <v>2</v>
      </c>
      <c r="L4" s="136" t="n">
        <v>2.5</v>
      </c>
      <c r="M4" s="136" t="n">
        <v>5</v>
      </c>
      <c r="N4" s="136" t="n">
        <v>5</v>
      </c>
    </row>
    <row r="5" ht="15" customHeight="1" s="138">
      <c r="A5" s="266" t="n">
        <v>800</v>
      </c>
      <c r="B5" s="266" t="inlineStr">
        <is>
          <t>2,5</t>
        </is>
      </c>
      <c r="C5" s="266" t="inlineStr">
        <is>
          <t>3</t>
        </is>
      </c>
      <c r="D5" s="266" t="inlineStr">
        <is>
          <t>2</t>
        </is>
      </c>
      <c r="E5" s="266" t="inlineStr">
        <is>
          <t>2,5</t>
        </is>
      </c>
      <c r="F5" s="266" t="inlineStr">
        <is>
          <t>5</t>
        </is>
      </c>
      <c r="G5" s="266" t="inlineStr">
        <is>
          <t>5</t>
        </is>
      </c>
      <c r="I5" s="136" t="n">
        <v>2.5</v>
      </c>
      <c r="J5" s="136" t="n">
        <v>3</v>
      </c>
      <c r="K5" s="136" t="n">
        <v>2</v>
      </c>
      <c r="L5" s="136" t="n">
        <v>2.5</v>
      </c>
      <c r="M5" s="136" t="n">
        <v>5</v>
      </c>
      <c r="N5" s="136" t="n">
        <v>5</v>
      </c>
    </row>
    <row r="6" ht="15" customHeight="1" s="138">
      <c r="A6" s="266" t="n">
        <v>900</v>
      </c>
      <c r="B6" s="266" t="inlineStr">
        <is>
          <t>2,5</t>
        </is>
      </c>
      <c r="C6" s="266" t="inlineStr">
        <is>
          <t>3,8</t>
        </is>
      </c>
      <c r="D6" s="266" t="inlineStr">
        <is>
          <t>2,3</t>
        </is>
      </c>
      <c r="E6" s="266" t="inlineStr">
        <is>
          <t>2,9</t>
        </is>
      </c>
      <c r="F6" s="266" t="inlineStr">
        <is>
          <t>5</t>
        </is>
      </c>
      <c r="G6" s="266" t="inlineStr">
        <is>
          <t>5</t>
        </is>
      </c>
      <c r="I6" s="136" t="n">
        <v>2.5</v>
      </c>
      <c r="J6" s="136" t="n">
        <v>3.8</v>
      </c>
      <c r="K6" s="136" t="n">
        <v>2.3</v>
      </c>
      <c r="L6" s="136" t="n">
        <v>2.9</v>
      </c>
      <c r="M6" s="136" t="n">
        <v>5</v>
      </c>
      <c r="N6" s="136" t="n">
        <v>5</v>
      </c>
    </row>
    <row r="7" ht="15" customHeight="1" s="138">
      <c r="A7" s="266" t="n">
        <v>1000</v>
      </c>
      <c r="B7" s="266" t="inlineStr">
        <is>
          <t>2,75</t>
        </is>
      </c>
      <c r="C7" s="266" t="inlineStr">
        <is>
          <t>3,9</t>
        </is>
      </c>
      <c r="D7" s="266" t="inlineStr">
        <is>
          <t>2,4</t>
        </is>
      </c>
      <c r="E7" s="266" t="inlineStr">
        <is>
          <t>3,2</t>
        </is>
      </c>
      <c r="F7" s="266" t="inlineStr">
        <is>
          <t>5,5</t>
        </is>
      </c>
      <c r="G7" s="266" t="inlineStr">
        <is>
          <t>5,5</t>
        </is>
      </c>
      <c r="I7" s="136" t="n">
        <v>2.75</v>
      </c>
      <c r="J7" s="136" t="n">
        <v>3.9</v>
      </c>
      <c r="K7" s="136" t="n">
        <v>2.4</v>
      </c>
      <c r="L7" s="136" t="n">
        <v>3.2</v>
      </c>
      <c r="M7" s="136" t="n">
        <v>5.5</v>
      </c>
      <c r="N7" s="136" t="n">
        <v>5.5</v>
      </c>
    </row>
    <row r="8" ht="15" customHeight="1" s="138">
      <c r="A8" s="266" t="n">
        <v>1100</v>
      </c>
      <c r="B8" s="266" t="inlineStr">
        <is>
          <t>3</t>
        </is>
      </c>
      <c r="C8" s="266" t="inlineStr">
        <is>
          <t>4</t>
        </is>
      </c>
      <c r="D8" s="266" t="inlineStr">
        <is>
          <t>2,5</t>
        </is>
      </c>
      <c r="E8" s="266" t="inlineStr">
        <is>
          <t>3,5</t>
        </is>
      </c>
      <c r="F8" s="266" t="inlineStr">
        <is>
          <t>6</t>
        </is>
      </c>
      <c r="G8" s="266" t="inlineStr">
        <is>
          <t>6</t>
        </is>
      </c>
      <c r="I8" s="136" t="n">
        <v>3</v>
      </c>
      <c r="J8" s="136" t="n">
        <v>4</v>
      </c>
      <c r="K8" s="136" t="n">
        <v>2.5</v>
      </c>
      <c r="L8" s="136" t="n">
        <v>3.5</v>
      </c>
      <c r="M8" s="136" t="n">
        <v>6</v>
      </c>
      <c r="N8" s="136" t="n">
        <v>6</v>
      </c>
    </row>
    <row r="9" ht="15" customHeight="1" s="138">
      <c r="A9" s="266" t="n">
        <v>1200</v>
      </c>
      <c r="B9" s="266" t="inlineStr">
        <is>
          <t>3,35</t>
        </is>
      </c>
      <c r="C9" s="266" t="inlineStr">
        <is>
          <t>4,5</t>
        </is>
      </c>
      <c r="D9" s="266" t="inlineStr">
        <is>
          <t>2,6</t>
        </is>
      </c>
      <c r="E9" s="266" t="inlineStr">
        <is>
          <t>3,6</t>
        </is>
      </c>
      <c r="F9" s="266" t="inlineStr">
        <is>
          <t>YOK</t>
        </is>
      </c>
      <c r="G9" s="266" t="inlineStr">
        <is>
          <t>YOK</t>
        </is>
      </c>
      <c r="I9" s="136" t="n">
        <v>3.35</v>
      </c>
      <c r="J9" s="136" t="n">
        <v>4.5</v>
      </c>
      <c r="K9" s="136" t="n">
        <v>2.6</v>
      </c>
      <c r="L9" s="136" t="n">
        <v>3.6</v>
      </c>
      <c r="M9" s="136" t="inlineStr">
        <is>
          <t>YOK</t>
        </is>
      </c>
      <c r="N9" s="136" t="inlineStr">
        <is>
          <t>YOK</t>
        </is>
      </c>
    </row>
    <row r="10" ht="15" customHeight="1" s="138">
      <c r="A10" s="266" t="n">
        <v>1300</v>
      </c>
      <c r="B10" s="266" t="inlineStr">
        <is>
          <t>3,7</t>
        </is>
      </c>
      <c r="C10" s="266" t="inlineStr">
        <is>
          <t>5</t>
        </is>
      </c>
      <c r="D10" s="266" t="inlineStr">
        <is>
          <t>2,7</t>
        </is>
      </c>
      <c r="E10" s="266" t="inlineStr">
        <is>
          <t>3,7</t>
        </is>
      </c>
      <c r="F10" s="266" t="inlineStr">
        <is>
          <t>YOK</t>
        </is>
      </c>
      <c r="G10" s="266" t="inlineStr">
        <is>
          <t>YOK</t>
        </is>
      </c>
      <c r="I10" s="136" t="n">
        <v>3.7</v>
      </c>
      <c r="J10" s="136" t="n">
        <v>5</v>
      </c>
      <c r="K10" s="136" t="n">
        <v>2.7</v>
      </c>
      <c r="L10" s="136" t="n">
        <v>3.7</v>
      </c>
      <c r="M10" s="136" t="inlineStr">
        <is>
          <t>YOK</t>
        </is>
      </c>
      <c r="N10" s="136" t="inlineStr">
        <is>
          <t>YOK</t>
        </is>
      </c>
    </row>
    <row r="11" ht="104" customHeight="1" s="138">
      <c r="A11" s="285" t="inlineStr">
        <is>
          <t>Tablo –4 Kapı açılma ve kapanma zamanları  |  Kaynak: MMO/697, Ocak 2020, s.15 (kitapla birebir doğrulandı)   |   1000 ve 1200 mm satırları MMO/697 Tablo-4'te BASILI DEĞİLDİR; komşu satırlar arasında doğrusal enterpolasyonla türetilmiştir ( 1000 = (900+1100)/2 ,  1200 = (1100+1300)/2 ) — Tablo-6'daki 1,75 ve 3,00 m/s ara değerleriyle aynı yöntem. 'Kabin İçi Oto. Kat K.Ç.' sütunu 1300 mm'de tabloda bulunmadığından 1200 mm için de üretilememiştir; bu iki hücrede imalatçı değeri elle girilmelidir.</t>
        </is>
      </c>
      <c r="B11" s="140" t="n"/>
      <c r="C11" s="140" t="n"/>
      <c r="D11" s="140" t="n"/>
      <c r="E11" s="140" t="n"/>
      <c r="F11" s="140" t="n"/>
      <c r="G11" s="14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6">
    <mergeCell ref="F2:G2"/>
    <mergeCell ref="B2:C2"/>
    <mergeCell ref="D2:E2"/>
    <mergeCell ref="B1:G1"/>
    <mergeCell ref="A2:A3"/>
    <mergeCell ref="A11:G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1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253" t="n"/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$A3*(1-(($A3-1)/$A3)^B$2)</f>
        <v/>
      </c>
      <c r="C3" s="263">
        <f>$A3*(1-(($A3-1)/$A3)^C$2)</f>
        <v/>
      </c>
      <c r="D3" s="263">
        <f>$A3*(1-(($A3-1)/$A3)^D$2)</f>
        <v/>
      </c>
      <c r="E3" s="263">
        <f>$A3*(1-(($A3-1)/$A3)^E$2)</f>
        <v/>
      </c>
      <c r="F3" s="263">
        <f>$A3*(1-(($A3-1)/$A3)^F$2)</f>
        <v/>
      </c>
      <c r="G3" s="263">
        <f>$A3*(1-(($A3-1)/$A3)^G$2)</f>
        <v/>
      </c>
      <c r="H3" s="263">
        <f>$A3*(1-(($A3-1)/$A3)^H$2)</f>
        <v/>
      </c>
      <c r="I3" s="263">
        <f>$A3*(1-(($A3-1)/$A3)^I$2)</f>
        <v/>
      </c>
      <c r="J3" s="263">
        <f>$A3*(1-(($A3-1)/$A3)^J$2)</f>
        <v/>
      </c>
      <c r="K3" s="263">
        <f>$A3*(1-(($A3-1)/$A3)^K$2)</f>
        <v/>
      </c>
      <c r="L3" s="263">
        <f>$A3*(1-(($A3-1)/$A3)^L$2)</f>
        <v/>
      </c>
      <c r="M3" s="263">
        <f>$A3*(1-(($A3-1)/$A3)^M$2)</f>
        <v/>
      </c>
      <c r="N3" s="263">
        <f>$A3*(1-(($A3-1)/$A3)^N$2)</f>
        <v/>
      </c>
      <c r="O3" s="263">
        <f>$A3*(1-(($A3-1)/$A3)^O$2)</f>
        <v/>
      </c>
      <c r="P3" s="263">
        <f>$A3*(1-(($A3-1)/$A3)^P$2)</f>
        <v/>
      </c>
      <c r="Q3" s="263">
        <f>$A3*(1-(($A3-1)/$A3)^Q$2)</f>
        <v/>
      </c>
      <c r="R3" s="264">
        <f>$A3*(1-(($A3-1)/$A3)^R$2)</f>
        <v/>
      </c>
      <c r="S3" s="264">
        <f>$A3*(1-(($A3-1)/$A3)^S$2)</f>
        <v/>
      </c>
      <c r="T3" s="264">
        <f>$A3*(1-(($A3-1)/$A3)^T$2)</f>
        <v/>
      </c>
      <c r="U3" s="264">
        <f>$A3*(1-(($A3-1)/$A3)^U$2)</f>
        <v/>
      </c>
      <c r="V3" s="264">
        <f>$A3*(1-(($A3-1)/$A3)^V$2)</f>
        <v/>
      </c>
      <c r="W3" s="264">
        <f>$A3*(1-(($A3-1)/$A3)^W$2)</f>
        <v/>
      </c>
      <c r="X3" s="264">
        <f>$A3*(1-(($A3-1)/$A3)^X$2)</f>
        <v/>
      </c>
      <c r="Y3" s="264">
        <f>$A3*(1-(($A3-1)/$A3)^Y$2)</f>
        <v/>
      </c>
      <c r="Z3" s="264">
        <f>$A3*(1-(($A3-1)/$A3)^Z$2)</f>
        <v/>
      </c>
      <c r="AA3" s="264">
        <f>$A3*(1-(($A3-1)/$A3)^AA$2)</f>
        <v/>
      </c>
      <c r="AB3" s="264">
        <f>$A3*(1-(($A3-1)/$A3)^AB$2)</f>
        <v/>
      </c>
      <c r="AC3" s="264">
        <f>$A3*(1-(($A3-1)/$A3)^AC$2)</f>
        <v/>
      </c>
      <c r="AD3" s="264">
        <f>$A3*(1-(($A3-1)/$A3)^AD$2)</f>
        <v/>
      </c>
      <c r="AE3" s="253" t="n"/>
      <c r="AF3" s="253" t="n"/>
      <c r="AG3" s="253" t="n"/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$A4*(1-(($A4-1)/$A4)^B$2)</f>
        <v/>
      </c>
      <c r="C4" s="263">
        <f>$A4*(1-(($A4-1)/$A4)^C$2)</f>
        <v/>
      </c>
      <c r="D4" s="263">
        <f>$A4*(1-(($A4-1)/$A4)^D$2)</f>
        <v/>
      </c>
      <c r="E4" s="263">
        <f>$A4*(1-(($A4-1)/$A4)^E$2)</f>
        <v/>
      </c>
      <c r="F4" s="263">
        <f>$A4*(1-(($A4-1)/$A4)^F$2)</f>
        <v/>
      </c>
      <c r="G4" s="263">
        <f>$A4*(1-(($A4-1)/$A4)^G$2)</f>
        <v/>
      </c>
      <c r="H4" s="263">
        <f>$A4*(1-(($A4-1)/$A4)^H$2)</f>
        <v/>
      </c>
      <c r="I4" s="263">
        <f>$A4*(1-(($A4-1)/$A4)^I$2)</f>
        <v/>
      </c>
      <c r="J4" s="263">
        <f>$A4*(1-(($A4-1)/$A4)^J$2)</f>
        <v/>
      </c>
      <c r="K4" s="263">
        <f>$A4*(1-(($A4-1)/$A4)^K$2)</f>
        <v/>
      </c>
      <c r="L4" s="263">
        <f>$A4*(1-(($A4-1)/$A4)^L$2)</f>
        <v/>
      </c>
      <c r="M4" s="263">
        <f>$A4*(1-(($A4-1)/$A4)^M$2)</f>
        <v/>
      </c>
      <c r="N4" s="263">
        <f>$A4*(1-(($A4-1)/$A4)^N$2)</f>
        <v/>
      </c>
      <c r="O4" s="263">
        <f>$A4*(1-(($A4-1)/$A4)^O$2)</f>
        <v/>
      </c>
      <c r="P4" s="263">
        <f>$A4*(1-(($A4-1)/$A4)^P$2)</f>
        <v/>
      </c>
      <c r="Q4" s="263">
        <f>$A4*(1-(($A4-1)/$A4)^Q$2)</f>
        <v/>
      </c>
      <c r="R4" s="264">
        <f>$A4*(1-(($A4-1)/$A4)^R$2)</f>
        <v/>
      </c>
      <c r="S4" s="264">
        <f>$A4*(1-(($A4-1)/$A4)^S$2)</f>
        <v/>
      </c>
      <c r="T4" s="264">
        <f>$A4*(1-(($A4-1)/$A4)^T$2)</f>
        <v/>
      </c>
      <c r="U4" s="264">
        <f>$A4*(1-(($A4-1)/$A4)^U$2)</f>
        <v/>
      </c>
      <c r="V4" s="264">
        <f>$A4*(1-(($A4-1)/$A4)^V$2)</f>
        <v/>
      </c>
      <c r="W4" s="264">
        <f>$A4*(1-(($A4-1)/$A4)^W$2)</f>
        <v/>
      </c>
      <c r="X4" s="264">
        <f>$A4*(1-(($A4-1)/$A4)^X$2)</f>
        <v/>
      </c>
      <c r="Y4" s="264">
        <f>$A4*(1-(($A4-1)/$A4)^Y$2)</f>
        <v/>
      </c>
      <c r="Z4" s="264">
        <f>$A4*(1-(($A4-1)/$A4)^Z$2)</f>
        <v/>
      </c>
      <c r="AA4" s="264">
        <f>$A4*(1-(($A4-1)/$A4)^AA$2)</f>
        <v/>
      </c>
      <c r="AB4" s="264">
        <f>$A4*(1-(($A4-1)/$A4)^AB$2)</f>
        <v/>
      </c>
      <c r="AC4" s="264">
        <f>$A4*(1-(($A4-1)/$A4)^AC$2)</f>
        <v/>
      </c>
      <c r="AD4" s="264">
        <f>$A4*(1-(($A4-1)/$A4)^AD$2)</f>
        <v/>
      </c>
      <c r="AE4" s="253" t="n"/>
      <c r="AF4" s="253" t="n"/>
      <c r="AG4" s="253" t="n"/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$A5*(1-(($A5-1)/$A5)^B$2)</f>
        <v/>
      </c>
      <c r="C5" s="263">
        <f>$A5*(1-(($A5-1)/$A5)^C$2)</f>
        <v/>
      </c>
      <c r="D5" s="263">
        <f>$A5*(1-(($A5-1)/$A5)^D$2)</f>
        <v/>
      </c>
      <c r="E5" s="263">
        <f>$A5*(1-(($A5-1)/$A5)^E$2)</f>
        <v/>
      </c>
      <c r="F5" s="263">
        <f>$A5*(1-(($A5-1)/$A5)^F$2)</f>
        <v/>
      </c>
      <c r="G5" s="263">
        <f>$A5*(1-(($A5-1)/$A5)^G$2)</f>
        <v/>
      </c>
      <c r="H5" s="263">
        <f>$A5*(1-(($A5-1)/$A5)^H$2)</f>
        <v/>
      </c>
      <c r="I5" s="263">
        <f>$A5*(1-(($A5-1)/$A5)^I$2)</f>
        <v/>
      </c>
      <c r="J5" s="263">
        <f>$A5*(1-(($A5-1)/$A5)^J$2)</f>
        <v/>
      </c>
      <c r="K5" s="263">
        <f>$A5*(1-(($A5-1)/$A5)^K$2)</f>
        <v/>
      </c>
      <c r="L5" s="263">
        <f>$A5*(1-(($A5-1)/$A5)^L$2)</f>
        <v/>
      </c>
      <c r="M5" s="263">
        <f>$A5*(1-(($A5-1)/$A5)^M$2)</f>
        <v/>
      </c>
      <c r="N5" s="263">
        <f>$A5*(1-(($A5-1)/$A5)^N$2)</f>
        <v/>
      </c>
      <c r="O5" s="263">
        <f>$A5*(1-(($A5-1)/$A5)^O$2)</f>
        <v/>
      </c>
      <c r="P5" s="263">
        <f>$A5*(1-(($A5-1)/$A5)^P$2)</f>
        <v/>
      </c>
      <c r="Q5" s="263">
        <f>$A5*(1-(($A5-1)/$A5)^Q$2)</f>
        <v/>
      </c>
      <c r="R5" s="264">
        <f>$A5*(1-(($A5-1)/$A5)^R$2)</f>
        <v/>
      </c>
      <c r="S5" s="264">
        <f>$A5*(1-(($A5-1)/$A5)^S$2)</f>
        <v/>
      </c>
      <c r="T5" s="264">
        <f>$A5*(1-(($A5-1)/$A5)^T$2)</f>
        <v/>
      </c>
      <c r="U5" s="264">
        <f>$A5*(1-(($A5-1)/$A5)^U$2)</f>
        <v/>
      </c>
      <c r="V5" s="264">
        <f>$A5*(1-(($A5-1)/$A5)^V$2)</f>
        <v/>
      </c>
      <c r="W5" s="264">
        <f>$A5*(1-(($A5-1)/$A5)^W$2)</f>
        <v/>
      </c>
      <c r="X5" s="264">
        <f>$A5*(1-(($A5-1)/$A5)^X$2)</f>
        <v/>
      </c>
      <c r="Y5" s="264">
        <f>$A5*(1-(($A5-1)/$A5)^Y$2)</f>
        <v/>
      </c>
      <c r="Z5" s="264">
        <f>$A5*(1-(($A5-1)/$A5)^Z$2)</f>
        <v/>
      </c>
      <c r="AA5" s="264">
        <f>$A5*(1-(($A5-1)/$A5)^AA$2)</f>
        <v/>
      </c>
      <c r="AB5" s="264">
        <f>$A5*(1-(($A5-1)/$A5)^AB$2)</f>
        <v/>
      </c>
      <c r="AC5" s="264">
        <f>$A5*(1-(($A5-1)/$A5)^AC$2)</f>
        <v/>
      </c>
      <c r="AD5" s="264">
        <f>$A5*(1-(($A5-1)/$A5)^AD$2)</f>
        <v/>
      </c>
      <c r="AE5" s="253" t="n"/>
      <c r="AF5" s="253" t="n"/>
      <c r="AG5" s="253" t="n"/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$A6*(1-(($A6-1)/$A6)^B$2)</f>
        <v/>
      </c>
      <c r="C6" s="263">
        <f>$A6*(1-(($A6-1)/$A6)^C$2)</f>
        <v/>
      </c>
      <c r="D6" s="263">
        <f>$A6*(1-(($A6-1)/$A6)^D$2)</f>
        <v/>
      </c>
      <c r="E6" s="263">
        <f>$A6*(1-(($A6-1)/$A6)^E$2)</f>
        <v/>
      </c>
      <c r="F6" s="263">
        <f>$A6*(1-(($A6-1)/$A6)^F$2)</f>
        <v/>
      </c>
      <c r="G6" s="263">
        <f>$A6*(1-(($A6-1)/$A6)^G$2)</f>
        <v/>
      </c>
      <c r="H6" s="263">
        <f>$A6*(1-(($A6-1)/$A6)^H$2)</f>
        <v/>
      </c>
      <c r="I6" s="263">
        <f>$A6*(1-(($A6-1)/$A6)^I$2)</f>
        <v/>
      </c>
      <c r="J6" s="263">
        <f>$A6*(1-(($A6-1)/$A6)^J$2)</f>
        <v/>
      </c>
      <c r="K6" s="263">
        <f>$A6*(1-(($A6-1)/$A6)^K$2)</f>
        <v/>
      </c>
      <c r="L6" s="263">
        <f>$A6*(1-(($A6-1)/$A6)^L$2)</f>
        <v/>
      </c>
      <c r="M6" s="263">
        <f>$A6*(1-(($A6-1)/$A6)^M$2)</f>
        <v/>
      </c>
      <c r="N6" s="263">
        <f>$A6*(1-(($A6-1)/$A6)^N$2)</f>
        <v/>
      </c>
      <c r="O6" s="263">
        <f>$A6*(1-(($A6-1)/$A6)^O$2)</f>
        <v/>
      </c>
      <c r="P6" s="263">
        <f>$A6*(1-(($A6-1)/$A6)^P$2)</f>
        <v/>
      </c>
      <c r="Q6" s="263">
        <f>$A6*(1-(($A6-1)/$A6)^Q$2)</f>
        <v/>
      </c>
      <c r="R6" s="264">
        <f>$A6*(1-(($A6-1)/$A6)^R$2)</f>
        <v/>
      </c>
      <c r="S6" s="264">
        <f>$A6*(1-(($A6-1)/$A6)^S$2)</f>
        <v/>
      </c>
      <c r="T6" s="264">
        <f>$A6*(1-(($A6-1)/$A6)^T$2)</f>
        <v/>
      </c>
      <c r="U6" s="264">
        <f>$A6*(1-(($A6-1)/$A6)^U$2)</f>
        <v/>
      </c>
      <c r="V6" s="264">
        <f>$A6*(1-(($A6-1)/$A6)^V$2)</f>
        <v/>
      </c>
      <c r="W6" s="264">
        <f>$A6*(1-(($A6-1)/$A6)^W$2)</f>
        <v/>
      </c>
      <c r="X6" s="264">
        <f>$A6*(1-(($A6-1)/$A6)^X$2)</f>
        <v/>
      </c>
      <c r="Y6" s="264">
        <f>$A6*(1-(($A6-1)/$A6)^Y$2)</f>
        <v/>
      </c>
      <c r="Z6" s="264">
        <f>$A6*(1-(($A6-1)/$A6)^Z$2)</f>
        <v/>
      </c>
      <c r="AA6" s="264">
        <f>$A6*(1-(($A6-1)/$A6)^AA$2)</f>
        <v/>
      </c>
      <c r="AB6" s="264">
        <f>$A6*(1-(($A6-1)/$A6)^AB$2)</f>
        <v/>
      </c>
      <c r="AC6" s="264">
        <f>$A6*(1-(($A6-1)/$A6)^AC$2)</f>
        <v/>
      </c>
      <c r="AD6" s="264">
        <f>$A6*(1-(($A6-1)/$A6)^AD$2)</f>
        <v/>
      </c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$A7*(1-(($A7-1)/$A7)^B$2)</f>
        <v/>
      </c>
      <c r="C7" s="263">
        <f>$A7*(1-(($A7-1)/$A7)^C$2)</f>
        <v/>
      </c>
      <c r="D7" s="263">
        <f>$A7*(1-(($A7-1)/$A7)^D$2)</f>
        <v/>
      </c>
      <c r="E7" s="263">
        <f>$A7*(1-(($A7-1)/$A7)^E$2)</f>
        <v/>
      </c>
      <c r="F7" s="263">
        <f>$A7*(1-(($A7-1)/$A7)^F$2)</f>
        <v/>
      </c>
      <c r="G7" s="263">
        <f>$A7*(1-(($A7-1)/$A7)^G$2)</f>
        <v/>
      </c>
      <c r="H7" s="263">
        <f>$A7*(1-(($A7-1)/$A7)^H$2)</f>
        <v/>
      </c>
      <c r="I7" s="263">
        <f>$A7*(1-(($A7-1)/$A7)^I$2)</f>
        <v/>
      </c>
      <c r="J7" s="263">
        <f>$A7*(1-(($A7-1)/$A7)^J$2)</f>
        <v/>
      </c>
      <c r="K7" s="263">
        <f>$A7*(1-(($A7-1)/$A7)^K$2)</f>
        <v/>
      </c>
      <c r="L7" s="263">
        <f>$A7*(1-(($A7-1)/$A7)^L$2)</f>
        <v/>
      </c>
      <c r="M7" s="263">
        <f>$A7*(1-(($A7-1)/$A7)^M$2)</f>
        <v/>
      </c>
      <c r="N7" s="263">
        <f>$A7*(1-(($A7-1)/$A7)^N$2)</f>
        <v/>
      </c>
      <c r="O7" s="263">
        <f>$A7*(1-(($A7-1)/$A7)^O$2)</f>
        <v/>
      </c>
      <c r="P7" s="263">
        <f>$A7*(1-(($A7-1)/$A7)^P$2)</f>
        <v/>
      </c>
      <c r="Q7" s="263">
        <f>$A7*(1-(($A7-1)/$A7)^Q$2)</f>
        <v/>
      </c>
      <c r="R7" s="264">
        <f>$A7*(1-(($A7-1)/$A7)^R$2)</f>
        <v/>
      </c>
      <c r="S7" s="264">
        <f>$A7*(1-(($A7-1)/$A7)^S$2)</f>
        <v/>
      </c>
      <c r="T7" s="264">
        <f>$A7*(1-(($A7-1)/$A7)^T$2)</f>
        <v/>
      </c>
      <c r="U7" s="264">
        <f>$A7*(1-(($A7-1)/$A7)^U$2)</f>
        <v/>
      </c>
      <c r="V7" s="264">
        <f>$A7*(1-(($A7-1)/$A7)^V$2)</f>
        <v/>
      </c>
      <c r="W7" s="264">
        <f>$A7*(1-(($A7-1)/$A7)^W$2)</f>
        <v/>
      </c>
      <c r="X7" s="264">
        <f>$A7*(1-(($A7-1)/$A7)^X$2)</f>
        <v/>
      </c>
      <c r="Y7" s="264">
        <f>$A7*(1-(($A7-1)/$A7)^Y$2)</f>
        <v/>
      </c>
      <c r="Z7" s="264">
        <f>$A7*(1-(($A7-1)/$A7)^Z$2)</f>
        <v/>
      </c>
      <c r="AA7" s="264">
        <f>$A7*(1-(($A7-1)/$A7)^AA$2)</f>
        <v/>
      </c>
      <c r="AB7" s="264">
        <f>$A7*(1-(($A7-1)/$A7)^AB$2)</f>
        <v/>
      </c>
      <c r="AC7" s="264">
        <f>$A7*(1-(($A7-1)/$A7)^AC$2)</f>
        <v/>
      </c>
      <c r="AD7" s="264">
        <f>$A7*(1-(($A7-1)/$A7)^AD$2)</f>
        <v/>
      </c>
      <c r="AE7" s="253" t="n"/>
      <c r="AF7" s="253" t="n"/>
      <c r="AG7" s="253" t="n"/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$A8*(1-(($A8-1)/$A8)^B$2)</f>
        <v/>
      </c>
      <c r="C8" s="263">
        <f>$A8*(1-(($A8-1)/$A8)^C$2)</f>
        <v/>
      </c>
      <c r="D8" s="263">
        <f>$A8*(1-(($A8-1)/$A8)^D$2)</f>
        <v/>
      </c>
      <c r="E8" s="263">
        <f>$A8*(1-(($A8-1)/$A8)^E$2)</f>
        <v/>
      </c>
      <c r="F8" s="263">
        <f>$A8*(1-(($A8-1)/$A8)^F$2)</f>
        <v/>
      </c>
      <c r="G8" s="263">
        <f>$A8*(1-(($A8-1)/$A8)^G$2)</f>
        <v/>
      </c>
      <c r="H8" s="263">
        <f>$A8*(1-(($A8-1)/$A8)^H$2)</f>
        <v/>
      </c>
      <c r="I8" s="263">
        <f>$A8*(1-(($A8-1)/$A8)^I$2)</f>
        <v/>
      </c>
      <c r="J8" s="263">
        <f>$A8*(1-(($A8-1)/$A8)^J$2)</f>
        <v/>
      </c>
      <c r="K8" s="263">
        <f>$A8*(1-(($A8-1)/$A8)^K$2)</f>
        <v/>
      </c>
      <c r="L8" s="263">
        <f>$A8*(1-(($A8-1)/$A8)^L$2)</f>
        <v/>
      </c>
      <c r="M8" s="263">
        <f>$A8*(1-(($A8-1)/$A8)^M$2)</f>
        <v/>
      </c>
      <c r="N8" s="263">
        <f>$A8*(1-(($A8-1)/$A8)^N$2)</f>
        <v/>
      </c>
      <c r="O8" s="263">
        <f>$A8*(1-(($A8-1)/$A8)^O$2)</f>
        <v/>
      </c>
      <c r="P8" s="263">
        <f>$A8*(1-(($A8-1)/$A8)^P$2)</f>
        <v/>
      </c>
      <c r="Q8" s="263">
        <f>$A8*(1-(($A8-1)/$A8)^Q$2)</f>
        <v/>
      </c>
      <c r="R8" s="264">
        <f>$A8*(1-(($A8-1)/$A8)^R$2)</f>
        <v/>
      </c>
      <c r="S8" s="264">
        <f>$A8*(1-(($A8-1)/$A8)^S$2)</f>
        <v/>
      </c>
      <c r="T8" s="264">
        <f>$A8*(1-(($A8-1)/$A8)^T$2)</f>
        <v/>
      </c>
      <c r="U8" s="264">
        <f>$A8*(1-(($A8-1)/$A8)^U$2)</f>
        <v/>
      </c>
      <c r="V8" s="264">
        <f>$A8*(1-(($A8-1)/$A8)^V$2)</f>
        <v/>
      </c>
      <c r="W8" s="264">
        <f>$A8*(1-(($A8-1)/$A8)^W$2)</f>
        <v/>
      </c>
      <c r="X8" s="264">
        <f>$A8*(1-(($A8-1)/$A8)^X$2)</f>
        <v/>
      </c>
      <c r="Y8" s="264">
        <f>$A8*(1-(($A8-1)/$A8)^Y$2)</f>
        <v/>
      </c>
      <c r="Z8" s="264">
        <f>$A8*(1-(($A8-1)/$A8)^Z$2)</f>
        <v/>
      </c>
      <c r="AA8" s="264">
        <f>$A8*(1-(($A8-1)/$A8)^AA$2)</f>
        <v/>
      </c>
      <c r="AB8" s="264">
        <f>$A8*(1-(($A8-1)/$A8)^AB$2)</f>
        <v/>
      </c>
      <c r="AC8" s="264">
        <f>$A8*(1-(($A8-1)/$A8)^AC$2)</f>
        <v/>
      </c>
      <c r="AD8" s="264">
        <f>$A8*(1-(($A8-1)/$A8)^AD$2)</f>
        <v/>
      </c>
      <c r="AE8" s="253" t="n"/>
      <c r="AF8" s="253" t="n"/>
      <c r="AG8" s="253" t="n"/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$A9*(1-(($A9-1)/$A9)^B$2)</f>
        <v/>
      </c>
      <c r="C9" s="263">
        <f>$A9*(1-(($A9-1)/$A9)^C$2)</f>
        <v/>
      </c>
      <c r="D9" s="263">
        <f>$A9*(1-(($A9-1)/$A9)^D$2)</f>
        <v/>
      </c>
      <c r="E9" s="263">
        <f>$A9*(1-(($A9-1)/$A9)^E$2)</f>
        <v/>
      </c>
      <c r="F9" s="263">
        <f>$A9*(1-(($A9-1)/$A9)^F$2)</f>
        <v/>
      </c>
      <c r="G9" s="263">
        <f>$A9*(1-(($A9-1)/$A9)^G$2)</f>
        <v/>
      </c>
      <c r="H9" s="263">
        <f>$A9*(1-(($A9-1)/$A9)^H$2)</f>
        <v/>
      </c>
      <c r="I9" s="263">
        <f>$A9*(1-(($A9-1)/$A9)^I$2)</f>
        <v/>
      </c>
      <c r="J9" s="263">
        <f>$A9*(1-(($A9-1)/$A9)^J$2)</f>
        <v/>
      </c>
      <c r="K9" s="263">
        <f>$A9*(1-(($A9-1)/$A9)^K$2)</f>
        <v/>
      </c>
      <c r="L9" s="263">
        <f>$A9*(1-(($A9-1)/$A9)^L$2)</f>
        <v/>
      </c>
      <c r="M9" s="263">
        <f>$A9*(1-(($A9-1)/$A9)^M$2)</f>
        <v/>
      </c>
      <c r="N9" s="263">
        <f>$A9*(1-(($A9-1)/$A9)^N$2)</f>
        <v/>
      </c>
      <c r="O9" s="263">
        <f>$A9*(1-(($A9-1)/$A9)^O$2)</f>
        <v/>
      </c>
      <c r="P9" s="263">
        <f>$A9*(1-(($A9-1)/$A9)^P$2)</f>
        <v/>
      </c>
      <c r="Q9" s="263">
        <f>$A9*(1-(($A9-1)/$A9)^Q$2)</f>
        <v/>
      </c>
      <c r="R9" s="264">
        <f>$A9*(1-(($A9-1)/$A9)^R$2)</f>
        <v/>
      </c>
      <c r="S9" s="264">
        <f>$A9*(1-(($A9-1)/$A9)^S$2)</f>
        <v/>
      </c>
      <c r="T9" s="264">
        <f>$A9*(1-(($A9-1)/$A9)^T$2)</f>
        <v/>
      </c>
      <c r="U9" s="264">
        <f>$A9*(1-(($A9-1)/$A9)^U$2)</f>
        <v/>
      </c>
      <c r="V9" s="264">
        <f>$A9*(1-(($A9-1)/$A9)^V$2)</f>
        <v/>
      </c>
      <c r="W9" s="264">
        <f>$A9*(1-(($A9-1)/$A9)^W$2)</f>
        <v/>
      </c>
      <c r="X9" s="264">
        <f>$A9*(1-(($A9-1)/$A9)^X$2)</f>
        <v/>
      </c>
      <c r="Y9" s="264">
        <f>$A9*(1-(($A9-1)/$A9)^Y$2)</f>
        <v/>
      </c>
      <c r="Z9" s="264">
        <f>$A9*(1-(($A9-1)/$A9)^Z$2)</f>
        <v/>
      </c>
      <c r="AA9" s="264">
        <f>$A9*(1-(($A9-1)/$A9)^AA$2)</f>
        <v/>
      </c>
      <c r="AB9" s="264">
        <f>$A9*(1-(($A9-1)/$A9)^AB$2)</f>
        <v/>
      </c>
      <c r="AC9" s="264">
        <f>$A9*(1-(($A9-1)/$A9)^AC$2)</f>
        <v/>
      </c>
      <c r="AD9" s="264">
        <f>$A9*(1-(($A9-1)/$A9)^AD$2)</f>
        <v/>
      </c>
      <c r="AE9" s="253" t="n"/>
      <c r="AF9" s="253" t="n"/>
      <c r="AG9" s="253" t="n"/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$A10*(1-(($A10-1)/$A10)^B$2)</f>
        <v/>
      </c>
      <c r="C10" s="263">
        <f>$A10*(1-(($A10-1)/$A10)^C$2)</f>
        <v/>
      </c>
      <c r="D10" s="263">
        <f>$A10*(1-(($A10-1)/$A10)^D$2)</f>
        <v/>
      </c>
      <c r="E10" s="263">
        <f>$A10*(1-(($A10-1)/$A10)^E$2)</f>
        <v/>
      </c>
      <c r="F10" s="263">
        <f>$A10*(1-(($A10-1)/$A10)^F$2)</f>
        <v/>
      </c>
      <c r="G10" s="263">
        <f>$A10*(1-(($A10-1)/$A10)^G$2)</f>
        <v/>
      </c>
      <c r="H10" s="263">
        <f>$A10*(1-(($A10-1)/$A10)^H$2)</f>
        <v/>
      </c>
      <c r="I10" s="263">
        <f>$A10*(1-(($A10-1)/$A10)^I$2)</f>
        <v/>
      </c>
      <c r="J10" s="263">
        <f>$A10*(1-(($A10-1)/$A10)^J$2)</f>
        <v/>
      </c>
      <c r="K10" s="263">
        <f>$A10*(1-(($A10-1)/$A10)^K$2)</f>
        <v/>
      </c>
      <c r="L10" s="263">
        <f>$A10*(1-(($A10-1)/$A10)^L$2)</f>
        <v/>
      </c>
      <c r="M10" s="263">
        <f>$A10*(1-(($A10-1)/$A10)^M$2)</f>
        <v/>
      </c>
      <c r="N10" s="263">
        <f>$A10*(1-(($A10-1)/$A10)^N$2)</f>
        <v/>
      </c>
      <c r="O10" s="263">
        <f>$A10*(1-(($A10-1)/$A10)^O$2)</f>
        <v/>
      </c>
      <c r="P10" s="263">
        <f>$A10*(1-(($A10-1)/$A10)^P$2)</f>
        <v/>
      </c>
      <c r="Q10" s="263">
        <f>$A10*(1-(($A10-1)/$A10)^Q$2)</f>
        <v/>
      </c>
      <c r="R10" s="264">
        <f>$A10*(1-(($A10-1)/$A10)^R$2)</f>
        <v/>
      </c>
      <c r="S10" s="264">
        <f>$A10*(1-(($A10-1)/$A10)^S$2)</f>
        <v/>
      </c>
      <c r="T10" s="264">
        <f>$A10*(1-(($A10-1)/$A10)^T$2)</f>
        <v/>
      </c>
      <c r="U10" s="264">
        <f>$A10*(1-(($A10-1)/$A10)^U$2)</f>
        <v/>
      </c>
      <c r="V10" s="264">
        <f>$A10*(1-(($A10-1)/$A10)^V$2)</f>
        <v/>
      </c>
      <c r="W10" s="264">
        <f>$A10*(1-(($A10-1)/$A10)^W$2)</f>
        <v/>
      </c>
      <c r="X10" s="264">
        <f>$A10*(1-(($A10-1)/$A10)^X$2)</f>
        <v/>
      </c>
      <c r="Y10" s="264">
        <f>$A10*(1-(($A10-1)/$A10)^Y$2)</f>
        <v/>
      </c>
      <c r="Z10" s="264">
        <f>$A10*(1-(($A10-1)/$A10)^Z$2)</f>
        <v/>
      </c>
      <c r="AA10" s="264">
        <f>$A10*(1-(($A10-1)/$A10)^AA$2)</f>
        <v/>
      </c>
      <c r="AB10" s="264">
        <f>$A10*(1-(($A10-1)/$A10)^AB$2)</f>
        <v/>
      </c>
      <c r="AC10" s="264">
        <f>$A10*(1-(($A10-1)/$A10)^AC$2)</f>
        <v/>
      </c>
      <c r="AD10" s="264">
        <f>$A10*(1-(($A10-1)/$A10)^AD$2)</f>
        <v/>
      </c>
      <c r="AE10" s="253" t="n"/>
      <c r="AF10" s="253" t="n"/>
      <c r="AG10" s="253" t="n"/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$A11*(1-(($A11-1)/$A11)^B$2)</f>
        <v/>
      </c>
      <c r="C11" s="263">
        <f>$A11*(1-(($A11-1)/$A11)^C$2)</f>
        <v/>
      </c>
      <c r="D11" s="263">
        <f>$A11*(1-(($A11-1)/$A11)^D$2)</f>
        <v/>
      </c>
      <c r="E11" s="263">
        <f>$A11*(1-(($A11-1)/$A11)^E$2)</f>
        <v/>
      </c>
      <c r="F11" s="263">
        <f>$A11*(1-(($A11-1)/$A11)^F$2)</f>
        <v/>
      </c>
      <c r="G11" s="263">
        <f>$A11*(1-(($A11-1)/$A11)^G$2)</f>
        <v/>
      </c>
      <c r="H11" s="263">
        <f>$A11*(1-(($A11-1)/$A11)^H$2)</f>
        <v/>
      </c>
      <c r="I11" s="263">
        <f>$A11*(1-(($A11-1)/$A11)^I$2)</f>
        <v/>
      </c>
      <c r="J11" s="263">
        <f>$A11*(1-(($A11-1)/$A11)^J$2)</f>
        <v/>
      </c>
      <c r="K11" s="263">
        <f>$A11*(1-(($A11-1)/$A11)^K$2)</f>
        <v/>
      </c>
      <c r="L11" s="263">
        <f>$A11*(1-(($A11-1)/$A11)^L$2)</f>
        <v/>
      </c>
      <c r="M11" s="263">
        <f>$A11*(1-(($A11-1)/$A11)^M$2)</f>
        <v/>
      </c>
      <c r="N11" s="263">
        <f>$A11*(1-(($A11-1)/$A11)^N$2)</f>
        <v/>
      </c>
      <c r="O11" s="263">
        <f>$A11*(1-(($A11-1)/$A11)^O$2)</f>
        <v/>
      </c>
      <c r="P11" s="263">
        <f>$A11*(1-(($A11-1)/$A11)^P$2)</f>
        <v/>
      </c>
      <c r="Q11" s="263">
        <f>$A11*(1-(($A11-1)/$A11)^Q$2)</f>
        <v/>
      </c>
      <c r="R11" s="264">
        <f>$A11*(1-(($A11-1)/$A11)^R$2)</f>
        <v/>
      </c>
      <c r="S11" s="264">
        <f>$A11*(1-(($A11-1)/$A11)^S$2)</f>
        <v/>
      </c>
      <c r="T11" s="264">
        <f>$A11*(1-(($A11-1)/$A11)^T$2)</f>
        <v/>
      </c>
      <c r="U11" s="264">
        <f>$A11*(1-(($A11-1)/$A11)^U$2)</f>
        <v/>
      </c>
      <c r="V11" s="264">
        <f>$A11*(1-(($A11-1)/$A11)^V$2)</f>
        <v/>
      </c>
      <c r="W11" s="264">
        <f>$A11*(1-(($A11-1)/$A11)^W$2)</f>
        <v/>
      </c>
      <c r="X11" s="264">
        <f>$A11*(1-(($A11-1)/$A11)^X$2)</f>
        <v/>
      </c>
      <c r="Y11" s="264">
        <f>$A11*(1-(($A11-1)/$A11)^Y$2)</f>
        <v/>
      </c>
      <c r="Z11" s="264">
        <f>$A11*(1-(($A11-1)/$A11)^Z$2)</f>
        <v/>
      </c>
      <c r="AA11" s="264">
        <f>$A11*(1-(($A11-1)/$A11)^AA$2)</f>
        <v/>
      </c>
      <c r="AB11" s="264">
        <f>$A11*(1-(($A11-1)/$A11)^AB$2)</f>
        <v/>
      </c>
      <c r="AC11" s="264">
        <f>$A11*(1-(($A11-1)/$A11)^AC$2)</f>
        <v/>
      </c>
      <c r="AD11" s="264">
        <f>$A11*(1-(($A11-1)/$A11)^AD$2)</f>
        <v/>
      </c>
      <c r="AE11" s="253" t="n"/>
      <c r="AF11" s="253" t="n"/>
      <c r="AG11" s="253" t="n"/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$A12*(1-(($A12-1)/$A12)^B$2)</f>
        <v/>
      </c>
      <c r="C12" s="263">
        <f>$A12*(1-(($A12-1)/$A12)^C$2)</f>
        <v/>
      </c>
      <c r="D12" s="263">
        <f>$A12*(1-(($A12-1)/$A12)^D$2)</f>
        <v/>
      </c>
      <c r="E12" s="263">
        <f>$A12*(1-(($A12-1)/$A12)^E$2)</f>
        <v/>
      </c>
      <c r="F12" s="263">
        <f>$A12*(1-(($A12-1)/$A12)^F$2)</f>
        <v/>
      </c>
      <c r="G12" s="263">
        <f>$A12*(1-(($A12-1)/$A12)^G$2)</f>
        <v/>
      </c>
      <c r="H12" s="263">
        <f>$A12*(1-(($A12-1)/$A12)^H$2)</f>
        <v/>
      </c>
      <c r="I12" s="263">
        <f>$A12*(1-(($A12-1)/$A12)^I$2)</f>
        <v/>
      </c>
      <c r="J12" s="263">
        <f>$A12*(1-(($A12-1)/$A12)^J$2)</f>
        <v/>
      </c>
      <c r="K12" s="263">
        <f>$A12*(1-(($A12-1)/$A12)^K$2)</f>
        <v/>
      </c>
      <c r="L12" s="263">
        <f>$A12*(1-(($A12-1)/$A12)^L$2)</f>
        <v/>
      </c>
      <c r="M12" s="263">
        <f>$A12*(1-(($A12-1)/$A12)^M$2)</f>
        <v/>
      </c>
      <c r="N12" s="263">
        <f>$A12*(1-(($A12-1)/$A12)^N$2)</f>
        <v/>
      </c>
      <c r="O12" s="263">
        <f>$A12*(1-(($A12-1)/$A12)^O$2)</f>
        <v/>
      </c>
      <c r="P12" s="263">
        <f>$A12*(1-(($A12-1)/$A12)^P$2)</f>
        <v/>
      </c>
      <c r="Q12" s="263">
        <f>$A12*(1-(($A12-1)/$A12)^Q$2)</f>
        <v/>
      </c>
      <c r="R12" s="264">
        <f>$A12*(1-(($A12-1)/$A12)^R$2)</f>
        <v/>
      </c>
      <c r="S12" s="264">
        <f>$A12*(1-(($A12-1)/$A12)^S$2)</f>
        <v/>
      </c>
      <c r="T12" s="264">
        <f>$A12*(1-(($A12-1)/$A12)^T$2)</f>
        <v/>
      </c>
      <c r="U12" s="264">
        <f>$A12*(1-(($A12-1)/$A12)^U$2)</f>
        <v/>
      </c>
      <c r="V12" s="264">
        <f>$A12*(1-(($A12-1)/$A12)^V$2)</f>
        <v/>
      </c>
      <c r="W12" s="264">
        <f>$A12*(1-(($A12-1)/$A12)^W$2)</f>
        <v/>
      </c>
      <c r="X12" s="264">
        <f>$A12*(1-(($A12-1)/$A12)^X$2)</f>
        <v/>
      </c>
      <c r="Y12" s="264">
        <f>$A12*(1-(($A12-1)/$A12)^Y$2)</f>
        <v/>
      </c>
      <c r="Z12" s="264">
        <f>$A12*(1-(($A12-1)/$A12)^Z$2)</f>
        <v/>
      </c>
      <c r="AA12" s="264">
        <f>$A12*(1-(($A12-1)/$A12)^AA$2)</f>
        <v/>
      </c>
      <c r="AB12" s="264">
        <f>$A12*(1-(($A12-1)/$A12)^AB$2)</f>
        <v/>
      </c>
      <c r="AC12" s="264">
        <f>$A12*(1-(($A12-1)/$A12)^AC$2)</f>
        <v/>
      </c>
      <c r="AD12" s="264">
        <f>$A12*(1-(($A12-1)/$A12)^AD$2)</f>
        <v/>
      </c>
      <c r="AE12" s="253" t="n"/>
      <c r="AF12" s="253" t="n"/>
      <c r="AG12" s="253" t="n"/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$A13*(1-(($A13-1)/$A13)^B$2)</f>
        <v/>
      </c>
      <c r="C13" s="263">
        <f>$A13*(1-(($A13-1)/$A13)^C$2)</f>
        <v/>
      </c>
      <c r="D13" s="263">
        <f>$A13*(1-(($A13-1)/$A13)^D$2)</f>
        <v/>
      </c>
      <c r="E13" s="263">
        <f>$A13*(1-(($A13-1)/$A13)^E$2)</f>
        <v/>
      </c>
      <c r="F13" s="263">
        <f>$A13*(1-(($A13-1)/$A13)^F$2)</f>
        <v/>
      </c>
      <c r="G13" s="263">
        <f>$A13*(1-(($A13-1)/$A13)^G$2)</f>
        <v/>
      </c>
      <c r="H13" s="263">
        <f>$A13*(1-(($A13-1)/$A13)^H$2)</f>
        <v/>
      </c>
      <c r="I13" s="263">
        <f>$A13*(1-(($A13-1)/$A13)^I$2)</f>
        <v/>
      </c>
      <c r="J13" s="263">
        <f>$A13*(1-(($A13-1)/$A13)^J$2)</f>
        <v/>
      </c>
      <c r="K13" s="263">
        <f>$A13*(1-(($A13-1)/$A13)^K$2)</f>
        <v/>
      </c>
      <c r="L13" s="263">
        <f>$A13*(1-(($A13-1)/$A13)^L$2)</f>
        <v/>
      </c>
      <c r="M13" s="263">
        <f>$A13*(1-(($A13-1)/$A13)^M$2)</f>
        <v/>
      </c>
      <c r="N13" s="263">
        <f>$A13*(1-(($A13-1)/$A13)^N$2)</f>
        <v/>
      </c>
      <c r="O13" s="263">
        <f>$A13*(1-(($A13-1)/$A13)^O$2)</f>
        <v/>
      </c>
      <c r="P13" s="263">
        <f>$A13*(1-(($A13-1)/$A13)^P$2)</f>
        <v/>
      </c>
      <c r="Q13" s="263">
        <f>$A13*(1-(($A13-1)/$A13)^Q$2)</f>
        <v/>
      </c>
      <c r="R13" s="264">
        <f>$A13*(1-(($A13-1)/$A13)^R$2)</f>
        <v/>
      </c>
      <c r="S13" s="264">
        <f>$A13*(1-(($A13-1)/$A13)^S$2)</f>
        <v/>
      </c>
      <c r="T13" s="264">
        <f>$A13*(1-(($A13-1)/$A13)^T$2)</f>
        <v/>
      </c>
      <c r="U13" s="264">
        <f>$A13*(1-(($A13-1)/$A13)^U$2)</f>
        <v/>
      </c>
      <c r="V13" s="264">
        <f>$A13*(1-(($A13-1)/$A13)^V$2)</f>
        <v/>
      </c>
      <c r="W13" s="264">
        <f>$A13*(1-(($A13-1)/$A13)^W$2)</f>
        <v/>
      </c>
      <c r="X13" s="264">
        <f>$A13*(1-(($A13-1)/$A13)^X$2)</f>
        <v/>
      </c>
      <c r="Y13" s="264">
        <f>$A13*(1-(($A13-1)/$A13)^Y$2)</f>
        <v/>
      </c>
      <c r="Z13" s="264">
        <f>$A13*(1-(($A13-1)/$A13)^Z$2)</f>
        <v/>
      </c>
      <c r="AA13" s="264">
        <f>$A13*(1-(($A13-1)/$A13)^AA$2)</f>
        <v/>
      </c>
      <c r="AB13" s="264">
        <f>$A13*(1-(($A13-1)/$A13)^AB$2)</f>
        <v/>
      </c>
      <c r="AC13" s="264">
        <f>$A13*(1-(($A13-1)/$A13)^AC$2)</f>
        <v/>
      </c>
      <c r="AD13" s="264">
        <f>$A13*(1-(($A13-1)/$A13)^AD$2)</f>
        <v/>
      </c>
      <c r="AE13" s="253" t="n"/>
      <c r="AF13" s="253" t="n"/>
      <c r="AG13" s="253" t="n"/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$A14*(1-(($A14-1)/$A14)^B$2)</f>
        <v/>
      </c>
      <c r="C14" s="263">
        <f>$A14*(1-(($A14-1)/$A14)^C$2)</f>
        <v/>
      </c>
      <c r="D14" s="263">
        <f>$A14*(1-(($A14-1)/$A14)^D$2)</f>
        <v/>
      </c>
      <c r="E14" s="263">
        <f>$A14*(1-(($A14-1)/$A14)^E$2)</f>
        <v/>
      </c>
      <c r="F14" s="263">
        <f>$A14*(1-(($A14-1)/$A14)^F$2)</f>
        <v/>
      </c>
      <c r="G14" s="263">
        <f>$A14*(1-(($A14-1)/$A14)^G$2)</f>
        <v/>
      </c>
      <c r="H14" s="263">
        <f>$A14*(1-(($A14-1)/$A14)^H$2)</f>
        <v/>
      </c>
      <c r="I14" s="263">
        <f>$A14*(1-(($A14-1)/$A14)^I$2)</f>
        <v/>
      </c>
      <c r="J14" s="263">
        <f>$A14*(1-(($A14-1)/$A14)^J$2)</f>
        <v/>
      </c>
      <c r="K14" s="263">
        <f>$A14*(1-(($A14-1)/$A14)^K$2)</f>
        <v/>
      </c>
      <c r="L14" s="263">
        <f>$A14*(1-(($A14-1)/$A14)^L$2)</f>
        <v/>
      </c>
      <c r="M14" s="263">
        <f>$A14*(1-(($A14-1)/$A14)^M$2)</f>
        <v/>
      </c>
      <c r="N14" s="263">
        <f>$A14*(1-(($A14-1)/$A14)^N$2)</f>
        <v/>
      </c>
      <c r="O14" s="263">
        <f>$A14*(1-(($A14-1)/$A14)^O$2)</f>
        <v/>
      </c>
      <c r="P14" s="263">
        <f>$A14*(1-(($A14-1)/$A14)^P$2)</f>
        <v/>
      </c>
      <c r="Q14" s="263">
        <f>$A14*(1-(($A14-1)/$A14)^Q$2)</f>
        <v/>
      </c>
      <c r="R14" s="264">
        <f>$A14*(1-(($A14-1)/$A14)^R$2)</f>
        <v/>
      </c>
      <c r="S14" s="264">
        <f>$A14*(1-(($A14-1)/$A14)^S$2)</f>
        <v/>
      </c>
      <c r="T14" s="264">
        <f>$A14*(1-(($A14-1)/$A14)^T$2)</f>
        <v/>
      </c>
      <c r="U14" s="264">
        <f>$A14*(1-(($A14-1)/$A14)^U$2)</f>
        <v/>
      </c>
      <c r="V14" s="264">
        <f>$A14*(1-(($A14-1)/$A14)^V$2)</f>
        <v/>
      </c>
      <c r="W14" s="264">
        <f>$A14*(1-(($A14-1)/$A14)^W$2)</f>
        <v/>
      </c>
      <c r="X14" s="264">
        <f>$A14*(1-(($A14-1)/$A14)^X$2)</f>
        <v/>
      </c>
      <c r="Y14" s="264">
        <f>$A14*(1-(($A14-1)/$A14)^Y$2)</f>
        <v/>
      </c>
      <c r="Z14" s="264">
        <f>$A14*(1-(($A14-1)/$A14)^Z$2)</f>
        <v/>
      </c>
      <c r="AA14" s="264">
        <f>$A14*(1-(($A14-1)/$A14)^AA$2)</f>
        <v/>
      </c>
      <c r="AB14" s="264">
        <f>$A14*(1-(($A14-1)/$A14)^AB$2)</f>
        <v/>
      </c>
      <c r="AC14" s="264">
        <f>$A14*(1-(($A14-1)/$A14)^AC$2)</f>
        <v/>
      </c>
      <c r="AD14" s="264">
        <f>$A14*(1-(($A14-1)/$A14)^AD$2)</f>
        <v/>
      </c>
      <c r="AE14" s="253" t="n"/>
      <c r="AF14" s="253" t="n"/>
      <c r="AG14" s="253" t="n"/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$A15*(1-(($A15-1)/$A15)^B$2)</f>
        <v/>
      </c>
      <c r="C15" s="263">
        <f>$A15*(1-(($A15-1)/$A15)^C$2)</f>
        <v/>
      </c>
      <c r="D15" s="263">
        <f>$A15*(1-(($A15-1)/$A15)^D$2)</f>
        <v/>
      </c>
      <c r="E15" s="263">
        <f>$A15*(1-(($A15-1)/$A15)^E$2)</f>
        <v/>
      </c>
      <c r="F15" s="263">
        <f>$A15*(1-(($A15-1)/$A15)^F$2)</f>
        <v/>
      </c>
      <c r="G15" s="263">
        <f>$A15*(1-(($A15-1)/$A15)^G$2)</f>
        <v/>
      </c>
      <c r="H15" s="263">
        <f>$A15*(1-(($A15-1)/$A15)^H$2)</f>
        <v/>
      </c>
      <c r="I15" s="263">
        <f>$A15*(1-(($A15-1)/$A15)^I$2)</f>
        <v/>
      </c>
      <c r="J15" s="263">
        <f>$A15*(1-(($A15-1)/$A15)^J$2)</f>
        <v/>
      </c>
      <c r="K15" s="263">
        <f>$A15*(1-(($A15-1)/$A15)^K$2)</f>
        <v/>
      </c>
      <c r="L15" s="263">
        <f>$A15*(1-(($A15-1)/$A15)^L$2)</f>
        <v/>
      </c>
      <c r="M15" s="263">
        <f>$A15*(1-(($A15-1)/$A15)^M$2)</f>
        <v/>
      </c>
      <c r="N15" s="263">
        <f>$A15*(1-(($A15-1)/$A15)^N$2)</f>
        <v/>
      </c>
      <c r="O15" s="263">
        <f>$A15*(1-(($A15-1)/$A15)^O$2)</f>
        <v/>
      </c>
      <c r="P15" s="263">
        <f>$A15*(1-(($A15-1)/$A15)^P$2)</f>
        <v/>
      </c>
      <c r="Q15" s="263">
        <f>$A15*(1-(($A15-1)/$A15)^Q$2)</f>
        <v/>
      </c>
      <c r="R15" s="264">
        <f>$A15*(1-(($A15-1)/$A15)^R$2)</f>
        <v/>
      </c>
      <c r="S15" s="264">
        <f>$A15*(1-(($A15-1)/$A15)^S$2)</f>
        <v/>
      </c>
      <c r="T15" s="264">
        <f>$A15*(1-(($A15-1)/$A15)^T$2)</f>
        <v/>
      </c>
      <c r="U15" s="264">
        <f>$A15*(1-(($A15-1)/$A15)^U$2)</f>
        <v/>
      </c>
      <c r="V15" s="264">
        <f>$A15*(1-(($A15-1)/$A15)^V$2)</f>
        <v/>
      </c>
      <c r="W15" s="264">
        <f>$A15*(1-(($A15-1)/$A15)^W$2)</f>
        <v/>
      </c>
      <c r="X15" s="264">
        <f>$A15*(1-(($A15-1)/$A15)^X$2)</f>
        <v/>
      </c>
      <c r="Y15" s="264">
        <f>$A15*(1-(($A15-1)/$A15)^Y$2)</f>
        <v/>
      </c>
      <c r="Z15" s="264">
        <f>$A15*(1-(($A15-1)/$A15)^Z$2)</f>
        <v/>
      </c>
      <c r="AA15" s="264">
        <f>$A15*(1-(($A15-1)/$A15)^AA$2)</f>
        <v/>
      </c>
      <c r="AB15" s="264">
        <f>$A15*(1-(($A15-1)/$A15)^AB$2)</f>
        <v/>
      </c>
      <c r="AC15" s="264">
        <f>$A15*(1-(($A15-1)/$A15)^AC$2)</f>
        <v/>
      </c>
      <c r="AD15" s="264">
        <f>$A15*(1-(($A15-1)/$A15)^AD$2)</f>
        <v/>
      </c>
      <c r="AE15" s="253" t="n"/>
      <c r="AF15" s="253" t="n"/>
      <c r="AG15" s="253" t="n"/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$A16*(1-(($A16-1)/$A16)^B$2)</f>
        <v/>
      </c>
      <c r="C16" s="263">
        <f>$A16*(1-(($A16-1)/$A16)^C$2)</f>
        <v/>
      </c>
      <c r="D16" s="263">
        <f>$A16*(1-(($A16-1)/$A16)^D$2)</f>
        <v/>
      </c>
      <c r="E16" s="263">
        <f>$A16*(1-(($A16-1)/$A16)^E$2)</f>
        <v/>
      </c>
      <c r="F16" s="263">
        <f>$A16*(1-(($A16-1)/$A16)^F$2)</f>
        <v/>
      </c>
      <c r="G16" s="263">
        <f>$A16*(1-(($A16-1)/$A16)^G$2)</f>
        <v/>
      </c>
      <c r="H16" s="263">
        <f>$A16*(1-(($A16-1)/$A16)^H$2)</f>
        <v/>
      </c>
      <c r="I16" s="263">
        <f>$A16*(1-(($A16-1)/$A16)^I$2)</f>
        <v/>
      </c>
      <c r="J16" s="263">
        <f>$A16*(1-(($A16-1)/$A16)^J$2)</f>
        <v/>
      </c>
      <c r="K16" s="263">
        <f>$A16*(1-(($A16-1)/$A16)^K$2)</f>
        <v/>
      </c>
      <c r="L16" s="263">
        <f>$A16*(1-(($A16-1)/$A16)^L$2)</f>
        <v/>
      </c>
      <c r="M16" s="263">
        <f>$A16*(1-(($A16-1)/$A16)^M$2)</f>
        <v/>
      </c>
      <c r="N16" s="263">
        <f>$A16*(1-(($A16-1)/$A16)^N$2)</f>
        <v/>
      </c>
      <c r="O16" s="263">
        <f>$A16*(1-(($A16-1)/$A16)^O$2)</f>
        <v/>
      </c>
      <c r="P16" s="263">
        <f>$A16*(1-(($A16-1)/$A16)^P$2)</f>
        <v/>
      </c>
      <c r="Q16" s="263">
        <f>$A16*(1-(($A16-1)/$A16)^Q$2)</f>
        <v/>
      </c>
      <c r="R16" s="264">
        <f>$A16*(1-(($A16-1)/$A16)^R$2)</f>
        <v/>
      </c>
      <c r="S16" s="264">
        <f>$A16*(1-(($A16-1)/$A16)^S$2)</f>
        <v/>
      </c>
      <c r="T16" s="264">
        <f>$A16*(1-(($A16-1)/$A16)^T$2)</f>
        <v/>
      </c>
      <c r="U16" s="264">
        <f>$A16*(1-(($A16-1)/$A16)^U$2)</f>
        <v/>
      </c>
      <c r="V16" s="264">
        <f>$A16*(1-(($A16-1)/$A16)^V$2)</f>
        <v/>
      </c>
      <c r="W16" s="264">
        <f>$A16*(1-(($A16-1)/$A16)^W$2)</f>
        <v/>
      </c>
      <c r="X16" s="264">
        <f>$A16*(1-(($A16-1)/$A16)^X$2)</f>
        <v/>
      </c>
      <c r="Y16" s="264">
        <f>$A16*(1-(($A16-1)/$A16)^Y$2)</f>
        <v/>
      </c>
      <c r="Z16" s="264">
        <f>$A16*(1-(($A16-1)/$A16)^Z$2)</f>
        <v/>
      </c>
      <c r="AA16" s="264">
        <f>$A16*(1-(($A16-1)/$A16)^AA$2)</f>
        <v/>
      </c>
      <c r="AB16" s="264">
        <f>$A16*(1-(($A16-1)/$A16)^AB$2)</f>
        <v/>
      </c>
      <c r="AC16" s="264">
        <f>$A16*(1-(($A16-1)/$A16)^AC$2)</f>
        <v/>
      </c>
      <c r="AD16" s="264">
        <f>$A16*(1-(($A16-1)/$A16)^AD$2)</f>
        <v/>
      </c>
      <c r="AE16" s="253" t="n"/>
      <c r="AF16" s="253" t="n"/>
      <c r="AG16" s="253" t="n"/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$A17*(1-(($A17-1)/$A17)^B$2)</f>
        <v/>
      </c>
      <c r="C17" s="263">
        <f>$A17*(1-(($A17-1)/$A17)^C$2)</f>
        <v/>
      </c>
      <c r="D17" s="263">
        <f>$A17*(1-(($A17-1)/$A17)^D$2)</f>
        <v/>
      </c>
      <c r="E17" s="263">
        <f>$A17*(1-(($A17-1)/$A17)^E$2)</f>
        <v/>
      </c>
      <c r="F17" s="263">
        <f>$A17*(1-(($A17-1)/$A17)^F$2)</f>
        <v/>
      </c>
      <c r="G17" s="263">
        <f>$A17*(1-(($A17-1)/$A17)^G$2)</f>
        <v/>
      </c>
      <c r="H17" s="263">
        <f>$A17*(1-(($A17-1)/$A17)^H$2)</f>
        <v/>
      </c>
      <c r="I17" s="263">
        <f>$A17*(1-(($A17-1)/$A17)^I$2)</f>
        <v/>
      </c>
      <c r="J17" s="263">
        <f>$A17*(1-(($A17-1)/$A17)^J$2)</f>
        <v/>
      </c>
      <c r="K17" s="263">
        <f>$A17*(1-(($A17-1)/$A17)^K$2)</f>
        <v/>
      </c>
      <c r="L17" s="263">
        <f>$A17*(1-(($A17-1)/$A17)^L$2)</f>
        <v/>
      </c>
      <c r="M17" s="263">
        <f>$A17*(1-(($A17-1)/$A17)^M$2)</f>
        <v/>
      </c>
      <c r="N17" s="263">
        <f>$A17*(1-(($A17-1)/$A17)^N$2)</f>
        <v/>
      </c>
      <c r="O17" s="263">
        <f>$A17*(1-(($A17-1)/$A17)^O$2)</f>
        <v/>
      </c>
      <c r="P17" s="263">
        <f>$A17*(1-(($A17-1)/$A17)^P$2)</f>
        <v/>
      </c>
      <c r="Q17" s="263">
        <f>$A17*(1-(($A17-1)/$A17)^Q$2)</f>
        <v/>
      </c>
      <c r="R17" s="264">
        <f>$A17*(1-(($A17-1)/$A17)^R$2)</f>
        <v/>
      </c>
      <c r="S17" s="264">
        <f>$A17*(1-(($A17-1)/$A17)^S$2)</f>
        <v/>
      </c>
      <c r="T17" s="264">
        <f>$A17*(1-(($A17-1)/$A17)^T$2)</f>
        <v/>
      </c>
      <c r="U17" s="264">
        <f>$A17*(1-(($A17-1)/$A17)^U$2)</f>
        <v/>
      </c>
      <c r="V17" s="264">
        <f>$A17*(1-(($A17-1)/$A17)^V$2)</f>
        <v/>
      </c>
      <c r="W17" s="264">
        <f>$A17*(1-(($A17-1)/$A17)^W$2)</f>
        <v/>
      </c>
      <c r="X17" s="264">
        <f>$A17*(1-(($A17-1)/$A17)^X$2)</f>
        <v/>
      </c>
      <c r="Y17" s="264">
        <f>$A17*(1-(($A17-1)/$A17)^Y$2)</f>
        <v/>
      </c>
      <c r="Z17" s="264">
        <f>$A17*(1-(($A17-1)/$A17)^Z$2)</f>
        <v/>
      </c>
      <c r="AA17" s="264">
        <f>$A17*(1-(($A17-1)/$A17)^AA$2)</f>
        <v/>
      </c>
      <c r="AB17" s="264">
        <f>$A17*(1-(($A17-1)/$A17)^AB$2)</f>
        <v/>
      </c>
      <c r="AC17" s="264">
        <f>$A17*(1-(($A17-1)/$A17)^AC$2)</f>
        <v/>
      </c>
      <c r="AD17" s="264">
        <f>$A17*(1-(($A17-1)/$A17)^AD$2)</f>
        <v/>
      </c>
      <c r="AE17" s="253" t="n"/>
      <c r="AF17" s="253" t="n"/>
      <c r="AG17" s="253" t="n"/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$A18*(1-(($A18-1)/$A18)^B$2)</f>
        <v/>
      </c>
      <c r="C18" s="263">
        <f>$A18*(1-(($A18-1)/$A18)^C$2)</f>
        <v/>
      </c>
      <c r="D18" s="263">
        <f>$A18*(1-(($A18-1)/$A18)^D$2)</f>
        <v/>
      </c>
      <c r="E18" s="263">
        <f>$A18*(1-(($A18-1)/$A18)^E$2)</f>
        <v/>
      </c>
      <c r="F18" s="263">
        <f>$A18*(1-(($A18-1)/$A18)^F$2)</f>
        <v/>
      </c>
      <c r="G18" s="263">
        <f>$A18*(1-(($A18-1)/$A18)^G$2)</f>
        <v/>
      </c>
      <c r="H18" s="263">
        <f>$A18*(1-(($A18-1)/$A18)^H$2)</f>
        <v/>
      </c>
      <c r="I18" s="263">
        <f>$A18*(1-(($A18-1)/$A18)^I$2)</f>
        <v/>
      </c>
      <c r="J18" s="263">
        <f>$A18*(1-(($A18-1)/$A18)^J$2)</f>
        <v/>
      </c>
      <c r="K18" s="263">
        <f>$A18*(1-(($A18-1)/$A18)^K$2)</f>
        <v/>
      </c>
      <c r="L18" s="263">
        <f>$A18*(1-(($A18-1)/$A18)^L$2)</f>
        <v/>
      </c>
      <c r="M18" s="263">
        <f>$A18*(1-(($A18-1)/$A18)^M$2)</f>
        <v/>
      </c>
      <c r="N18" s="263">
        <f>$A18*(1-(($A18-1)/$A18)^N$2)</f>
        <v/>
      </c>
      <c r="O18" s="263">
        <f>$A18*(1-(($A18-1)/$A18)^O$2)</f>
        <v/>
      </c>
      <c r="P18" s="263">
        <f>$A18*(1-(($A18-1)/$A18)^P$2)</f>
        <v/>
      </c>
      <c r="Q18" s="263">
        <f>$A18*(1-(($A18-1)/$A18)^Q$2)</f>
        <v/>
      </c>
      <c r="R18" s="264">
        <f>$A18*(1-(($A18-1)/$A18)^R$2)</f>
        <v/>
      </c>
      <c r="S18" s="264">
        <f>$A18*(1-(($A18-1)/$A18)^S$2)</f>
        <v/>
      </c>
      <c r="T18" s="264">
        <f>$A18*(1-(($A18-1)/$A18)^T$2)</f>
        <v/>
      </c>
      <c r="U18" s="264">
        <f>$A18*(1-(($A18-1)/$A18)^U$2)</f>
        <v/>
      </c>
      <c r="V18" s="264">
        <f>$A18*(1-(($A18-1)/$A18)^V$2)</f>
        <v/>
      </c>
      <c r="W18" s="264">
        <f>$A18*(1-(($A18-1)/$A18)^W$2)</f>
        <v/>
      </c>
      <c r="X18" s="264">
        <f>$A18*(1-(($A18-1)/$A18)^X$2)</f>
        <v/>
      </c>
      <c r="Y18" s="264">
        <f>$A18*(1-(($A18-1)/$A18)^Y$2)</f>
        <v/>
      </c>
      <c r="Z18" s="264">
        <f>$A18*(1-(($A18-1)/$A18)^Z$2)</f>
        <v/>
      </c>
      <c r="AA18" s="264">
        <f>$A18*(1-(($A18-1)/$A18)^AA$2)</f>
        <v/>
      </c>
      <c r="AB18" s="264">
        <f>$A18*(1-(($A18-1)/$A18)^AB$2)</f>
        <v/>
      </c>
      <c r="AC18" s="264">
        <f>$A18*(1-(($A18-1)/$A18)^AC$2)</f>
        <v/>
      </c>
      <c r="AD18" s="264">
        <f>$A18*(1-(($A18-1)/$A18)^AD$2)</f>
        <v/>
      </c>
      <c r="AE18" s="253" t="n"/>
      <c r="AF18" s="253" t="n"/>
      <c r="AG18" s="253" t="n"/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$A19*(1-(($A19-1)/$A19)^B$2)</f>
        <v/>
      </c>
      <c r="C19" s="263">
        <f>$A19*(1-(($A19-1)/$A19)^C$2)</f>
        <v/>
      </c>
      <c r="D19" s="263">
        <f>$A19*(1-(($A19-1)/$A19)^D$2)</f>
        <v/>
      </c>
      <c r="E19" s="263">
        <f>$A19*(1-(($A19-1)/$A19)^E$2)</f>
        <v/>
      </c>
      <c r="F19" s="263">
        <f>$A19*(1-(($A19-1)/$A19)^F$2)</f>
        <v/>
      </c>
      <c r="G19" s="263">
        <f>$A19*(1-(($A19-1)/$A19)^G$2)</f>
        <v/>
      </c>
      <c r="H19" s="263">
        <f>$A19*(1-(($A19-1)/$A19)^H$2)</f>
        <v/>
      </c>
      <c r="I19" s="263">
        <f>$A19*(1-(($A19-1)/$A19)^I$2)</f>
        <v/>
      </c>
      <c r="J19" s="263">
        <f>$A19*(1-(($A19-1)/$A19)^J$2)</f>
        <v/>
      </c>
      <c r="K19" s="263">
        <f>$A19*(1-(($A19-1)/$A19)^K$2)</f>
        <v/>
      </c>
      <c r="L19" s="263">
        <f>$A19*(1-(($A19-1)/$A19)^L$2)</f>
        <v/>
      </c>
      <c r="M19" s="263">
        <f>$A19*(1-(($A19-1)/$A19)^M$2)</f>
        <v/>
      </c>
      <c r="N19" s="263">
        <f>$A19*(1-(($A19-1)/$A19)^N$2)</f>
        <v/>
      </c>
      <c r="O19" s="263">
        <f>$A19*(1-(($A19-1)/$A19)^O$2)</f>
        <v/>
      </c>
      <c r="P19" s="263">
        <f>$A19*(1-(($A19-1)/$A19)^P$2)</f>
        <v/>
      </c>
      <c r="Q19" s="263">
        <f>$A19*(1-(($A19-1)/$A19)^Q$2)</f>
        <v/>
      </c>
      <c r="R19" s="264">
        <f>$A19*(1-(($A19-1)/$A19)^R$2)</f>
        <v/>
      </c>
      <c r="S19" s="264">
        <f>$A19*(1-(($A19-1)/$A19)^S$2)</f>
        <v/>
      </c>
      <c r="T19" s="264">
        <f>$A19*(1-(($A19-1)/$A19)^T$2)</f>
        <v/>
      </c>
      <c r="U19" s="264">
        <f>$A19*(1-(($A19-1)/$A19)^U$2)</f>
        <v/>
      </c>
      <c r="V19" s="264">
        <f>$A19*(1-(($A19-1)/$A19)^V$2)</f>
        <v/>
      </c>
      <c r="W19" s="264">
        <f>$A19*(1-(($A19-1)/$A19)^W$2)</f>
        <v/>
      </c>
      <c r="X19" s="264">
        <f>$A19*(1-(($A19-1)/$A19)^X$2)</f>
        <v/>
      </c>
      <c r="Y19" s="264">
        <f>$A19*(1-(($A19-1)/$A19)^Y$2)</f>
        <v/>
      </c>
      <c r="Z19" s="264">
        <f>$A19*(1-(($A19-1)/$A19)^Z$2)</f>
        <v/>
      </c>
      <c r="AA19" s="264">
        <f>$A19*(1-(($A19-1)/$A19)^AA$2)</f>
        <v/>
      </c>
      <c r="AB19" s="264">
        <f>$A19*(1-(($A19-1)/$A19)^AB$2)</f>
        <v/>
      </c>
      <c r="AC19" s="264">
        <f>$A19*(1-(($A19-1)/$A19)^AC$2)</f>
        <v/>
      </c>
      <c r="AD19" s="264">
        <f>$A19*(1-(($A19-1)/$A19)^AD$2)</f>
        <v/>
      </c>
      <c r="AE19" s="253" t="n"/>
      <c r="AF19" s="253" t="n"/>
      <c r="AG19" s="253" t="n"/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$A20*(1-(($A20-1)/$A20)^B$2)</f>
        <v/>
      </c>
      <c r="C20" s="263">
        <f>$A20*(1-(($A20-1)/$A20)^C$2)</f>
        <v/>
      </c>
      <c r="D20" s="263">
        <f>$A20*(1-(($A20-1)/$A20)^D$2)</f>
        <v/>
      </c>
      <c r="E20" s="263">
        <f>$A20*(1-(($A20-1)/$A20)^E$2)</f>
        <v/>
      </c>
      <c r="F20" s="263">
        <f>$A20*(1-(($A20-1)/$A20)^F$2)</f>
        <v/>
      </c>
      <c r="G20" s="263">
        <f>$A20*(1-(($A20-1)/$A20)^G$2)</f>
        <v/>
      </c>
      <c r="H20" s="263">
        <f>$A20*(1-(($A20-1)/$A20)^H$2)</f>
        <v/>
      </c>
      <c r="I20" s="263">
        <f>$A20*(1-(($A20-1)/$A20)^I$2)</f>
        <v/>
      </c>
      <c r="J20" s="263">
        <f>$A20*(1-(($A20-1)/$A20)^J$2)</f>
        <v/>
      </c>
      <c r="K20" s="263">
        <f>$A20*(1-(($A20-1)/$A20)^K$2)</f>
        <v/>
      </c>
      <c r="L20" s="263">
        <f>$A20*(1-(($A20-1)/$A20)^L$2)</f>
        <v/>
      </c>
      <c r="M20" s="263">
        <f>$A20*(1-(($A20-1)/$A20)^M$2)</f>
        <v/>
      </c>
      <c r="N20" s="263">
        <f>$A20*(1-(($A20-1)/$A20)^N$2)</f>
        <v/>
      </c>
      <c r="O20" s="263">
        <f>$A20*(1-(($A20-1)/$A20)^O$2)</f>
        <v/>
      </c>
      <c r="P20" s="263">
        <f>$A20*(1-(($A20-1)/$A20)^P$2)</f>
        <v/>
      </c>
      <c r="Q20" s="263">
        <f>$A20*(1-(($A20-1)/$A20)^Q$2)</f>
        <v/>
      </c>
      <c r="R20" s="264">
        <f>$A20*(1-(($A20-1)/$A20)^R$2)</f>
        <v/>
      </c>
      <c r="S20" s="264">
        <f>$A20*(1-(($A20-1)/$A20)^S$2)</f>
        <v/>
      </c>
      <c r="T20" s="264">
        <f>$A20*(1-(($A20-1)/$A20)^T$2)</f>
        <v/>
      </c>
      <c r="U20" s="264">
        <f>$A20*(1-(($A20-1)/$A20)^U$2)</f>
        <v/>
      </c>
      <c r="V20" s="264">
        <f>$A20*(1-(($A20-1)/$A20)^V$2)</f>
        <v/>
      </c>
      <c r="W20" s="264">
        <f>$A20*(1-(($A20-1)/$A20)^W$2)</f>
        <v/>
      </c>
      <c r="X20" s="264">
        <f>$A20*(1-(($A20-1)/$A20)^X$2)</f>
        <v/>
      </c>
      <c r="Y20" s="264">
        <f>$A20*(1-(($A20-1)/$A20)^Y$2)</f>
        <v/>
      </c>
      <c r="Z20" s="264">
        <f>$A20*(1-(($A20-1)/$A20)^Z$2)</f>
        <v/>
      </c>
      <c r="AA20" s="264">
        <f>$A20*(1-(($A20-1)/$A20)^AA$2)</f>
        <v/>
      </c>
      <c r="AB20" s="264">
        <f>$A20*(1-(($A20-1)/$A20)^AB$2)</f>
        <v/>
      </c>
      <c r="AC20" s="264">
        <f>$A20*(1-(($A20-1)/$A20)^AC$2)</f>
        <v/>
      </c>
      <c r="AD20" s="264">
        <f>$A20*(1-(($A20-1)/$A20)^AD$2)</f>
        <v/>
      </c>
      <c r="AE20" s="253" t="n"/>
      <c r="AF20" s="253" t="n"/>
      <c r="AG20" s="253" t="n"/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$A21*(1-(($A21-1)/$A21)^B$2)</f>
        <v/>
      </c>
      <c r="C21" s="263">
        <f>$A21*(1-(($A21-1)/$A21)^C$2)</f>
        <v/>
      </c>
      <c r="D21" s="263">
        <f>$A21*(1-(($A21-1)/$A21)^D$2)</f>
        <v/>
      </c>
      <c r="E21" s="263">
        <f>$A21*(1-(($A21-1)/$A21)^E$2)</f>
        <v/>
      </c>
      <c r="F21" s="263">
        <f>$A21*(1-(($A21-1)/$A21)^F$2)</f>
        <v/>
      </c>
      <c r="G21" s="263">
        <f>$A21*(1-(($A21-1)/$A21)^G$2)</f>
        <v/>
      </c>
      <c r="H21" s="263">
        <f>$A21*(1-(($A21-1)/$A21)^H$2)</f>
        <v/>
      </c>
      <c r="I21" s="263">
        <f>$A21*(1-(($A21-1)/$A21)^I$2)</f>
        <v/>
      </c>
      <c r="J21" s="263">
        <f>$A21*(1-(($A21-1)/$A21)^J$2)</f>
        <v/>
      </c>
      <c r="K21" s="263">
        <f>$A21*(1-(($A21-1)/$A21)^K$2)</f>
        <v/>
      </c>
      <c r="L21" s="263">
        <f>$A21*(1-(($A21-1)/$A21)^L$2)</f>
        <v/>
      </c>
      <c r="M21" s="263">
        <f>$A21*(1-(($A21-1)/$A21)^M$2)</f>
        <v/>
      </c>
      <c r="N21" s="263">
        <f>$A21*(1-(($A21-1)/$A21)^N$2)</f>
        <v/>
      </c>
      <c r="O21" s="263">
        <f>$A21*(1-(($A21-1)/$A21)^O$2)</f>
        <v/>
      </c>
      <c r="P21" s="263">
        <f>$A21*(1-(($A21-1)/$A21)^P$2)</f>
        <v/>
      </c>
      <c r="Q21" s="263">
        <f>$A21*(1-(($A21-1)/$A21)^Q$2)</f>
        <v/>
      </c>
      <c r="R21" s="264">
        <f>$A21*(1-(($A21-1)/$A21)^R$2)</f>
        <v/>
      </c>
      <c r="S21" s="264">
        <f>$A21*(1-(($A21-1)/$A21)^S$2)</f>
        <v/>
      </c>
      <c r="T21" s="264">
        <f>$A21*(1-(($A21-1)/$A21)^T$2)</f>
        <v/>
      </c>
      <c r="U21" s="264">
        <f>$A21*(1-(($A21-1)/$A21)^U$2)</f>
        <v/>
      </c>
      <c r="V21" s="264">
        <f>$A21*(1-(($A21-1)/$A21)^V$2)</f>
        <v/>
      </c>
      <c r="W21" s="264">
        <f>$A21*(1-(($A21-1)/$A21)^W$2)</f>
        <v/>
      </c>
      <c r="X21" s="264">
        <f>$A21*(1-(($A21-1)/$A21)^X$2)</f>
        <v/>
      </c>
      <c r="Y21" s="264">
        <f>$A21*(1-(($A21-1)/$A21)^Y$2)</f>
        <v/>
      </c>
      <c r="Z21" s="264">
        <f>$A21*(1-(($A21-1)/$A21)^Z$2)</f>
        <v/>
      </c>
      <c r="AA21" s="264">
        <f>$A21*(1-(($A21-1)/$A21)^AA$2)</f>
        <v/>
      </c>
      <c r="AB21" s="264">
        <f>$A21*(1-(($A21-1)/$A21)^AB$2)</f>
        <v/>
      </c>
      <c r="AC21" s="264">
        <f>$A21*(1-(($A21-1)/$A21)^AC$2)</f>
        <v/>
      </c>
      <c r="AD21" s="264">
        <f>$A21*(1-(($A21-1)/$A21)^AD$2)</f>
        <v/>
      </c>
      <c r="AE21" s="253" t="n"/>
      <c r="AF21" s="253" t="n"/>
      <c r="AG21" s="253" t="n"/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$A22*(1-(($A22-1)/$A22)^B$2)</f>
        <v/>
      </c>
      <c r="C22" s="263">
        <f>$A22*(1-(($A22-1)/$A22)^C$2)</f>
        <v/>
      </c>
      <c r="D22" s="263">
        <f>$A22*(1-(($A22-1)/$A22)^D$2)</f>
        <v/>
      </c>
      <c r="E22" s="263">
        <f>$A22*(1-(($A22-1)/$A22)^E$2)</f>
        <v/>
      </c>
      <c r="F22" s="263">
        <f>$A22*(1-(($A22-1)/$A22)^F$2)</f>
        <v/>
      </c>
      <c r="G22" s="263">
        <f>$A22*(1-(($A22-1)/$A22)^G$2)</f>
        <v/>
      </c>
      <c r="H22" s="263">
        <f>$A22*(1-(($A22-1)/$A22)^H$2)</f>
        <v/>
      </c>
      <c r="I22" s="263">
        <f>$A22*(1-(($A22-1)/$A22)^I$2)</f>
        <v/>
      </c>
      <c r="J22" s="263">
        <f>$A22*(1-(($A22-1)/$A22)^J$2)</f>
        <v/>
      </c>
      <c r="K22" s="263">
        <f>$A22*(1-(($A22-1)/$A22)^K$2)</f>
        <v/>
      </c>
      <c r="L22" s="263">
        <f>$A22*(1-(($A22-1)/$A22)^L$2)</f>
        <v/>
      </c>
      <c r="M22" s="263">
        <f>$A22*(1-(($A22-1)/$A22)^M$2)</f>
        <v/>
      </c>
      <c r="N22" s="263">
        <f>$A22*(1-(($A22-1)/$A22)^N$2)</f>
        <v/>
      </c>
      <c r="O22" s="263">
        <f>$A22*(1-(($A22-1)/$A22)^O$2)</f>
        <v/>
      </c>
      <c r="P22" s="263">
        <f>$A22*(1-(($A22-1)/$A22)^P$2)</f>
        <v/>
      </c>
      <c r="Q22" s="263">
        <f>$A22*(1-(($A22-1)/$A22)^Q$2)</f>
        <v/>
      </c>
      <c r="R22" s="264">
        <f>$A22*(1-(($A22-1)/$A22)^R$2)</f>
        <v/>
      </c>
      <c r="S22" s="264">
        <f>$A22*(1-(($A22-1)/$A22)^S$2)</f>
        <v/>
      </c>
      <c r="T22" s="264">
        <f>$A22*(1-(($A22-1)/$A22)^T$2)</f>
        <v/>
      </c>
      <c r="U22" s="264">
        <f>$A22*(1-(($A22-1)/$A22)^U$2)</f>
        <v/>
      </c>
      <c r="V22" s="264">
        <f>$A22*(1-(($A22-1)/$A22)^V$2)</f>
        <v/>
      </c>
      <c r="W22" s="264">
        <f>$A22*(1-(($A22-1)/$A22)^W$2)</f>
        <v/>
      </c>
      <c r="X22" s="264">
        <f>$A22*(1-(($A22-1)/$A22)^X$2)</f>
        <v/>
      </c>
      <c r="Y22" s="264">
        <f>$A22*(1-(($A22-1)/$A22)^Y$2)</f>
        <v/>
      </c>
      <c r="Z22" s="264">
        <f>$A22*(1-(($A22-1)/$A22)^Z$2)</f>
        <v/>
      </c>
      <c r="AA22" s="264">
        <f>$A22*(1-(($A22-1)/$A22)^AA$2)</f>
        <v/>
      </c>
      <c r="AB22" s="264">
        <f>$A22*(1-(($A22-1)/$A22)^AB$2)</f>
        <v/>
      </c>
      <c r="AC22" s="264">
        <f>$A22*(1-(($A22-1)/$A22)^AC$2)</f>
        <v/>
      </c>
      <c r="AD22" s="264">
        <f>$A22*(1-(($A22-1)/$A22)^AD$2)</f>
        <v/>
      </c>
      <c r="AE22" s="253" t="n"/>
      <c r="AF22" s="253" t="n"/>
      <c r="AG22" s="253" t="n"/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$A23*(1-(($A23-1)/$A23)^B$2)</f>
        <v/>
      </c>
      <c r="C23" s="263">
        <f>$A23*(1-(($A23-1)/$A23)^C$2)</f>
        <v/>
      </c>
      <c r="D23" s="263">
        <f>$A23*(1-(($A23-1)/$A23)^D$2)</f>
        <v/>
      </c>
      <c r="E23" s="263">
        <f>$A23*(1-(($A23-1)/$A23)^E$2)</f>
        <v/>
      </c>
      <c r="F23" s="263">
        <f>$A23*(1-(($A23-1)/$A23)^F$2)</f>
        <v/>
      </c>
      <c r="G23" s="263">
        <f>$A23*(1-(($A23-1)/$A23)^G$2)</f>
        <v/>
      </c>
      <c r="H23" s="263">
        <f>$A23*(1-(($A23-1)/$A23)^H$2)</f>
        <v/>
      </c>
      <c r="I23" s="263">
        <f>$A23*(1-(($A23-1)/$A23)^I$2)</f>
        <v/>
      </c>
      <c r="J23" s="263">
        <f>$A23*(1-(($A23-1)/$A23)^J$2)</f>
        <v/>
      </c>
      <c r="K23" s="263">
        <f>$A23*(1-(($A23-1)/$A23)^K$2)</f>
        <v/>
      </c>
      <c r="L23" s="263">
        <f>$A23*(1-(($A23-1)/$A23)^L$2)</f>
        <v/>
      </c>
      <c r="M23" s="263">
        <f>$A23*(1-(($A23-1)/$A23)^M$2)</f>
        <v/>
      </c>
      <c r="N23" s="263">
        <f>$A23*(1-(($A23-1)/$A23)^N$2)</f>
        <v/>
      </c>
      <c r="O23" s="263">
        <f>$A23*(1-(($A23-1)/$A23)^O$2)</f>
        <v/>
      </c>
      <c r="P23" s="263">
        <f>$A23*(1-(($A23-1)/$A23)^P$2)</f>
        <v/>
      </c>
      <c r="Q23" s="263">
        <f>$A23*(1-(($A23-1)/$A23)^Q$2)</f>
        <v/>
      </c>
      <c r="R23" s="264">
        <f>$A23*(1-(($A23-1)/$A23)^R$2)</f>
        <v/>
      </c>
      <c r="S23" s="264">
        <f>$A23*(1-(($A23-1)/$A23)^S$2)</f>
        <v/>
      </c>
      <c r="T23" s="264">
        <f>$A23*(1-(($A23-1)/$A23)^T$2)</f>
        <v/>
      </c>
      <c r="U23" s="264">
        <f>$A23*(1-(($A23-1)/$A23)^U$2)</f>
        <v/>
      </c>
      <c r="V23" s="264">
        <f>$A23*(1-(($A23-1)/$A23)^V$2)</f>
        <v/>
      </c>
      <c r="W23" s="264">
        <f>$A23*(1-(($A23-1)/$A23)^W$2)</f>
        <v/>
      </c>
      <c r="X23" s="264">
        <f>$A23*(1-(($A23-1)/$A23)^X$2)</f>
        <v/>
      </c>
      <c r="Y23" s="264">
        <f>$A23*(1-(($A23-1)/$A23)^Y$2)</f>
        <v/>
      </c>
      <c r="Z23" s="264">
        <f>$A23*(1-(($A23-1)/$A23)^Z$2)</f>
        <v/>
      </c>
      <c r="AA23" s="264">
        <f>$A23*(1-(($A23-1)/$A23)^AA$2)</f>
        <v/>
      </c>
      <c r="AB23" s="264">
        <f>$A23*(1-(($A23-1)/$A23)^AB$2)</f>
        <v/>
      </c>
      <c r="AC23" s="264">
        <f>$A23*(1-(($A23-1)/$A23)^AC$2)</f>
        <v/>
      </c>
      <c r="AD23" s="264">
        <f>$A23*(1-(($A23-1)/$A23)^AD$2)</f>
        <v/>
      </c>
      <c r="AE23" s="253" t="n"/>
      <c r="AF23" s="253" t="n"/>
      <c r="AG23" s="253" t="n"/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$A24*(1-(($A24-1)/$A24)^B$2)</f>
        <v/>
      </c>
      <c r="C24" s="263">
        <f>$A24*(1-(($A24-1)/$A24)^C$2)</f>
        <v/>
      </c>
      <c r="D24" s="263">
        <f>$A24*(1-(($A24-1)/$A24)^D$2)</f>
        <v/>
      </c>
      <c r="E24" s="263">
        <f>$A24*(1-(($A24-1)/$A24)^E$2)</f>
        <v/>
      </c>
      <c r="F24" s="263">
        <f>$A24*(1-(($A24-1)/$A24)^F$2)</f>
        <v/>
      </c>
      <c r="G24" s="263">
        <f>$A24*(1-(($A24-1)/$A24)^G$2)</f>
        <v/>
      </c>
      <c r="H24" s="263">
        <f>$A24*(1-(($A24-1)/$A24)^H$2)</f>
        <v/>
      </c>
      <c r="I24" s="263">
        <f>$A24*(1-(($A24-1)/$A24)^I$2)</f>
        <v/>
      </c>
      <c r="J24" s="263">
        <f>$A24*(1-(($A24-1)/$A24)^J$2)</f>
        <v/>
      </c>
      <c r="K24" s="263">
        <f>$A24*(1-(($A24-1)/$A24)^K$2)</f>
        <v/>
      </c>
      <c r="L24" s="263">
        <f>$A24*(1-(($A24-1)/$A24)^L$2)</f>
        <v/>
      </c>
      <c r="M24" s="263">
        <f>$A24*(1-(($A24-1)/$A24)^M$2)</f>
        <v/>
      </c>
      <c r="N24" s="263">
        <f>$A24*(1-(($A24-1)/$A24)^N$2)</f>
        <v/>
      </c>
      <c r="O24" s="263">
        <f>$A24*(1-(($A24-1)/$A24)^O$2)</f>
        <v/>
      </c>
      <c r="P24" s="263">
        <f>$A24*(1-(($A24-1)/$A24)^P$2)</f>
        <v/>
      </c>
      <c r="Q24" s="263">
        <f>$A24*(1-(($A24-1)/$A24)^Q$2)</f>
        <v/>
      </c>
      <c r="R24" s="264">
        <f>$A24*(1-(($A24-1)/$A24)^R$2)</f>
        <v/>
      </c>
      <c r="S24" s="264">
        <f>$A24*(1-(($A24-1)/$A24)^S$2)</f>
        <v/>
      </c>
      <c r="T24" s="264">
        <f>$A24*(1-(($A24-1)/$A24)^T$2)</f>
        <v/>
      </c>
      <c r="U24" s="264">
        <f>$A24*(1-(($A24-1)/$A24)^U$2)</f>
        <v/>
      </c>
      <c r="V24" s="264">
        <f>$A24*(1-(($A24-1)/$A24)^V$2)</f>
        <v/>
      </c>
      <c r="W24" s="264">
        <f>$A24*(1-(($A24-1)/$A24)^W$2)</f>
        <v/>
      </c>
      <c r="X24" s="264">
        <f>$A24*(1-(($A24-1)/$A24)^X$2)</f>
        <v/>
      </c>
      <c r="Y24" s="264">
        <f>$A24*(1-(($A24-1)/$A24)^Y$2)</f>
        <v/>
      </c>
      <c r="Z24" s="264">
        <f>$A24*(1-(($A24-1)/$A24)^Z$2)</f>
        <v/>
      </c>
      <c r="AA24" s="264">
        <f>$A24*(1-(($A24-1)/$A24)^AA$2)</f>
        <v/>
      </c>
      <c r="AB24" s="264">
        <f>$A24*(1-(($A24-1)/$A24)^AB$2)</f>
        <v/>
      </c>
      <c r="AC24" s="264">
        <f>$A24*(1-(($A24-1)/$A24)^AC$2)</f>
        <v/>
      </c>
      <c r="AD24" s="264">
        <f>$A24*(1-(($A24-1)/$A24)^AD$2)</f>
        <v/>
      </c>
      <c r="AE24" s="253" t="n"/>
      <c r="AF24" s="253" t="n"/>
      <c r="AG24" s="253" t="n"/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$A25*(1-(($A25-1)/$A25)^B$2)</f>
        <v/>
      </c>
      <c r="C25" s="263">
        <f>$A25*(1-(($A25-1)/$A25)^C$2)</f>
        <v/>
      </c>
      <c r="D25" s="263">
        <f>$A25*(1-(($A25-1)/$A25)^D$2)</f>
        <v/>
      </c>
      <c r="E25" s="263">
        <f>$A25*(1-(($A25-1)/$A25)^E$2)</f>
        <v/>
      </c>
      <c r="F25" s="263">
        <f>$A25*(1-(($A25-1)/$A25)^F$2)</f>
        <v/>
      </c>
      <c r="G25" s="263">
        <f>$A25*(1-(($A25-1)/$A25)^G$2)</f>
        <v/>
      </c>
      <c r="H25" s="263">
        <f>$A25*(1-(($A25-1)/$A25)^H$2)</f>
        <v/>
      </c>
      <c r="I25" s="263">
        <f>$A25*(1-(($A25-1)/$A25)^I$2)</f>
        <v/>
      </c>
      <c r="J25" s="263">
        <f>$A25*(1-(($A25-1)/$A25)^J$2)</f>
        <v/>
      </c>
      <c r="K25" s="263">
        <f>$A25*(1-(($A25-1)/$A25)^K$2)</f>
        <v/>
      </c>
      <c r="L25" s="263">
        <f>$A25*(1-(($A25-1)/$A25)^L$2)</f>
        <v/>
      </c>
      <c r="M25" s="263">
        <f>$A25*(1-(($A25-1)/$A25)^M$2)</f>
        <v/>
      </c>
      <c r="N25" s="263">
        <f>$A25*(1-(($A25-1)/$A25)^N$2)</f>
        <v/>
      </c>
      <c r="O25" s="263">
        <f>$A25*(1-(($A25-1)/$A25)^O$2)</f>
        <v/>
      </c>
      <c r="P25" s="263">
        <f>$A25*(1-(($A25-1)/$A25)^P$2)</f>
        <v/>
      </c>
      <c r="Q25" s="263">
        <f>$A25*(1-(($A25-1)/$A25)^Q$2)</f>
        <v/>
      </c>
      <c r="R25" s="264">
        <f>$A25*(1-(($A25-1)/$A25)^R$2)</f>
        <v/>
      </c>
      <c r="S25" s="264">
        <f>$A25*(1-(($A25-1)/$A25)^S$2)</f>
        <v/>
      </c>
      <c r="T25" s="264">
        <f>$A25*(1-(($A25-1)/$A25)^T$2)</f>
        <v/>
      </c>
      <c r="U25" s="264">
        <f>$A25*(1-(($A25-1)/$A25)^U$2)</f>
        <v/>
      </c>
      <c r="V25" s="264">
        <f>$A25*(1-(($A25-1)/$A25)^V$2)</f>
        <v/>
      </c>
      <c r="W25" s="264">
        <f>$A25*(1-(($A25-1)/$A25)^W$2)</f>
        <v/>
      </c>
      <c r="X25" s="264">
        <f>$A25*(1-(($A25-1)/$A25)^X$2)</f>
        <v/>
      </c>
      <c r="Y25" s="264">
        <f>$A25*(1-(($A25-1)/$A25)^Y$2)</f>
        <v/>
      </c>
      <c r="Z25" s="264">
        <f>$A25*(1-(($A25-1)/$A25)^Z$2)</f>
        <v/>
      </c>
      <c r="AA25" s="264">
        <f>$A25*(1-(($A25-1)/$A25)^AA$2)</f>
        <v/>
      </c>
      <c r="AB25" s="264">
        <f>$A25*(1-(($A25-1)/$A25)^AB$2)</f>
        <v/>
      </c>
      <c r="AC25" s="264">
        <f>$A25*(1-(($A25-1)/$A25)^AC$2)</f>
        <v/>
      </c>
      <c r="AD25" s="264">
        <f>$A25*(1-(($A25-1)/$A25)^AD$2)</f>
        <v/>
      </c>
      <c r="AE25" s="253" t="n"/>
      <c r="AF25" s="253" t="n"/>
      <c r="AG25" s="253" t="n"/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$A26*(1-(($A26-1)/$A26)^B$2)</f>
        <v/>
      </c>
      <c r="C26" s="263">
        <f>$A26*(1-(($A26-1)/$A26)^C$2)</f>
        <v/>
      </c>
      <c r="D26" s="263">
        <f>$A26*(1-(($A26-1)/$A26)^D$2)</f>
        <v/>
      </c>
      <c r="E26" s="263">
        <f>$A26*(1-(($A26-1)/$A26)^E$2)</f>
        <v/>
      </c>
      <c r="F26" s="263">
        <f>$A26*(1-(($A26-1)/$A26)^F$2)</f>
        <v/>
      </c>
      <c r="G26" s="263">
        <f>$A26*(1-(($A26-1)/$A26)^G$2)</f>
        <v/>
      </c>
      <c r="H26" s="263">
        <f>$A26*(1-(($A26-1)/$A26)^H$2)</f>
        <v/>
      </c>
      <c r="I26" s="263">
        <f>$A26*(1-(($A26-1)/$A26)^I$2)</f>
        <v/>
      </c>
      <c r="J26" s="263">
        <f>$A26*(1-(($A26-1)/$A26)^J$2)</f>
        <v/>
      </c>
      <c r="K26" s="263">
        <f>$A26*(1-(($A26-1)/$A26)^K$2)</f>
        <v/>
      </c>
      <c r="L26" s="263">
        <f>$A26*(1-(($A26-1)/$A26)^L$2)</f>
        <v/>
      </c>
      <c r="M26" s="263">
        <f>$A26*(1-(($A26-1)/$A26)^M$2)</f>
        <v/>
      </c>
      <c r="N26" s="263">
        <f>$A26*(1-(($A26-1)/$A26)^N$2)</f>
        <v/>
      </c>
      <c r="O26" s="263">
        <f>$A26*(1-(($A26-1)/$A26)^O$2)</f>
        <v/>
      </c>
      <c r="P26" s="263">
        <f>$A26*(1-(($A26-1)/$A26)^P$2)</f>
        <v/>
      </c>
      <c r="Q26" s="263">
        <f>$A26*(1-(($A26-1)/$A26)^Q$2)</f>
        <v/>
      </c>
      <c r="R26" s="264">
        <f>$A26*(1-(($A26-1)/$A26)^R$2)</f>
        <v/>
      </c>
      <c r="S26" s="264">
        <f>$A26*(1-(($A26-1)/$A26)^S$2)</f>
        <v/>
      </c>
      <c r="T26" s="264">
        <f>$A26*(1-(($A26-1)/$A26)^T$2)</f>
        <v/>
      </c>
      <c r="U26" s="264">
        <f>$A26*(1-(($A26-1)/$A26)^U$2)</f>
        <v/>
      </c>
      <c r="V26" s="264">
        <f>$A26*(1-(($A26-1)/$A26)^V$2)</f>
        <v/>
      </c>
      <c r="W26" s="264">
        <f>$A26*(1-(($A26-1)/$A26)^W$2)</f>
        <v/>
      </c>
      <c r="X26" s="264">
        <f>$A26*(1-(($A26-1)/$A26)^X$2)</f>
        <v/>
      </c>
      <c r="Y26" s="264">
        <f>$A26*(1-(($A26-1)/$A26)^Y$2)</f>
        <v/>
      </c>
      <c r="Z26" s="264">
        <f>$A26*(1-(($A26-1)/$A26)^Z$2)</f>
        <v/>
      </c>
      <c r="AA26" s="264">
        <f>$A26*(1-(($A26-1)/$A26)^AA$2)</f>
        <v/>
      </c>
      <c r="AB26" s="264">
        <f>$A26*(1-(($A26-1)/$A26)^AB$2)</f>
        <v/>
      </c>
      <c r="AC26" s="264">
        <f>$A26*(1-(($A26-1)/$A26)^AC$2)</f>
        <v/>
      </c>
      <c r="AD26" s="264">
        <f>$A26*(1-(($A26-1)/$A26)^AD$2)</f>
        <v/>
      </c>
      <c r="AE26" s="253" t="n"/>
      <c r="AF26" s="253" t="n"/>
      <c r="AG26" s="253" t="n"/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$A27*(1-(($A27-1)/$A27)^B$2)</f>
        <v/>
      </c>
      <c r="C27" s="263">
        <f>$A27*(1-(($A27-1)/$A27)^C$2)</f>
        <v/>
      </c>
      <c r="D27" s="263">
        <f>$A27*(1-(($A27-1)/$A27)^D$2)</f>
        <v/>
      </c>
      <c r="E27" s="263">
        <f>$A27*(1-(($A27-1)/$A27)^E$2)</f>
        <v/>
      </c>
      <c r="F27" s="263">
        <f>$A27*(1-(($A27-1)/$A27)^F$2)</f>
        <v/>
      </c>
      <c r="G27" s="263">
        <f>$A27*(1-(($A27-1)/$A27)^G$2)</f>
        <v/>
      </c>
      <c r="H27" s="263">
        <f>$A27*(1-(($A27-1)/$A27)^H$2)</f>
        <v/>
      </c>
      <c r="I27" s="263">
        <f>$A27*(1-(($A27-1)/$A27)^I$2)</f>
        <v/>
      </c>
      <c r="J27" s="263">
        <f>$A27*(1-(($A27-1)/$A27)^J$2)</f>
        <v/>
      </c>
      <c r="K27" s="263">
        <f>$A27*(1-(($A27-1)/$A27)^K$2)</f>
        <v/>
      </c>
      <c r="L27" s="263">
        <f>$A27*(1-(($A27-1)/$A27)^L$2)</f>
        <v/>
      </c>
      <c r="M27" s="263">
        <f>$A27*(1-(($A27-1)/$A27)^M$2)</f>
        <v/>
      </c>
      <c r="N27" s="263">
        <f>$A27*(1-(($A27-1)/$A27)^N$2)</f>
        <v/>
      </c>
      <c r="O27" s="263">
        <f>$A27*(1-(($A27-1)/$A27)^O$2)</f>
        <v/>
      </c>
      <c r="P27" s="263">
        <f>$A27*(1-(($A27-1)/$A27)^P$2)</f>
        <v/>
      </c>
      <c r="Q27" s="263">
        <f>$A27*(1-(($A27-1)/$A27)^Q$2)</f>
        <v/>
      </c>
      <c r="R27" s="264">
        <f>$A27*(1-(($A27-1)/$A27)^R$2)</f>
        <v/>
      </c>
      <c r="S27" s="264">
        <f>$A27*(1-(($A27-1)/$A27)^S$2)</f>
        <v/>
      </c>
      <c r="T27" s="264">
        <f>$A27*(1-(($A27-1)/$A27)^T$2)</f>
        <v/>
      </c>
      <c r="U27" s="264">
        <f>$A27*(1-(($A27-1)/$A27)^U$2)</f>
        <v/>
      </c>
      <c r="V27" s="264">
        <f>$A27*(1-(($A27-1)/$A27)^V$2)</f>
        <v/>
      </c>
      <c r="W27" s="264">
        <f>$A27*(1-(($A27-1)/$A27)^W$2)</f>
        <v/>
      </c>
      <c r="X27" s="264">
        <f>$A27*(1-(($A27-1)/$A27)^X$2)</f>
        <v/>
      </c>
      <c r="Y27" s="264">
        <f>$A27*(1-(($A27-1)/$A27)^Y$2)</f>
        <v/>
      </c>
      <c r="Z27" s="264">
        <f>$A27*(1-(($A27-1)/$A27)^Z$2)</f>
        <v/>
      </c>
      <c r="AA27" s="264">
        <f>$A27*(1-(($A27-1)/$A27)^AA$2)</f>
        <v/>
      </c>
      <c r="AB27" s="264">
        <f>$A27*(1-(($A27-1)/$A27)^AB$2)</f>
        <v/>
      </c>
      <c r="AC27" s="264">
        <f>$A27*(1-(($A27-1)/$A27)^AC$2)</f>
        <v/>
      </c>
      <c r="AD27" s="264">
        <f>$A27*(1-(($A27-1)/$A27)^AD$2)</f>
        <v/>
      </c>
      <c r="AE27" s="253" t="n"/>
      <c r="AF27" s="253" t="n"/>
      <c r="AG27" s="253" t="n"/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$A28*(1-(($A28-1)/$A28)^B$2)</f>
        <v/>
      </c>
      <c r="C28" s="263">
        <f>$A28*(1-(($A28-1)/$A28)^C$2)</f>
        <v/>
      </c>
      <c r="D28" s="263">
        <f>$A28*(1-(($A28-1)/$A28)^D$2)</f>
        <v/>
      </c>
      <c r="E28" s="263">
        <f>$A28*(1-(($A28-1)/$A28)^E$2)</f>
        <v/>
      </c>
      <c r="F28" s="263">
        <f>$A28*(1-(($A28-1)/$A28)^F$2)</f>
        <v/>
      </c>
      <c r="G28" s="263">
        <f>$A28*(1-(($A28-1)/$A28)^G$2)</f>
        <v/>
      </c>
      <c r="H28" s="263">
        <f>$A28*(1-(($A28-1)/$A28)^H$2)</f>
        <v/>
      </c>
      <c r="I28" s="263">
        <f>$A28*(1-(($A28-1)/$A28)^I$2)</f>
        <v/>
      </c>
      <c r="J28" s="263">
        <f>$A28*(1-(($A28-1)/$A28)^J$2)</f>
        <v/>
      </c>
      <c r="K28" s="263">
        <f>$A28*(1-(($A28-1)/$A28)^K$2)</f>
        <v/>
      </c>
      <c r="L28" s="263">
        <f>$A28*(1-(($A28-1)/$A28)^L$2)</f>
        <v/>
      </c>
      <c r="M28" s="263">
        <f>$A28*(1-(($A28-1)/$A28)^M$2)</f>
        <v/>
      </c>
      <c r="N28" s="263">
        <f>$A28*(1-(($A28-1)/$A28)^N$2)</f>
        <v/>
      </c>
      <c r="O28" s="263">
        <f>$A28*(1-(($A28-1)/$A28)^O$2)</f>
        <v/>
      </c>
      <c r="P28" s="263">
        <f>$A28*(1-(($A28-1)/$A28)^P$2)</f>
        <v/>
      </c>
      <c r="Q28" s="263">
        <f>$A28*(1-(($A28-1)/$A28)^Q$2)</f>
        <v/>
      </c>
      <c r="R28" s="264">
        <f>$A28*(1-(($A28-1)/$A28)^R$2)</f>
        <v/>
      </c>
      <c r="S28" s="264">
        <f>$A28*(1-(($A28-1)/$A28)^S$2)</f>
        <v/>
      </c>
      <c r="T28" s="264">
        <f>$A28*(1-(($A28-1)/$A28)^T$2)</f>
        <v/>
      </c>
      <c r="U28" s="264">
        <f>$A28*(1-(($A28-1)/$A28)^U$2)</f>
        <v/>
      </c>
      <c r="V28" s="264">
        <f>$A28*(1-(($A28-1)/$A28)^V$2)</f>
        <v/>
      </c>
      <c r="W28" s="264">
        <f>$A28*(1-(($A28-1)/$A28)^W$2)</f>
        <v/>
      </c>
      <c r="X28" s="264">
        <f>$A28*(1-(($A28-1)/$A28)^X$2)</f>
        <v/>
      </c>
      <c r="Y28" s="264">
        <f>$A28*(1-(($A28-1)/$A28)^Y$2)</f>
        <v/>
      </c>
      <c r="Z28" s="264">
        <f>$A28*(1-(($A28-1)/$A28)^Z$2)</f>
        <v/>
      </c>
      <c r="AA28" s="264">
        <f>$A28*(1-(($A28-1)/$A28)^AA$2)</f>
        <v/>
      </c>
      <c r="AB28" s="264">
        <f>$A28*(1-(($A28-1)/$A28)^AB$2)</f>
        <v/>
      </c>
      <c r="AC28" s="264">
        <f>$A28*(1-(($A28-1)/$A28)^AC$2)</f>
        <v/>
      </c>
      <c r="AD28" s="264">
        <f>$A28*(1-(($A28-1)/$A28)^AD$2)</f>
        <v/>
      </c>
      <c r="AE28" s="253" t="n"/>
      <c r="AF28" s="253" t="n"/>
      <c r="AG28" s="253" t="n"/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$A29*(1-(($A29-1)/$A29)^B$2)</f>
        <v/>
      </c>
      <c r="C29" s="263">
        <f>$A29*(1-(($A29-1)/$A29)^C$2)</f>
        <v/>
      </c>
      <c r="D29" s="263">
        <f>$A29*(1-(($A29-1)/$A29)^D$2)</f>
        <v/>
      </c>
      <c r="E29" s="263">
        <f>$A29*(1-(($A29-1)/$A29)^E$2)</f>
        <v/>
      </c>
      <c r="F29" s="263">
        <f>$A29*(1-(($A29-1)/$A29)^F$2)</f>
        <v/>
      </c>
      <c r="G29" s="263">
        <f>$A29*(1-(($A29-1)/$A29)^G$2)</f>
        <v/>
      </c>
      <c r="H29" s="263">
        <f>$A29*(1-(($A29-1)/$A29)^H$2)</f>
        <v/>
      </c>
      <c r="I29" s="263">
        <f>$A29*(1-(($A29-1)/$A29)^I$2)</f>
        <v/>
      </c>
      <c r="J29" s="263">
        <f>$A29*(1-(($A29-1)/$A29)^J$2)</f>
        <v/>
      </c>
      <c r="K29" s="263">
        <f>$A29*(1-(($A29-1)/$A29)^K$2)</f>
        <v/>
      </c>
      <c r="L29" s="263">
        <f>$A29*(1-(($A29-1)/$A29)^L$2)</f>
        <v/>
      </c>
      <c r="M29" s="263">
        <f>$A29*(1-(($A29-1)/$A29)^M$2)</f>
        <v/>
      </c>
      <c r="N29" s="263">
        <f>$A29*(1-(($A29-1)/$A29)^N$2)</f>
        <v/>
      </c>
      <c r="O29" s="263">
        <f>$A29*(1-(($A29-1)/$A29)^O$2)</f>
        <v/>
      </c>
      <c r="P29" s="263">
        <f>$A29*(1-(($A29-1)/$A29)^P$2)</f>
        <v/>
      </c>
      <c r="Q29" s="263">
        <f>$A29*(1-(($A29-1)/$A29)^Q$2)</f>
        <v/>
      </c>
      <c r="R29" s="264">
        <f>$A29*(1-(($A29-1)/$A29)^R$2)</f>
        <v/>
      </c>
      <c r="S29" s="264">
        <f>$A29*(1-(($A29-1)/$A29)^S$2)</f>
        <v/>
      </c>
      <c r="T29" s="264">
        <f>$A29*(1-(($A29-1)/$A29)^T$2)</f>
        <v/>
      </c>
      <c r="U29" s="264">
        <f>$A29*(1-(($A29-1)/$A29)^U$2)</f>
        <v/>
      </c>
      <c r="V29" s="264">
        <f>$A29*(1-(($A29-1)/$A29)^V$2)</f>
        <v/>
      </c>
      <c r="W29" s="264">
        <f>$A29*(1-(($A29-1)/$A29)^W$2)</f>
        <v/>
      </c>
      <c r="X29" s="264">
        <f>$A29*(1-(($A29-1)/$A29)^X$2)</f>
        <v/>
      </c>
      <c r="Y29" s="264">
        <f>$A29*(1-(($A29-1)/$A29)^Y$2)</f>
        <v/>
      </c>
      <c r="Z29" s="264">
        <f>$A29*(1-(($A29-1)/$A29)^Z$2)</f>
        <v/>
      </c>
      <c r="AA29" s="264">
        <f>$A29*(1-(($A29-1)/$A29)^AA$2)</f>
        <v/>
      </c>
      <c r="AB29" s="264">
        <f>$A29*(1-(($A29-1)/$A29)^AB$2)</f>
        <v/>
      </c>
      <c r="AC29" s="264">
        <f>$A29*(1-(($A29-1)/$A29)^AC$2)</f>
        <v/>
      </c>
      <c r="AD29" s="264">
        <f>$A29*(1-(($A29-1)/$A29)^AD$2)</f>
        <v/>
      </c>
      <c r="AE29" s="253" t="n"/>
      <c r="AF29" s="253" t="n"/>
      <c r="AG29" s="253" t="n"/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$A30*(1-(($A30-1)/$A30)^B$2)</f>
        <v/>
      </c>
      <c r="C30" s="263">
        <f>$A30*(1-(($A30-1)/$A30)^C$2)</f>
        <v/>
      </c>
      <c r="D30" s="263">
        <f>$A30*(1-(($A30-1)/$A30)^D$2)</f>
        <v/>
      </c>
      <c r="E30" s="263">
        <f>$A30*(1-(($A30-1)/$A30)^E$2)</f>
        <v/>
      </c>
      <c r="F30" s="263">
        <f>$A30*(1-(($A30-1)/$A30)^F$2)</f>
        <v/>
      </c>
      <c r="G30" s="263">
        <f>$A30*(1-(($A30-1)/$A30)^G$2)</f>
        <v/>
      </c>
      <c r="H30" s="263">
        <f>$A30*(1-(($A30-1)/$A30)^H$2)</f>
        <v/>
      </c>
      <c r="I30" s="263">
        <f>$A30*(1-(($A30-1)/$A30)^I$2)</f>
        <v/>
      </c>
      <c r="J30" s="263">
        <f>$A30*(1-(($A30-1)/$A30)^J$2)</f>
        <v/>
      </c>
      <c r="K30" s="263">
        <f>$A30*(1-(($A30-1)/$A30)^K$2)</f>
        <v/>
      </c>
      <c r="L30" s="263">
        <f>$A30*(1-(($A30-1)/$A30)^L$2)</f>
        <v/>
      </c>
      <c r="M30" s="263">
        <f>$A30*(1-(($A30-1)/$A30)^M$2)</f>
        <v/>
      </c>
      <c r="N30" s="263">
        <f>$A30*(1-(($A30-1)/$A30)^N$2)</f>
        <v/>
      </c>
      <c r="O30" s="263">
        <f>$A30*(1-(($A30-1)/$A30)^O$2)</f>
        <v/>
      </c>
      <c r="P30" s="263">
        <f>$A30*(1-(($A30-1)/$A30)^P$2)</f>
        <v/>
      </c>
      <c r="Q30" s="263">
        <f>$A30*(1-(($A30-1)/$A30)^Q$2)</f>
        <v/>
      </c>
      <c r="R30" s="264">
        <f>$A30*(1-(($A30-1)/$A30)^R$2)</f>
        <v/>
      </c>
      <c r="S30" s="264">
        <f>$A30*(1-(($A30-1)/$A30)^S$2)</f>
        <v/>
      </c>
      <c r="T30" s="264">
        <f>$A30*(1-(($A30-1)/$A30)^T$2)</f>
        <v/>
      </c>
      <c r="U30" s="264">
        <f>$A30*(1-(($A30-1)/$A30)^U$2)</f>
        <v/>
      </c>
      <c r="V30" s="264">
        <f>$A30*(1-(($A30-1)/$A30)^V$2)</f>
        <v/>
      </c>
      <c r="W30" s="264">
        <f>$A30*(1-(($A30-1)/$A30)^W$2)</f>
        <v/>
      </c>
      <c r="X30" s="264">
        <f>$A30*(1-(($A30-1)/$A30)^X$2)</f>
        <v/>
      </c>
      <c r="Y30" s="264">
        <f>$A30*(1-(($A30-1)/$A30)^Y$2)</f>
        <v/>
      </c>
      <c r="Z30" s="264">
        <f>$A30*(1-(($A30-1)/$A30)^Z$2)</f>
        <v/>
      </c>
      <c r="AA30" s="264">
        <f>$A30*(1-(($A30-1)/$A30)^AA$2)</f>
        <v/>
      </c>
      <c r="AB30" s="264">
        <f>$A30*(1-(($A30-1)/$A30)^AB$2)</f>
        <v/>
      </c>
      <c r="AC30" s="264">
        <f>$A30*(1-(($A30-1)/$A30)^AC$2)</f>
        <v/>
      </c>
      <c r="AD30" s="264">
        <f>$A30*(1-(($A30-1)/$A30)^AD$2)</f>
        <v/>
      </c>
      <c r="AE30" s="253" t="n"/>
      <c r="AF30" s="253" t="n"/>
      <c r="AG30" s="253" t="n"/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$A31*(1-(($A31-1)/$A31)^B$2)</f>
        <v/>
      </c>
      <c r="C31" s="263">
        <f>$A31*(1-(($A31-1)/$A31)^C$2)</f>
        <v/>
      </c>
      <c r="D31" s="263">
        <f>$A31*(1-(($A31-1)/$A31)^D$2)</f>
        <v/>
      </c>
      <c r="E31" s="263">
        <f>$A31*(1-(($A31-1)/$A31)^E$2)</f>
        <v/>
      </c>
      <c r="F31" s="263">
        <f>$A31*(1-(($A31-1)/$A31)^F$2)</f>
        <v/>
      </c>
      <c r="G31" s="263">
        <f>$A31*(1-(($A31-1)/$A31)^G$2)</f>
        <v/>
      </c>
      <c r="H31" s="263">
        <f>$A31*(1-(($A31-1)/$A31)^H$2)</f>
        <v/>
      </c>
      <c r="I31" s="263">
        <f>$A31*(1-(($A31-1)/$A31)^I$2)</f>
        <v/>
      </c>
      <c r="J31" s="263">
        <f>$A31*(1-(($A31-1)/$A31)^J$2)</f>
        <v/>
      </c>
      <c r="K31" s="263">
        <f>$A31*(1-(($A31-1)/$A31)^K$2)</f>
        <v/>
      </c>
      <c r="L31" s="263">
        <f>$A31*(1-(($A31-1)/$A31)^L$2)</f>
        <v/>
      </c>
      <c r="M31" s="263">
        <f>$A31*(1-(($A31-1)/$A31)^M$2)</f>
        <v/>
      </c>
      <c r="N31" s="263">
        <f>$A31*(1-(($A31-1)/$A31)^N$2)</f>
        <v/>
      </c>
      <c r="O31" s="263">
        <f>$A31*(1-(($A31-1)/$A31)^O$2)</f>
        <v/>
      </c>
      <c r="P31" s="263">
        <f>$A31*(1-(($A31-1)/$A31)^P$2)</f>
        <v/>
      </c>
      <c r="Q31" s="263">
        <f>$A31*(1-(($A31-1)/$A31)^Q$2)</f>
        <v/>
      </c>
      <c r="R31" s="264">
        <f>$A31*(1-(($A31-1)/$A31)^R$2)</f>
        <v/>
      </c>
      <c r="S31" s="264">
        <f>$A31*(1-(($A31-1)/$A31)^S$2)</f>
        <v/>
      </c>
      <c r="T31" s="264">
        <f>$A31*(1-(($A31-1)/$A31)^T$2)</f>
        <v/>
      </c>
      <c r="U31" s="264">
        <f>$A31*(1-(($A31-1)/$A31)^U$2)</f>
        <v/>
      </c>
      <c r="V31" s="264">
        <f>$A31*(1-(($A31-1)/$A31)^V$2)</f>
        <v/>
      </c>
      <c r="W31" s="264">
        <f>$A31*(1-(($A31-1)/$A31)^W$2)</f>
        <v/>
      </c>
      <c r="X31" s="264">
        <f>$A31*(1-(($A31-1)/$A31)^X$2)</f>
        <v/>
      </c>
      <c r="Y31" s="264">
        <f>$A31*(1-(($A31-1)/$A31)^Y$2)</f>
        <v/>
      </c>
      <c r="Z31" s="264">
        <f>$A31*(1-(($A31-1)/$A31)^Z$2)</f>
        <v/>
      </c>
      <c r="AA31" s="264">
        <f>$A31*(1-(($A31-1)/$A31)^AA$2)</f>
        <v/>
      </c>
      <c r="AB31" s="264">
        <f>$A31*(1-(($A31-1)/$A31)^AB$2)</f>
        <v/>
      </c>
      <c r="AC31" s="264">
        <f>$A31*(1-(($A31-1)/$A31)^AC$2)</f>
        <v/>
      </c>
      <c r="AD31" s="264">
        <f>$A31*(1-(($A31-1)/$A31)^AD$2)</f>
        <v/>
      </c>
      <c r="AE31" s="253" t="n"/>
      <c r="AF31" s="253" t="n"/>
      <c r="AG31" s="253" t="n"/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$A32*(1-(($A32-1)/$A32)^B$2)</f>
        <v/>
      </c>
      <c r="C32" s="263">
        <f>$A32*(1-(($A32-1)/$A32)^C$2)</f>
        <v/>
      </c>
      <c r="D32" s="263">
        <f>$A32*(1-(($A32-1)/$A32)^D$2)</f>
        <v/>
      </c>
      <c r="E32" s="263">
        <f>$A32*(1-(($A32-1)/$A32)^E$2)</f>
        <v/>
      </c>
      <c r="F32" s="263">
        <f>$A32*(1-(($A32-1)/$A32)^F$2)</f>
        <v/>
      </c>
      <c r="G32" s="263">
        <f>$A32*(1-(($A32-1)/$A32)^G$2)</f>
        <v/>
      </c>
      <c r="H32" s="263">
        <f>$A32*(1-(($A32-1)/$A32)^H$2)</f>
        <v/>
      </c>
      <c r="I32" s="263">
        <f>$A32*(1-(($A32-1)/$A32)^I$2)</f>
        <v/>
      </c>
      <c r="J32" s="263">
        <f>$A32*(1-(($A32-1)/$A32)^J$2)</f>
        <v/>
      </c>
      <c r="K32" s="263">
        <f>$A32*(1-(($A32-1)/$A32)^K$2)</f>
        <v/>
      </c>
      <c r="L32" s="263">
        <f>$A32*(1-(($A32-1)/$A32)^L$2)</f>
        <v/>
      </c>
      <c r="M32" s="263">
        <f>$A32*(1-(($A32-1)/$A32)^M$2)</f>
        <v/>
      </c>
      <c r="N32" s="263">
        <f>$A32*(1-(($A32-1)/$A32)^N$2)</f>
        <v/>
      </c>
      <c r="O32" s="263">
        <f>$A32*(1-(($A32-1)/$A32)^O$2)</f>
        <v/>
      </c>
      <c r="P32" s="263">
        <f>$A32*(1-(($A32-1)/$A32)^P$2)</f>
        <v/>
      </c>
      <c r="Q32" s="263">
        <f>$A32*(1-(($A32-1)/$A32)^Q$2)</f>
        <v/>
      </c>
      <c r="R32" s="264">
        <f>$A32*(1-(($A32-1)/$A32)^R$2)</f>
        <v/>
      </c>
      <c r="S32" s="264">
        <f>$A32*(1-(($A32-1)/$A32)^S$2)</f>
        <v/>
      </c>
      <c r="T32" s="264">
        <f>$A32*(1-(($A32-1)/$A32)^T$2)</f>
        <v/>
      </c>
      <c r="U32" s="264">
        <f>$A32*(1-(($A32-1)/$A32)^U$2)</f>
        <v/>
      </c>
      <c r="V32" s="264">
        <f>$A32*(1-(($A32-1)/$A32)^V$2)</f>
        <v/>
      </c>
      <c r="W32" s="264">
        <f>$A32*(1-(($A32-1)/$A32)^W$2)</f>
        <v/>
      </c>
      <c r="X32" s="264">
        <f>$A32*(1-(($A32-1)/$A32)^X$2)</f>
        <v/>
      </c>
      <c r="Y32" s="264">
        <f>$A32*(1-(($A32-1)/$A32)^Y$2)</f>
        <v/>
      </c>
      <c r="Z32" s="264">
        <f>$A32*(1-(($A32-1)/$A32)^Z$2)</f>
        <v/>
      </c>
      <c r="AA32" s="264">
        <f>$A32*(1-(($A32-1)/$A32)^AA$2)</f>
        <v/>
      </c>
      <c r="AB32" s="264">
        <f>$A32*(1-(($A32-1)/$A32)^AB$2)</f>
        <v/>
      </c>
      <c r="AC32" s="264">
        <f>$A32*(1-(($A32-1)/$A32)^AC$2)</f>
        <v/>
      </c>
      <c r="AD32" s="264">
        <f>$A32*(1-(($A32-1)/$A32)^AD$2)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TABLO-5 ORTALAMA DURAK ADEDİ  —  S = N·(1−((N−1)/N)^P)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s.16 (Tablo-5,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" customWidth="1" style="136" min="1" max="1"/>
    <col width="8" customWidth="1" style="136" min="2" max="9"/>
  </cols>
  <sheetData>
    <row r="1" ht="15.75" customHeight="1" s="138">
      <c r="A1" s="269" t="inlineStr">
        <is>
          <t>Hız [m/s]</t>
        </is>
      </c>
      <c r="B1" s="269" t="inlineStr">
        <is>
          <t>&lt;1</t>
        </is>
      </c>
      <c r="C1" s="269" t="inlineStr">
        <is>
          <t>1</t>
        </is>
      </c>
      <c r="D1" s="269" t="inlineStr">
        <is>
          <t>1,6</t>
        </is>
      </c>
      <c r="E1" s="269" t="inlineStr">
        <is>
          <t>2</t>
        </is>
      </c>
      <c r="F1" s="269" t="inlineStr">
        <is>
          <t>2,5</t>
        </is>
      </c>
      <c r="G1" s="269" t="inlineStr">
        <is>
          <t>3,5</t>
        </is>
      </c>
      <c r="H1" s="269" t="inlineStr">
        <is>
          <t>5</t>
        </is>
      </c>
      <c r="I1" s="269" t="inlineStr">
        <is>
          <t>&gt;5,00</t>
        </is>
      </c>
    </row>
    <row r="2" ht="15.75" customHeight="1" s="138">
      <c r="A2" s="269" t="inlineStr">
        <is>
          <t>tg [s]</t>
        </is>
      </c>
      <c r="B2" s="266" t="inlineStr">
        <is>
          <t>10</t>
        </is>
      </c>
      <c r="C2" s="266" t="inlineStr">
        <is>
          <t>7</t>
        </is>
      </c>
      <c r="D2" s="266" t="inlineStr">
        <is>
          <t>6</t>
        </is>
      </c>
      <c r="E2" s="266" t="inlineStr">
        <is>
          <t>5,7</t>
        </is>
      </c>
      <c r="F2" s="266" t="inlineStr">
        <is>
          <t>5,5</t>
        </is>
      </c>
      <c r="G2" s="266" t="inlineStr">
        <is>
          <t>5</t>
        </is>
      </c>
      <c r="H2" s="266" t="inlineStr">
        <is>
          <t>4,5</t>
        </is>
      </c>
      <c r="I2" s="266" t="inlineStr">
        <is>
          <t>4,3</t>
        </is>
      </c>
    </row>
    <row r="3" ht="21.75" customHeight="1" s="138">
      <c r="A3" s="270" t="inlineStr">
        <is>
          <t>Tablo –6 Tek katı geçme zamanı  |  Kaynak: MMO/697, Ocak 2020, s.17 (kitapla birebir doğrulandı)</t>
        </is>
      </c>
      <c r="B3" s="140" t="n"/>
      <c r="C3" s="140" t="n"/>
      <c r="D3" s="140" t="n"/>
      <c r="E3" s="140" t="n"/>
      <c r="F3" s="140" t="n"/>
      <c r="G3" s="140" t="n"/>
      <c r="H3" s="140" t="n"/>
      <c r="I3" s="141" t="n"/>
    </row>
    <row r="4" ht="15" customHeight="1" s="138">
      <c r="A4" s="136" t="inlineStr">
        <is>
          <t>Ara değerler: 1,75 m/s → tg = 5,8875 s ve 3,00 m/s → tg = 5,25 s, komşu tablo noktaları arasında doğrusal enterpolasyonla türetilmiştir. MMO/697 Tablo-6 satır başlığı değildir; paftada kaynak "Tablo-6 (ara değer — enterpolasyon)"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">
    <mergeCell ref="A3:I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9.57" customWidth="1" style="136" min="1" max="9"/>
  </cols>
  <sheetData>
    <row r="1" ht="18" customHeight="1" s="138">
      <c r="A1" s="261" t="inlineStr">
        <is>
          <t>Kabin Kapasitesi (P)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</row>
    <row r="2" ht="15.75" customHeight="1" s="138">
      <c r="A2" s="252" t="inlineStr">
        <is>
          <t>6 kişi</t>
        </is>
      </c>
      <c r="B2" s="252" t="inlineStr">
        <is>
          <t>8 kişi</t>
        </is>
      </c>
      <c r="C2" s="252" t="inlineStr">
        <is>
          <t>10 kişi</t>
        </is>
      </c>
      <c r="D2" s="252" t="inlineStr">
        <is>
          <t>13 kişi</t>
        </is>
      </c>
      <c r="E2" s="252" t="inlineStr">
        <is>
          <t>16 kişi</t>
        </is>
      </c>
      <c r="F2" s="252" t="inlineStr">
        <is>
          <t>20 kişi</t>
        </is>
      </c>
      <c r="G2" s="252" t="inlineStr">
        <is>
          <t>25 kişi</t>
        </is>
      </c>
      <c r="H2" s="252" t="inlineStr">
        <is>
          <t>30 kişi</t>
        </is>
      </c>
      <c r="I2" s="265" t="n"/>
      <c r="J2" s="253" t="n"/>
      <c r="K2" s="253" t="n"/>
      <c r="L2" s="253" t="n"/>
    </row>
    <row r="3" ht="15.75" customHeight="1" s="138">
      <c r="A3" s="255" t="inlineStr">
        <is>
          <t>450 kg</t>
        </is>
      </c>
      <c r="B3" s="255" t="inlineStr">
        <is>
          <t>630 kg</t>
        </is>
      </c>
      <c r="C3" s="255" t="inlineStr">
        <is>
          <t>800 kg</t>
        </is>
      </c>
      <c r="D3" s="255" t="inlineStr">
        <is>
          <t>1000 kg</t>
        </is>
      </c>
      <c r="E3" s="255" t="inlineStr">
        <is>
          <t>1275 kg</t>
        </is>
      </c>
      <c r="F3" s="255" t="inlineStr">
        <is>
          <t>1600 kg</t>
        </is>
      </c>
      <c r="G3" s="255" t="inlineStr">
        <is>
          <t>2000 kg</t>
        </is>
      </c>
      <c r="H3" s="255" t="inlineStr">
        <is>
          <t>2500 kg</t>
        </is>
      </c>
      <c r="I3" s="265" t="n"/>
      <c r="J3" s="253" t="n"/>
      <c r="K3" s="253" t="n"/>
      <c r="L3" s="253" t="n"/>
    </row>
    <row r="4" ht="21.75" customHeight="1" s="138">
      <c r="A4" s="260" t="inlineStr">
        <is>
          <t>Tablo –7 Kabin kapasitesi  |  Kaynak: MMO/697, Ocak 2020, s.17</t>
        </is>
      </c>
      <c r="I4" s="253" t="n"/>
      <c r="J4" s="253" t="n"/>
      <c r="K4" s="253" t="n"/>
      <c r="L4" s="253" t="n"/>
    </row>
    <row r="5" ht="27.75" customHeight="1" s="138">
      <c r="A5" s="271" t="inlineStr">
        <is>
          <t>Not: 15 kişi / 1125 kg bu Tablo-7'de yer almaz; MMO/697'nin s.53-54 örnek projesinde kullanıldığı için hesap sayfalarında açıkça 'örnek istisnası' olarak desteklenir.</t>
        </is>
      </c>
      <c r="I5" s="253" t="n"/>
      <c r="J5" s="253" t="n"/>
      <c r="K5" s="253" t="n"/>
      <c r="L5" s="253" t="n"/>
    </row>
    <row r="6" ht="27.75" customHeight="1" s="138">
      <c r="A6" s="271" t="inlineStr">
        <is>
          <t>Kaynak ayrımı: Tablo-7 s.17 | 15 kişi / 1125 kg örneği s.53-54</t>
        </is>
      </c>
      <c r="I6" s="253" t="n"/>
      <c r="J6" s="253" t="n"/>
      <c r="K6" s="253" t="n"/>
      <c r="L6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3">
    <mergeCell ref="A4:H4"/>
    <mergeCell ref="A6:H6"/>
    <mergeCell ref="A5:H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5" customWidth="1" style="136" min="1" max="1"/>
    <col width="12" customWidth="1" style="137" min="2" max="6"/>
  </cols>
  <sheetData>
    <row r="1" ht="15.75" customHeight="1" s="138">
      <c r="A1" s="272" t="inlineStr">
        <is>
          <t>Kapı Genişliği [mm]</t>
        </is>
      </c>
      <c r="B1" s="272" t="n">
        <v>700</v>
      </c>
      <c r="C1" s="272" t="n">
        <v>800</v>
      </c>
      <c r="D1" s="272" t="n">
        <v>900</v>
      </c>
      <c r="E1" s="272" t="n">
        <v>1000</v>
      </c>
      <c r="F1" s="272" t="n">
        <v>1100</v>
      </c>
      <c r="G1" s="272" t="n">
        <v>1200</v>
      </c>
      <c r="H1" s="272" t="n">
        <v>1300</v>
      </c>
    </row>
    <row r="2" ht="15.75" customHeight="1" s="138">
      <c r="A2" s="273" t="inlineStr">
        <is>
          <t>tp [s]</t>
        </is>
      </c>
      <c r="B2" s="274" t="n">
        <v>1.3</v>
      </c>
      <c r="C2" s="274" t="n">
        <v>1.2</v>
      </c>
      <c r="D2" s="274" t="n">
        <v>1.1</v>
      </c>
      <c r="E2" s="274" t="n">
        <v>1</v>
      </c>
      <c r="F2" s="274" t="n">
        <v>1</v>
      </c>
      <c r="G2" s="274" t="n">
        <v>0.9</v>
      </c>
      <c r="H2" s="274" t="n">
        <v>0.9</v>
      </c>
    </row>
    <row r="3" ht="30" customHeight="1" s="138">
      <c r="A3" s="286" t="inlineStr">
        <is>
          <t>Tablo –8 Kişi transfer zamanı (tp) — kapı tipinden bağımsız, net kapı genişliğine göre. tp = tek yolcunun kabine giriş VEYA çıkış süresidir; TR denkleminde 2·p·tp olarak kullanılır.</t>
        </is>
      </c>
      <c r="G3" s="253" t="n"/>
      <c r="H3" s="253" t="n"/>
    </row>
    <row r="4" hidden="1" ht="15" customHeight="1" s="138">
      <c r="A4" s="159" t="n"/>
      <c r="B4" s="159" t="n"/>
      <c r="C4" s="159" t="n"/>
      <c r="D4" s="253" t="n"/>
      <c r="E4" s="253" t="n"/>
      <c r="F4" s="253" t="n"/>
      <c r="G4" s="253" t="n"/>
      <c r="H4" s="253" t="n"/>
    </row>
    <row r="5" ht="30" customHeight="1" s="138">
      <c r="A5" s="287" t="inlineStr">
        <is>
          <t>Kaynak: ISO 8100-32:2020 "Planning and selection of passenger lifts…", Tablo 6 — 900 mm: 1,1 s | 1000 mm: 1,0 s | 1100 mm: 1,0 s | 1200 mm: 0,9 s.</t>
        </is>
      </c>
      <c r="G5" s="253" t="n"/>
      <c r="H5" s="253" t="n"/>
    </row>
    <row r="6" ht="15" customHeight="1" s="138">
      <c r="A6" s="253" t="inlineStr">
        <is>
          <t>800 mm: 1,2 s — ISO/CD 8100-32 (2017 komite taslağı) Tablo 6'nın 800 mm satırından; ayrıca Barney &amp; Peters, "Expert Systems for Lift Traffic Design", 9th Symposium on Lift &amp; Escalator Technology (2018), Tablo 3 (450-800 kg / 800 mm → 1,2 s) ile birebir aynıdır. 800 mm, EN 81-70'in erişilebilir asansör için istediği asgari net kapı genişliğidir.</t>
        </is>
      </c>
      <c r="B6" s="253" t="n"/>
      <c r="C6" s="253" t="n"/>
      <c r="D6" s="253" t="n"/>
      <c r="E6" s="253" t="n"/>
      <c r="F6" s="253" t="n"/>
      <c r="G6" s="253" t="n"/>
      <c r="H6" s="253" t="n"/>
    </row>
    <row r="7" ht="15" customHeight="1" s="138">
      <c r="A7" s="253" t="inlineStr">
        <is>
          <t>1300 mm: 0,9 s — ISO tablosu 1200 mm'de biter; 1200 mm değeri düz devam ettirilmiştir. Barney/Peters &gt;1100 mm için 0,8 s verdiğinden bu değer güvenli taraftadır.</t>
        </is>
      </c>
      <c r="B7" s="253" t="n"/>
      <c r="C7" s="253" t="n"/>
      <c r="D7" s="253" t="n"/>
      <c r="E7" s="253" t="n"/>
      <c r="F7" s="253" t="n"/>
      <c r="G7" s="253" t="n"/>
      <c r="H7" s="253" t="n"/>
    </row>
    <row r="8" ht="15" customHeight="1" s="138">
      <c r="A8" s="253" t="inlineStr">
        <is>
          <t>700 mm ISO 8100-32:2020 Tablo 6'da ve Barney/Peters tablolarında YOKTUR (tablo 800 mm'de başlar, ayrıca 700 mm TS EN 81-70 erişilebilirlik asgarisi olan 800 mm'nin altındadır). Buradaki 1,3 s değeri 800→900 mm eğiminden ( −0,1 s / 100 mm ) DOĞRUSAL DIŞ DEĞERLEME ile bulunmuştur; büyük tp, TR'yi büyüttüğü için emniyetli taraftadır. İmalatçı verisi varsa manuel tp girilmelidir.</t>
        </is>
      </c>
      <c r="B8" s="253" t="n"/>
      <c r="C8" s="253" t="n"/>
      <c r="D8" s="253" t="n"/>
      <c r="E8" s="253" t="n"/>
      <c r="F8" s="253" t="n"/>
      <c r="G8" s="253" t="n"/>
      <c r="H8" s="253" t="n"/>
    </row>
    <row r="10" ht="15" customHeight="1" s="138">
      <c r="A10" s="136" t="inlineStr">
        <is>
          <t>NOT — bina tipi düzeltmesi: Barney/Peters Tablo 3 ofis değerleri içindir ve konut için +0,3 s, otel için +0,5 s eklenmesini önerir. ISO 8100-32:2020 Tablo 6 böyle bir ayrım yapmaz ve MMO/697 de yapmaz; bu çalışma kitabı ISO değerlerini olduğu gibi kullanır. Muhafazakâr bir konut tasarımı isteniyorsa HESAPLAMA E29 hücresine tp + 0,3 s elle girilebilir.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3:F3"/>
    <mergeCell ref="A5:F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13" customWidth="1" style="136" min="2" max="2"/>
    <col width="15" customWidth="1" style="136" min="3" max="3"/>
    <col hidden="1" width="13" customWidth="1" style="136" min="4" max="5"/>
  </cols>
  <sheetData>
    <row r="1" ht="18" customHeight="1" s="138">
      <c r="A1" s="252" t="inlineStr">
        <is>
          <t>Bina Tipi</t>
        </is>
      </c>
      <c r="B1" s="252" t="inlineStr">
        <is>
          <t>Standart</t>
        </is>
      </c>
      <c r="C1" s="252" t="inlineStr">
        <is>
          <t>Yükseltilmiş 1)</t>
        </is>
      </c>
      <c r="D1" s="251" t="inlineStr">
        <is>
          <t>Standart_num</t>
        </is>
      </c>
      <c r="E1" s="251" t="inlineStr">
        <is>
          <t>Yükseltilmiş_num</t>
        </is>
      </c>
      <c r="F1" s="253" t="n"/>
      <c r="G1" s="253" t="n"/>
      <c r="H1" s="253" t="n"/>
    </row>
    <row r="2" ht="15.75" customHeight="1" s="138">
      <c r="A2" s="277" t="inlineStr">
        <is>
          <t>Konut</t>
        </is>
      </c>
      <c r="B2" s="255" t="inlineStr">
        <is>
          <t>% 7.5</t>
        </is>
      </c>
      <c r="C2" s="255" t="inlineStr">
        <is>
          <t>% 10</t>
        </is>
      </c>
      <c r="D2" s="256" t="n">
        <v>0.075</v>
      </c>
      <c r="E2" s="256" t="n">
        <v>0.1</v>
      </c>
      <c r="F2" s="253" t="n"/>
      <c r="G2" s="253" t="n"/>
      <c r="H2" s="253" t="n"/>
    </row>
    <row r="3" ht="15.75" customHeight="1" s="138">
      <c r="A3" s="277" t="inlineStr">
        <is>
          <t>Otel</t>
        </is>
      </c>
      <c r="B3" s="255" t="inlineStr">
        <is>
          <t>% 12</t>
        </is>
      </c>
      <c r="C3" s="255" t="inlineStr">
        <is>
          <t>% 15</t>
        </is>
      </c>
      <c r="D3" s="256" t="n">
        <v>0.12</v>
      </c>
      <c r="E3" s="256" t="n">
        <v>0.15</v>
      </c>
      <c r="F3" s="253" t="n"/>
      <c r="G3" s="253" t="n"/>
      <c r="H3" s="253" t="n"/>
    </row>
    <row r="4" ht="15.75" customHeight="1" s="138">
      <c r="A4" s="277" t="inlineStr">
        <is>
          <t>İş Merkezi</t>
        </is>
      </c>
      <c r="B4" s="255" t="inlineStr">
        <is>
          <t>% 15</t>
        </is>
      </c>
      <c r="C4" s="255" t="inlineStr">
        <is>
          <t>% 17</t>
        </is>
      </c>
      <c r="D4" s="256" t="n">
        <v>0.15</v>
      </c>
      <c r="E4" s="256" t="n">
        <v>0.17</v>
      </c>
      <c r="F4" s="253" t="n"/>
      <c r="G4" s="253" t="n"/>
      <c r="H4" s="253" t="n"/>
    </row>
    <row r="5" ht="15.75" customHeight="1" s="138">
      <c r="A5" s="277" t="inlineStr">
        <is>
          <t>Hastane</t>
        </is>
      </c>
      <c r="B5" s="255" t="inlineStr">
        <is>
          <t>% 10</t>
        </is>
      </c>
      <c r="C5" s="255" t="inlineStr">
        <is>
          <t>% 20</t>
        </is>
      </c>
      <c r="D5" s="256" t="n">
        <v>0.1</v>
      </c>
      <c r="E5" s="256" t="n">
        <v>0.2</v>
      </c>
      <c r="F5" s="253" t="n"/>
      <c r="G5" s="253" t="n"/>
      <c r="H5" s="253" t="n"/>
    </row>
    <row r="6" ht="15.75" customHeight="1" s="138">
      <c r="A6" s="277" t="inlineStr">
        <is>
          <t>Otopark</t>
        </is>
      </c>
      <c r="B6" s="255" t="inlineStr">
        <is>
          <t>% 10</t>
        </is>
      </c>
      <c r="C6" s="255" t="inlineStr">
        <is>
          <t>% 20</t>
        </is>
      </c>
      <c r="D6" s="256" t="n">
        <v>0.1</v>
      </c>
      <c r="E6" s="256" t="n">
        <v>0.2</v>
      </c>
      <c r="F6" s="253" t="n"/>
      <c r="G6" s="253" t="n"/>
      <c r="H6" s="253" t="n"/>
    </row>
    <row r="7" ht="15.75" customHeight="1" s="138">
      <c r="A7" s="278" t="n"/>
      <c r="B7" s="265" t="n"/>
      <c r="C7" s="265" t="n"/>
      <c r="D7" s="253" t="n"/>
      <c r="E7" s="253" t="n"/>
      <c r="F7" s="253" t="n"/>
      <c r="G7" s="253" t="n"/>
      <c r="H7" s="253" t="n"/>
    </row>
    <row r="8" ht="30" customHeight="1" s="138">
      <c r="A8" s="258" t="inlineStr">
        <is>
          <t>1) Yüksek yapılardaki asansörlerin hesabı için yükseltilmiş değerlerin seçilmelidir.</t>
        </is>
      </c>
      <c r="F8" s="253" t="n"/>
      <c r="G8" s="253" t="n"/>
      <c r="H8" s="253" t="n"/>
    </row>
    <row r="9" ht="27.75" customHeight="1" s="138">
      <c r="A9" s="259" t="inlineStr">
        <is>
          <t>Tablo –9 Taşınacak insan yüzdesi (% k)</t>
        </is>
      </c>
      <c r="F9" s="253" t="n"/>
      <c r="G9" s="253" t="n"/>
      <c r="H9" s="253" t="n"/>
    </row>
    <row r="10" ht="21.75" customHeight="1" s="138">
      <c r="A10" s="260" t="inlineStr">
        <is>
          <t>Kaynak: MMO/697, Ocak 2020, s.17</t>
        </is>
      </c>
      <c r="F10" s="253" t="n"/>
      <c r="G10" s="253" t="n"/>
      <c r="H10" s="253" t="n"/>
    </row>
    <row r="11" ht="49.5" customHeight="1" s="138">
      <c r="A11" s="279" t="inlineStr">
        <is>
          <t>Otomatik yüksek bina kontrolü: bina yüksekliği &gt;21,50 m veya yapı yüksekliği &gt;30,50 m ise Yükseltilmiş seçilir (BYKHY md.4; kaynak KAYNAKLAR).</t>
        </is>
      </c>
      <c r="F11" s="253" t="n"/>
      <c r="G11" s="253" t="n"/>
      <c r="H11" s="253" t="n"/>
    </row>
    <row r="12" ht="15" customHeight="1" s="138">
      <c r="A12" s="253" t="inlineStr">
        <is>
          <t>Kamu binaları Tablo-9'da yoktur; çalışma kitabı İş Merkezi yüzdesini (%15 / yükseltilmiş %17) varsayar ve bunu HESAPLAMA E6 hücresinde belirtir.</t>
        </is>
      </c>
      <c r="B12" s="253" t="n"/>
      <c r="C12" s="253" t="n"/>
      <c r="D12" s="253" t="n"/>
      <c r="E12" s="253" t="n"/>
      <c r="F12" s="253" t="n"/>
      <c r="G12" s="253" t="n"/>
      <c r="H1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1:E11"/>
    <mergeCell ref="A10:E10"/>
    <mergeCell ref="A9:E9"/>
    <mergeCell ref="A8:E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4" customWidth="1" style="136" min="1" max="1"/>
    <col width="15" customWidth="1" style="136" min="2" max="3"/>
    <col width="12" customWidth="1" style="136" min="4" max="4"/>
    <col width="20" customWidth="1" style="136" min="5" max="5"/>
    <col hidden="1" width="13" customWidth="1" style="136" min="6" max="8"/>
    <col width="34" customWidth="1" style="136" min="10" max="10"/>
    <col width="20" customWidth="1" style="136" min="11" max="11"/>
    <col width="18" customWidth="1" style="136" min="12" max="12"/>
  </cols>
  <sheetData>
    <row r="1" ht="30" customHeight="1" s="138">
      <c r="A1" s="250" t="inlineStr">
        <is>
          <t>Sınıf</t>
        </is>
      </c>
      <c r="B1" s="250" t="inlineStr">
        <is>
          <t>Kabul Edilemez</t>
        </is>
      </c>
      <c r="C1" s="250" t="inlineStr">
        <is>
          <t>Şartlı Kabul 2)</t>
        </is>
      </c>
      <c r="D1" s="250" t="inlineStr">
        <is>
          <t>Standart</t>
        </is>
      </c>
      <c r="E1" s="250" t="inlineStr">
        <is>
          <t>Yükseltilmiş 3)</t>
        </is>
      </c>
      <c r="F1" s="251" t="inlineStr">
        <is>
          <t>Sartli_num</t>
        </is>
      </c>
      <c r="G1" s="251" t="inlineStr">
        <is>
          <t>Standart_num</t>
        </is>
      </c>
      <c r="H1" s="251" t="inlineStr">
        <is>
          <t>Yukseltilmis_num</t>
        </is>
      </c>
      <c r="I1" s="253" t="n"/>
      <c r="J1" s="251" t="inlineStr">
        <is>
          <t>Bina Tipi (ana seçim)</t>
        </is>
      </c>
      <c r="K1" s="251" t="inlineStr">
        <is>
          <t>→ Tablo-2 hız grubu</t>
        </is>
      </c>
      <c r="L1" s="251" t="inlineStr">
        <is>
          <t>→ Tablo-9 %k tipi</t>
        </is>
      </c>
    </row>
    <row r="2" ht="15.75" customHeight="1" s="138">
      <c r="A2" s="277" t="inlineStr">
        <is>
          <t>Konut</t>
        </is>
      </c>
      <c r="B2" s="255" t="inlineStr">
        <is>
          <t>120 sn. üzeri</t>
        </is>
      </c>
      <c r="C2" s="255" t="inlineStr">
        <is>
          <t>120 sn.</t>
        </is>
      </c>
      <c r="D2" s="255" t="inlineStr">
        <is>
          <t>100 sn.</t>
        </is>
      </c>
      <c r="E2" s="255" t="inlineStr">
        <is>
          <t>80 sn.</t>
        </is>
      </c>
      <c r="F2" s="256" t="n">
        <v>120</v>
      </c>
      <c r="G2" s="256" t="n">
        <v>100</v>
      </c>
      <c r="H2" s="256" t="n">
        <v>80</v>
      </c>
      <c r="I2" s="253" t="n"/>
      <c r="J2" s="256" t="inlineStr">
        <is>
          <t>Konut</t>
        </is>
      </c>
      <c r="K2" s="209" t="inlineStr">
        <is>
          <t>Konut</t>
        </is>
      </c>
      <c r="L2" s="209" t="inlineStr">
        <is>
          <t>Konut</t>
        </is>
      </c>
    </row>
    <row r="3" ht="15.75" customHeight="1" s="138">
      <c r="A3" s="277" t="inlineStr">
        <is>
          <t>Karma Binalar (İşyeri ve Konut)</t>
        </is>
      </c>
      <c r="B3" s="255" t="inlineStr">
        <is>
          <t>60 sn. üzeri</t>
        </is>
      </c>
      <c r="C3" s="255" t="inlineStr">
        <is>
          <t>60 sn.</t>
        </is>
      </c>
      <c r="D3" s="255" t="inlineStr">
        <is>
          <t>50 sn.</t>
        </is>
      </c>
      <c r="E3" s="255" t="inlineStr">
        <is>
          <t>30 sn.</t>
        </is>
      </c>
      <c r="F3" s="256" t="n">
        <v>60</v>
      </c>
      <c r="G3" s="256" t="n">
        <v>50</v>
      </c>
      <c r="H3" s="256" t="n">
        <v>30</v>
      </c>
      <c r="I3" s="253" t="n"/>
      <c r="J3" s="256" t="inlineStr">
        <is>
          <t>Karma Binalar (İşyeri ve Konut)</t>
        </is>
      </c>
      <c r="K3" s="209" t="inlineStr">
        <is>
          <t>Manuel hız gerekli</t>
        </is>
      </c>
      <c r="L3" s="209" t="inlineStr">
        <is>
          <t>Manuel k gerekli</t>
        </is>
      </c>
    </row>
    <row r="4" ht="15.75" customHeight="1" s="138">
      <c r="A4" s="277" t="inlineStr">
        <is>
          <t>İş Merkezi (Tek Firmalı)</t>
        </is>
      </c>
      <c r="B4" s="255" t="inlineStr">
        <is>
          <t>60 sn. üzeri</t>
        </is>
      </c>
      <c r="C4" s="255" t="inlineStr">
        <is>
          <t>60 sn.</t>
        </is>
      </c>
      <c r="D4" s="255" t="inlineStr">
        <is>
          <t>50 sn.</t>
        </is>
      </c>
      <c r="E4" s="255" t="inlineStr">
        <is>
          <t>40 sn.</t>
        </is>
      </c>
      <c r="F4" s="256" t="n">
        <v>60</v>
      </c>
      <c r="G4" s="256" t="n">
        <v>50</v>
      </c>
      <c r="H4" s="256" t="n">
        <v>40</v>
      </c>
      <c r="I4" s="253" t="n"/>
      <c r="J4" s="256" t="inlineStr">
        <is>
          <t>İş Merkezi (Tek Firmalı)</t>
        </is>
      </c>
      <c r="K4" s="209" t="inlineStr">
        <is>
          <t>Büro ve İş Merkezi</t>
        </is>
      </c>
      <c r="L4" s="209" t="inlineStr">
        <is>
          <t>İş Merkezi</t>
        </is>
      </c>
    </row>
    <row r="5" ht="15.75" customHeight="1" s="138">
      <c r="A5" s="277" t="inlineStr">
        <is>
          <t>İş Merkezi (Çok Firmalı)</t>
        </is>
      </c>
      <c r="B5" s="255" t="inlineStr">
        <is>
          <t>50 sn. üzeri</t>
        </is>
      </c>
      <c r="C5" s="255" t="inlineStr">
        <is>
          <t>50 sn.</t>
        </is>
      </c>
      <c r="D5" s="255" t="inlineStr">
        <is>
          <t>40 sn.</t>
        </is>
      </c>
      <c r="E5" s="255" t="inlineStr">
        <is>
          <t>30 sn.</t>
        </is>
      </c>
      <c r="F5" s="256" t="n">
        <v>50</v>
      </c>
      <c r="G5" s="256" t="n">
        <v>40</v>
      </c>
      <c r="H5" s="256" t="n">
        <v>30</v>
      </c>
      <c r="I5" s="253" t="n"/>
      <c r="J5" s="256" t="inlineStr">
        <is>
          <t>İş Merkezi (Çok Firmalı)</t>
        </is>
      </c>
      <c r="K5" s="209" t="inlineStr">
        <is>
          <t>Büro ve İş Merkezi</t>
        </is>
      </c>
      <c r="L5" s="209" t="inlineStr">
        <is>
          <t>İş Merkezi</t>
        </is>
      </c>
    </row>
    <row r="6" ht="15.75" customHeight="1" s="138">
      <c r="A6" s="277" t="inlineStr">
        <is>
          <t>Otel (3* ve altı)</t>
        </is>
      </c>
      <c r="B6" s="255" t="inlineStr">
        <is>
          <t>60 sn. üzeri</t>
        </is>
      </c>
      <c r="C6" s="255" t="inlineStr">
        <is>
          <t>60 sn.</t>
        </is>
      </c>
      <c r="D6" s="255" t="inlineStr">
        <is>
          <t>50 sn.</t>
        </is>
      </c>
      <c r="E6" s="255" t="inlineStr">
        <is>
          <t>40 sn.</t>
        </is>
      </c>
      <c r="F6" s="256" t="n">
        <v>60</v>
      </c>
      <c r="G6" s="256" t="n">
        <v>50</v>
      </c>
      <c r="H6" s="256" t="n">
        <v>40</v>
      </c>
      <c r="I6" s="253" t="n"/>
      <c r="J6" s="256" t="inlineStr">
        <is>
          <t>Otel (3* ve altı)</t>
        </is>
      </c>
      <c r="K6" s="209" t="inlineStr">
        <is>
          <t>Otel</t>
        </is>
      </c>
      <c r="L6" s="209" t="inlineStr">
        <is>
          <t>Otel</t>
        </is>
      </c>
    </row>
    <row r="7" ht="15.75" customHeight="1" s="138">
      <c r="A7" s="277" t="inlineStr">
        <is>
          <t>Otel (4* ve üzeri)</t>
        </is>
      </c>
      <c r="B7" s="255" t="inlineStr">
        <is>
          <t>50 sn. üzeri</t>
        </is>
      </c>
      <c r="C7" s="255" t="inlineStr">
        <is>
          <t>50 sn.</t>
        </is>
      </c>
      <c r="D7" s="255" t="inlineStr">
        <is>
          <t>40 sn.</t>
        </is>
      </c>
      <c r="E7" s="255" t="inlineStr">
        <is>
          <t>30 sn.</t>
        </is>
      </c>
      <c r="F7" s="256" t="n">
        <v>50</v>
      </c>
      <c r="G7" s="256" t="n">
        <v>40</v>
      </c>
      <c r="H7" s="256" t="n">
        <v>30</v>
      </c>
      <c r="I7" s="253" t="n"/>
      <c r="J7" s="256" t="inlineStr">
        <is>
          <t>Otel (4* ve üzeri)</t>
        </is>
      </c>
      <c r="K7" s="209" t="inlineStr">
        <is>
          <t>Otel</t>
        </is>
      </c>
      <c r="L7" s="209" t="inlineStr">
        <is>
          <t>Otel</t>
        </is>
      </c>
    </row>
    <row r="8" ht="15.75" customHeight="1" s="138">
      <c r="A8" s="277" t="inlineStr">
        <is>
          <t>Kamu Binaları</t>
        </is>
      </c>
      <c r="B8" s="255" t="inlineStr">
        <is>
          <t>40 sn. üzeri</t>
        </is>
      </c>
      <c r="C8" s="255" t="inlineStr">
        <is>
          <t>--</t>
        </is>
      </c>
      <c r="D8" s="255" t="inlineStr">
        <is>
          <t>40 sn.</t>
        </is>
      </c>
      <c r="E8" s="255" t="inlineStr">
        <is>
          <t>30 sn.</t>
        </is>
      </c>
      <c r="F8" s="256" t="n"/>
      <c r="G8" s="256" t="n">
        <v>40</v>
      </c>
      <c r="H8" s="256" t="n">
        <v>30</v>
      </c>
      <c r="I8" s="253" t="n"/>
      <c r="J8" s="256" t="inlineStr">
        <is>
          <t>Kamu Binaları</t>
        </is>
      </c>
      <c r="K8" s="209" t="inlineStr">
        <is>
          <t>Büro ve İş Merkezi</t>
        </is>
      </c>
      <c r="L8" s="209" t="inlineStr">
        <is>
          <t>İş Merkezi</t>
        </is>
      </c>
    </row>
    <row r="9" ht="15.75" customHeight="1" s="138">
      <c r="A9" s="277" t="inlineStr">
        <is>
          <t>Hastane</t>
        </is>
      </c>
      <c r="B9" s="255" t="inlineStr">
        <is>
          <t>40 sn. üzeri</t>
        </is>
      </c>
      <c r="C9" s="255" t="inlineStr">
        <is>
          <t>--</t>
        </is>
      </c>
      <c r="D9" s="255" t="inlineStr">
        <is>
          <t>40 sn.</t>
        </is>
      </c>
      <c r="E9" s="255" t="inlineStr">
        <is>
          <t>30 sn.</t>
        </is>
      </c>
      <c r="F9" s="256" t="n"/>
      <c r="G9" s="256" t="n">
        <v>40</v>
      </c>
      <c r="H9" s="256" t="n">
        <v>30</v>
      </c>
      <c r="I9" s="253" t="n"/>
      <c r="J9" s="256" t="inlineStr">
        <is>
          <t>Hastane</t>
        </is>
      </c>
      <c r="K9" s="209" t="inlineStr">
        <is>
          <t>Manuel hız gerekli</t>
        </is>
      </c>
      <c r="L9" s="209" t="inlineStr">
        <is>
          <t>Hastane</t>
        </is>
      </c>
    </row>
    <row r="10" ht="15.75" customHeight="1" s="138">
      <c r="A10" s="277" t="inlineStr">
        <is>
          <t>Poliklinik Binaları ve Yaşlı Bakım Ev.</t>
        </is>
      </c>
      <c r="B10" s="255" t="inlineStr">
        <is>
          <t>60 sn. üzeri</t>
        </is>
      </c>
      <c r="C10" s="255" t="inlineStr">
        <is>
          <t>60 sn.</t>
        </is>
      </c>
      <c r="D10" s="255" t="inlineStr">
        <is>
          <t>50 sn.</t>
        </is>
      </c>
      <c r="E10" s="255" t="inlineStr">
        <is>
          <t>40 sn.</t>
        </is>
      </c>
      <c r="F10" s="256" t="n">
        <v>60</v>
      </c>
      <c r="G10" s="256" t="n">
        <v>50</v>
      </c>
      <c r="H10" s="256" t="n">
        <v>40</v>
      </c>
      <c r="I10" s="253" t="n"/>
      <c r="J10" s="256" t="inlineStr">
        <is>
          <t>Poliklinik Binaları ve Yaşlı Bakım Ev.</t>
        </is>
      </c>
      <c r="K10" s="209" t="inlineStr">
        <is>
          <t>Manuel hız gerekli</t>
        </is>
      </c>
      <c r="L10" s="209" t="inlineStr">
        <is>
          <t>Manuel k gerekli</t>
        </is>
      </c>
    </row>
    <row r="11" ht="15.75" customHeight="1" s="138">
      <c r="A11" s="277" t="inlineStr">
        <is>
          <t>Katlı Otopark</t>
        </is>
      </c>
      <c r="B11" s="255" t="inlineStr">
        <is>
          <t>60 sn. üzeri</t>
        </is>
      </c>
      <c r="C11" s="255" t="inlineStr">
        <is>
          <t>60 sn.</t>
        </is>
      </c>
      <c r="D11" s="255" t="inlineStr">
        <is>
          <t>50 sn.</t>
        </is>
      </c>
      <c r="E11" s="255" t="inlineStr">
        <is>
          <t>40 sn.</t>
        </is>
      </c>
      <c r="F11" s="256" t="n">
        <v>60</v>
      </c>
      <c r="G11" s="256" t="n">
        <v>50</v>
      </c>
      <c r="H11" s="256" t="n">
        <v>40</v>
      </c>
      <c r="I11" s="253" t="n"/>
      <c r="J11" s="256" t="inlineStr">
        <is>
          <t>Katlı Otopark</t>
        </is>
      </c>
      <c r="K11" s="209" t="inlineStr">
        <is>
          <t>Manuel hız gerekli</t>
        </is>
      </c>
      <c r="L11" s="209" t="inlineStr">
        <is>
          <t>Otopark</t>
        </is>
      </c>
    </row>
    <row r="12" ht="24" customHeight="1" s="138">
      <c r="A12" s="280" t="inlineStr">
        <is>
          <t>2) Sadece asansör yaptırıcısı/bina sorumlusu onayı ile (Taahhütname)</t>
        </is>
      </c>
      <c r="F12" s="253" t="n"/>
      <c r="G12" s="253" t="n"/>
      <c r="H12" s="253" t="n"/>
      <c r="I12" s="253" t="n"/>
      <c r="J12" s="253" t="n"/>
    </row>
    <row r="13" ht="33.75" customHeight="1" s="138">
      <c r="A13" s="280" t="inlineStr">
        <is>
          <t>3) Yüksek yapılardaki asansörlerin hesabı için yükseltilmiş standart seçilmelidir.</t>
        </is>
      </c>
      <c r="F13" s="253" t="n"/>
      <c r="G13" s="253" t="n"/>
      <c r="H13" s="253" t="n"/>
      <c r="I13" s="253" t="n"/>
      <c r="J13" s="163" t="inlineStr">
        <is>
          <t>EŞLEME TABLOSU — Yalnız MMO/697 Tablo-2 ve Tablo-9'da açıkça bulunan değerler otomatik seçilir.</t>
        </is>
      </c>
    </row>
    <row r="14" ht="31.5" customHeight="1" s="138">
      <c r="A14" s="261" t="inlineStr">
        <is>
          <t>Tablo-10 İzin verilen en fazla bekleme zamanı (Izul)</t>
        </is>
      </c>
      <c r="B14" s="253" t="n"/>
      <c r="C14" s="253" t="n"/>
      <c r="D14" s="253" t="n"/>
      <c r="E14" s="253" t="n"/>
      <c r="F14" s="253" t="n"/>
      <c r="G14" s="253" t="n"/>
      <c r="H14" s="253" t="n"/>
      <c r="I14" s="253" t="n"/>
      <c r="J14" s="163" t="inlineStr">
        <is>
          <t>Tabloda bulunmayan bina sınıflarında hız ve/veya k değeri kullanıcı tarafından proje verisine göre girilmeden hesap yapılmaz.</t>
        </is>
      </c>
    </row>
    <row r="15" ht="15" customHeight="1" s="138">
      <c r="A15" s="143" t="inlineStr">
        <is>
          <t>Kaynak: MMO/697, Ocak 2020, s.17</t>
        </is>
      </c>
      <c r="B15" s="253" t="n"/>
      <c r="C15" s="253" t="n"/>
      <c r="D15" s="253" t="n"/>
      <c r="E15" s="253" t="n"/>
      <c r="F15" s="253" t="n"/>
      <c r="G15" s="253" t="n"/>
      <c r="H15" s="253" t="n"/>
      <c r="I15" s="253" t="n"/>
      <c r="J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  <c r="G16" s="253" t="n"/>
      <c r="H16" s="253" t="n"/>
      <c r="I16" s="253" t="n"/>
      <c r="J16" s="253" t="inlineStr">
        <is>
          <t>Kamu Binaları: MMO/697 Tablo-2'de hız, Tablo-9'da %k verilmemiştir. Kullanım karakteri büro olduğundan Büro/İş Merkezi değerleri varsayılan alınır; V (E10) ve k (E5) hücrelerinden değiştirilebilir. Bekleme sınırı Tablo-10'un kendi Kamu satırından (40/30 sn) okunur.</t>
        </is>
      </c>
    </row>
    <row r="17" ht="15" customHeight="1" s="138">
      <c r="A17" s="253" t="n"/>
      <c r="B17" s="253" t="n"/>
      <c r="C17" s="253" t="n"/>
      <c r="D17" s="253" t="n"/>
      <c r="E17" s="253" t="n"/>
      <c r="F17" s="253" t="n"/>
      <c r="G17" s="253" t="n"/>
      <c r="H17" s="253" t="n"/>
      <c r="I17" s="253" t="n"/>
      <c r="J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  <c r="G18" s="253" t="n"/>
      <c r="H18" s="253" t="n"/>
      <c r="I18" s="253" t="n"/>
      <c r="J18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2:E12"/>
    <mergeCell ref="J14:L14"/>
    <mergeCell ref="A13:E13"/>
    <mergeCell ref="J13:L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Asansör Avan Hesaplama Programı</dc:creator>
  <dc:title xmlns:dc="http://purl.org/dc/elements/1.1/">Örnek Konut Projesi</dc:title>
  <dc:description xmlns:dc="http://purl.org/dc/elements/1.1/">{"proje_adi": "Örnek Konut Projesi", "isveren": "ABC İnşaat A.Ş.", "pafta_no": "EL-04", "tarih": "27.08.2026", "muhendis": ""}</dc:description>
  <dc:subject xmlns:dc="http://purl.org/dc/elements/1.1/">ABC İnşaat A.Ş.</dc:subject>
  <dc:language xmlns:dc="http://purl.org/dc/elements/1.1/">en-US</dc:language>
  <dcterms:created xmlns:dcterms="http://purl.org/dc/terms/" xmlns:xsi="http://www.w3.org/2001/XMLSchema-instance" xsi:type="dcterms:W3CDTF">2026-07-24T23:49:12Z</dcterms:created>
  <dcterms:modified xmlns:dcterms="http://purl.org/dc/terms/" xmlns:xsi="http://www.w3.org/2001/XMLSchema-instance" xsi:type="dcterms:W3CDTF">2026-08-28T07:10:46Z</dcterms:modified>
  <cp:lastModifiedBy>Asansör Avan Hesaplama Programı</cp:lastModifiedBy>
  <cp:category>EL-04</cp:category>
  <cp:revision>0</cp:revision>
  <cp:keywords>Asansör Avan Hesaplama Programı</cp:keywords>
</cp:coreProperties>
</file>