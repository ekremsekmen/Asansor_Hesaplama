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HESAPLAMA" sheetId="1" state="visible" r:id="rId1"/>
    <sheet xmlns:r="http://schemas.openxmlformats.org/officeDocument/2006/relationships" name="PAFTA" sheetId="2" state="visible" r:id="rId2"/>
    <sheet xmlns:r="http://schemas.openxmlformats.org/officeDocument/2006/relationships" name="NÜFUS GİRİŞİ" sheetId="3" state="visible" r:id="rId3"/>
    <sheet xmlns:r="http://schemas.openxmlformats.org/officeDocument/2006/relationships" name="KAYNAKLAR" sheetId="4" state="visible" r:id="rId4"/>
    <sheet xmlns:r="http://schemas.openxmlformats.org/officeDocument/2006/relationships" name="TABLO-1" sheetId="5" state="visible" r:id="rId5"/>
    <sheet xmlns:r="http://schemas.openxmlformats.org/officeDocument/2006/relationships" name="TABLO-2" sheetId="6" state="visible" r:id="rId6"/>
    <sheet xmlns:r="http://schemas.openxmlformats.org/officeDocument/2006/relationships" name="TABLO-3" sheetId="7" state="visible" r:id="rId7"/>
    <sheet xmlns:r="http://schemas.openxmlformats.org/officeDocument/2006/relationships" name="TABLO-4" sheetId="8" state="visible" r:id="rId8"/>
    <sheet xmlns:r="http://schemas.openxmlformats.org/officeDocument/2006/relationships" name="TABLO-5" sheetId="9" state="visible" r:id="rId9"/>
    <sheet xmlns:r="http://schemas.openxmlformats.org/officeDocument/2006/relationships" name="TABLO-6" sheetId="10" state="visible" r:id="rId10"/>
    <sheet xmlns:r="http://schemas.openxmlformats.org/officeDocument/2006/relationships" name="TABLO-7" sheetId="11" state="visible" r:id="rId11"/>
    <sheet xmlns:r="http://schemas.openxmlformats.org/officeDocument/2006/relationships" name="TABLO-8" sheetId="12" state="visible" r:id="rId12"/>
    <sheet xmlns:r="http://schemas.openxmlformats.org/officeDocument/2006/relationships" name="TABLO-9" sheetId="13" state="visible" r:id="rId13"/>
    <sheet xmlns:r="http://schemas.openxmlformats.org/officeDocument/2006/relationships" name="TABLO-10" sheetId="14" state="visible" r:id="rId14"/>
  </sheets>
  <definedNames>
    <definedName name="PAFTA_ALAN" hidden="0" function="0" vbProcedure="0">PAFTA!$A$1:$D$34</definedName>
    <definedName name="_xlnm.Print_Area" localSheetId="1">'PAFTA'!$A$1:$D$34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0.000"/>
    <numFmt numFmtId="167" formatCode="0.###"/>
    <numFmt numFmtId="168" formatCode="0.0000"/>
  </numFmts>
  <fonts count="47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1"/>
    </font>
    <font>
      <name val="Arial"/>
      <charset val="1"/>
      <family val="0"/>
      <b val="1"/>
      <sz val="13"/>
    </font>
    <font>
      <name val="Arial"/>
      <charset val="1"/>
      <family val="0"/>
      <i val="1"/>
      <color rgb="FF666666"/>
      <sz val="9"/>
    </font>
    <font>
      <name val="Cambria"/>
      <charset val="1"/>
      <family val="0"/>
      <i val="1"/>
      <color rgb="FF555555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  <font>
      <name val="Calibri"/>
      <charset val="1"/>
      <family val="0"/>
      <color rgb="FF595959"/>
      <sz val="11"/>
    </font>
    <font>
      <name val="Arial"/>
      <charset val="1"/>
      <family val="0"/>
      <color rgb="FF595959"/>
      <sz val="10"/>
    </font>
    <font>
      <name val="Arial"/>
      <charset val="1"/>
      <family val="0"/>
      <color rgb="FF243F6B"/>
      <sz val="10"/>
    </font>
    <font>
      <name val="Arial"/>
      <charset val="1"/>
      <family val="0"/>
      <b val="1"/>
      <color rgb="FF243F6B"/>
      <sz val="10"/>
    </font>
    <font>
      <name val="Cambria"/>
      <charset val="1"/>
      <family val="0"/>
      <i val="1"/>
      <color rgb="FF595959"/>
      <sz val="9"/>
    </font>
    <font>
      <name val="Arial"/>
      <charset val="1"/>
      <family val="0"/>
      <b val="1"/>
      <color rgb="FFCC0000"/>
      <sz val="10"/>
    </font>
    <font>
      <name val="Cambria"/>
      <charset val="1"/>
      <family val="0"/>
      <b val="1"/>
      <sz val="11"/>
    </font>
    <font>
      <name val="Arial"/>
      <charset val="1"/>
      <family val="0"/>
      <b val="1"/>
      <sz val="10"/>
    </font>
    <font>
      <name val="Aptos"/>
      <charset val="1"/>
      <family val="0"/>
      <b val="1"/>
      <color rgb="FFFFFFFF"/>
      <sz val="11"/>
    </font>
    <font>
      <name val="Aptos"/>
      <charset val="1"/>
      <family val="0"/>
      <i val="1"/>
      <color rgb="FF595959"/>
      <sz val="9"/>
    </font>
    <font>
      <name val="Aptos"/>
      <charset val="1"/>
      <family val="0"/>
      <b val="1"/>
      <color rgb="FF000000"/>
      <sz val="10"/>
    </font>
    <font>
      <name val="Aptos"/>
      <charset val="1"/>
      <family val="0"/>
      <sz val="10"/>
    </font>
    <font>
      <name val="Aptos"/>
      <charset val="1"/>
      <family val="0"/>
      <b val="1"/>
      <color rgb="FF243F6B"/>
      <sz val="10"/>
    </font>
    <font>
      <name val="Aptos"/>
      <charset val="1"/>
      <family val="0"/>
      <i val="1"/>
      <color rgb="FF7F6000"/>
      <sz val="9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9.5"/>
    </font>
    <font>
      <name val="Arial"/>
      <charset val="1"/>
      <family val="0"/>
      <color rgb="FF000000"/>
      <sz val="9"/>
    </font>
    <font>
      <name val="Arial"/>
      <charset val="1"/>
      <family val="0"/>
      <color rgb="FF000000"/>
      <sz val="8.5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000000"/>
      <sz val="8.5"/>
    </font>
    <font>
      <name val="Cambria"/>
      <charset val="1"/>
      <family val="0"/>
      <b val="1"/>
      <sz val="14"/>
    </font>
    <font>
      <name val="Calibri"/>
      <charset val="1"/>
      <family val="0"/>
      <b val="1"/>
      <color rgb="FF243F6B"/>
      <sz val="11"/>
    </font>
    <font>
      <name val="Cambria"/>
      <charset val="1"/>
      <family val="0"/>
      <b val="1"/>
      <sz val="13"/>
    </font>
    <font>
      <name val="Calibri"/>
      <charset val="1"/>
      <family val="0"/>
      <sz val="11"/>
    </font>
    <font>
      <name val="Arial"/>
      <charset val="1"/>
      <family val="0"/>
      <i val="1"/>
      <color rgb="FF7F6000"/>
      <sz val="10"/>
    </font>
    <font>
      <name val="Arial"/>
      <family val="2"/>
      <sz val="10"/>
    </font>
    <font>
      <name val="Aptos"/>
      <charset val="1"/>
      <family val="0"/>
      <b val="1"/>
      <color rgb="FFFFFFFF"/>
      <sz val="15"/>
    </font>
    <font>
      <name val="Aptos"/>
      <charset val="1"/>
      <family val="0"/>
      <i val="1"/>
      <color rgb="FF595959"/>
      <sz val="10"/>
    </font>
    <font>
      <name val="Aptos"/>
      <charset val="1"/>
      <family val="0"/>
      <b val="1"/>
      <sz val="10"/>
    </font>
    <font>
      <name val="Aptos"/>
      <charset val="1"/>
      <family val="0"/>
      <b val="1"/>
      <color rgb="FFFFFFFF"/>
      <sz val="16"/>
    </font>
    <font>
      <name val="Aptos"/>
      <charset val="1"/>
      <family val="0"/>
      <b val="1"/>
      <color rgb="FF9C0006"/>
      <sz val="10"/>
    </font>
    <font>
      <name val="Cambria"/>
      <charset val="1"/>
      <family val="0"/>
      <sz val="11"/>
    </font>
    <font>
      <name val="Cambria"/>
      <charset val="1"/>
      <family val="0"/>
      <i val="1"/>
      <color rgb="FF7F6000"/>
      <sz val="11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D9E2F3"/>
        <bgColor rgb="FFD9E1F2"/>
      </patternFill>
    </fill>
    <fill>
      <patternFill patternType="solid">
        <fgColor rgb="FF44546A"/>
        <bgColor rgb="FF555555"/>
      </patternFill>
    </fill>
    <fill>
      <patternFill patternType="solid">
        <fgColor rgb="FFFFFFFF"/>
        <bgColor rgb="FFF2F2F2"/>
      </patternFill>
    </fill>
    <fill>
      <patternFill patternType="solid">
        <fgColor rgb="FFE2F0D9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2F0D9"/>
      </patternFill>
    </fill>
    <fill>
      <patternFill patternType="solid">
        <fgColor rgb="FF243F6B"/>
        <bgColor rgb="FF003366"/>
      </patternFill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243F6B"/>
      </left>
      <right style="medium">
        <color rgb="FF243F6B"/>
      </right>
      <top style="medium">
        <color rgb="FF243F6B"/>
      </top>
      <bottom style="medium">
        <color rgb="FF243F6B"/>
      </bottom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>
      <left style="hair">
        <color rgb="FF7F7F7F"/>
      </left>
      <right style="medium"/>
      <top/>
      <bottom style="hair">
        <color rgb="FF7F7F7F"/>
      </bottom>
      <diagonal/>
    </border>
    <border>
      <left style="medium"/>
      <right style="medium"/>
      <top/>
      <bottom style="hair">
        <color rgb="FF7F7F7F"/>
      </bottom>
      <diagonal/>
    </border>
    <border>
      <left style="medium"/>
      <right style="medium"/>
      <top style="hair">
        <color rgb="FF7F7F7F"/>
      </top>
      <bottom style="hair">
        <color rgb="FF7F7F7F"/>
      </bottom>
      <diagonal/>
    </border>
    <border>
      <left style="medium"/>
      <right style="medium"/>
      <top style="medium"/>
      <bottom style="thin"/>
      <diagonal/>
    </border>
    <border>
      <left style="medium"/>
      <right style="medium"/>
      <top/>
      <bottom style="medium"/>
      <diagonal/>
    </border>
    <border>
      <left style="medium"/>
      <right style="hair">
        <color rgb="FF7F7F7F"/>
      </right>
      <top style="thin"/>
      <bottom style="thin"/>
      <diagonal/>
    </border>
    <border>
      <left style="hair">
        <color rgb="FF7F7F7F"/>
      </left>
      <right style="hair">
        <color rgb="FF7F7F7F"/>
      </right>
      <top style="thin"/>
      <bottom style="thin"/>
      <diagonal/>
    </border>
    <border>
      <left style="hair">
        <color rgb="FF7F7F7F"/>
      </left>
      <right style="medium"/>
      <top style="thin"/>
      <bottom style="thin"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 style="medium"/>
      <top/>
      <bottom/>
      <diagonal/>
    </border>
    <border>
      <left/>
      <right/>
      <top/>
      <bottom style="hair">
        <color rgb="FF7F7F7F"/>
      </bottom>
      <diagonal/>
    </border>
    <border>
      <left/>
      <right style="medium"/>
      <top/>
      <bottom style="hair">
        <color rgb="FF7F7F7F"/>
      </bottom>
      <diagonal/>
    </border>
    <border>
      <left/>
      <right/>
      <top style="hair">
        <color rgb="FF7F7F7F"/>
      </top>
      <bottom/>
      <diagonal/>
    </border>
    <border>
      <left/>
      <right style="medium"/>
      <top style="hair">
        <color rgb="FF7F7F7F"/>
      </top>
      <bottom/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medium"/>
      <top style="hair">
        <color rgb="FF7F7F7F"/>
      </top>
      <bottom style="hair">
        <color rgb="FF7F7F7F"/>
      </bottom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hair">
        <color rgb="FF7F7F7F"/>
      </right>
      <top/>
      <bottom/>
      <diagonal/>
    </border>
    <border>
      <left/>
      <right style="hair">
        <color rgb="FF7F7F7F"/>
      </right>
      <top/>
      <bottom style="hair">
        <color rgb="FF7F7F7F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3" borderId="1" applyAlignment="1" applyProtection="1" pivotButton="0" quotePrefix="0" xfId="0">
      <alignment horizontal="center" vertical="center" wrapText="1"/>
      <protection locked="0" hidden="0"/>
    </xf>
    <xf numFmtId="0" fontId="10" fillId="4" borderId="0" applyAlignment="1" pivotButton="0" quotePrefix="0" xfId="0">
      <alignment horizontal="general" vertical="bottom" wrapText="1"/>
    </xf>
    <xf numFmtId="164" fontId="4" fillId="3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general" vertical="bottom" wrapText="1"/>
    </xf>
    <xf numFmtId="0" fontId="13" fillId="5" borderId="1" applyAlignment="1" pivotButton="0" quotePrefix="0" xfId="0">
      <alignment horizontal="center" vertical="center" wrapText="1"/>
    </xf>
    <xf numFmtId="2" fontId="4" fillId="3" borderId="0" applyAlignment="1" applyProtection="1" pivotButton="0" quotePrefix="0" xfId="0">
      <alignment horizontal="general" vertical="bottom"/>
      <protection locked="0" hidden="0"/>
    </xf>
    <xf numFmtId="2" fontId="0" fillId="3" borderId="0" applyAlignment="1" applyProtection="1" pivotButton="0" quotePrefix="0" xfId="0">
      <alignment horizontal="general" vertical="bottom"/>
      <protection locked="0" hidden="0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165" fontId="4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general" vertical="center"/>
    </xf>
    <xf numFmtId="0" fontId="19" fillId="4" borderId="0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general" vertical="center"/>
    </xf>
    <xf numFmtId="1" fontId="21" fillId="7" borderId="2" applyAlignment="1" pivotButton="0" quotePrefix="0" xfId="0">
      <alignment horizontal="general" vertical="center"/>
    </xf>
    <xf numFmtId="0" fontId="21" fillId="3" borderId="2" applyAlignment="1" applyProtection="1" pivotButton="0" quotePrefix="0" xfId="0">
      <alignment horizontal="general" vertical="center"/>
      <protection locked="0" hidden="0"/>
    </xf>
    <xf numFmtId="2" fontId="21" fillId="3" borderId="2" applyAlignment="1" applyProtection="1" pivotButton="0" quotePrefix="0" xfId="0">
      <alignment horizontal="general" vertical="center"/>
      <protection locked="0" hidden="0"/>
    </xf>
    <xf numFmtId="0" fontId="22" fillId="8" borderId="3" applyAlignment="1" pivotButton="0" quotePrefix="0" xfId="0">
      <alignment horizontal="general" vertical="center"/>
    </xf>
    <xf numFmtId="166" fontId="22" fillId="8" borderId="3" applyAlignment="1" pivotButton="0" quotePrefix="0" xfId="0">
      <alignment horizontal="general" vertical="center"/>
    </xf>
    <xf numFmtId="0" fontId="23" fillId="3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center"/>
    </xf>
    <xf numFmtId="0" fontId="25" fillId="9" borderId="5" applyAlignment="1" pivotButton="0" quotePrefix="0" xfId="0">
      <alignment horizontal="left" vertical="center" indent="1"/>
    </xf>
    <xf numFmtId="0" fontId="26" fillId="0" borderId="6" applyAlignment="1" pivotButton="0" quotePrefix="0" xfId="0">
      <alignment horizontal="left" vertical="center" indent="1"/>
    </xf>
    <xf numFmtId="0" fontId="25" fillId="0" borderId="7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1" fontId="25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left" vertical="center" wrapText="1" indent="1"/>
    </xf>
    <xf numFmtId="0" fontId="29" fillId="0" borderId="9" applyAlignment="1" pivotButton="0" quotePrefix="0" xfId="0">
      <alignment horizontal="left" vertical="center" wrapText="1" indent="1"/>
    </xf>
    <xf numFmtId="0" fontId="29" fillId="10" borderId="10" applyAlignment="1" pivotButton="0" quotePrefix="0" xfId="0">
      <alignment horizontal="left" vertical="center" wrapText="1" indent="1"/>
    </xf>
    <xf numFmtId="2" fontId="25" fillId="0" borderId="7" applyAlignment="1" pivotButton="0" quotePrefix="0" xfId="0">
      <alignment horizontal="center" vertical="center"/>
    </xf>
    <xf numFmtId="165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32" fillId="11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 wrapText="1"/>
    </xf>
    <xf numFmtId="0" fontId="16" fillId="1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3" borderId="1" applyAlignment="1" applyProtection="1" pivotButton="0" quotePrefix="0" xfId="0">
      <alignment horizontal="general" vertical="bottom"/>
      <protection locked="0" hidden="0"/>
    </xf>
    <xf numFmtId="0" fontId="10" fillId="4" borderId="0" applyAlignment="1" pivotButton="0" quotePrefix="0" xfId="0">
      <alignment horizontal="general" vertical="bottom" wrapText="1"/>
    </xf>
    <xf numFmtId="0" fontId="33" fillId="5" borderId="1" applyAlignment="1" pivotButton="0" quotePrefix="0" xfId="0">
      <alignment horizontal="center" vertical="bottom"/>
    </xf>
    <xf numFmtId="1" fontId="0" fillId="3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4" fillId="13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general" vertical="bottom"/>
      <protection locked="0" hidden="0"/>
    </xf>
    <xf numFmtId="2" fontId="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" fontId="35" fillId="3" borderId="0" applyAlignment="1" applyProtection="1" pivotButton="0" quotePrefix="0" xfId="0">
      <alignment horizontal="general" vertical="bottom"/>
      <protection locked="0" hidden="0"/>
    </xf>
    <xf numFmtId="1" fontId="35" fillId="0" borderId="0" applyAlignment="1" pivotButton="0" quotePrefix="0" xfId="0">
      <alignment horizontal="general" vertical="bottom"/>
    </xf>
    <xf numFmtId="2" fontId="35" fillId="0" borderId="0" applyAlignment="1" pivotButton="0" quotePrefix="0" xfId="0">
      <alignment horizontal="general" vertical="bottom"/>
    </xf>
    <xf numFmtId="0" fontId="35" fillId="3" borderId="0" applyAlignment="1" applyProtection="1" pivotButton="0" quotePrefix="0" xfId="0">
      <alignment horizontal="general" vertical="bottom"/>
      <protection locked="0" hidden="0"/>
    </xf>
    <xf numFmtId="0" fontId="36" fillId="3" borderId="0" applyAlignment="1" pivotButton="0" quotePrefix="0" xfId="0">
      <alignment horizontal="general" vertical="center" wrapText="1"/>
    </xf>
    <xf numFmtId="167" fontId="25" fillId="0" borderId="7" applyAlignment="1" pivotButton="0" quotePrefix="0" xfId="0">
      <alignment horizontal="center" vertical="center"/>
    </xf>
    <xf numFmtId="0" fontId="25" fillId="10" borderId="13" applyAlignment="1" pivotButton="0" quotePrefix="0" xfId="0">
      <alignment horizontal="left" vertical="center" indent="1"/>
    </xf>
    <xf numFmtId="0" fontId="25" fillId="10" borderId="14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38" fillId="1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general" vertical="center" wrapText="1"/>
    </xf>
    <xf numFmtId="0" fontId="18" fillId="6" borderId="0" applyAlignment="1" pivotButton="0" quotePrefix="0" xfId="0">
      <alignment horizontal="center" vertical="bottom"/>
    </xf>
    <xf numFmtId="0" fontId="18" fillId="6" borderId="0" applyAlignment="1" pivotButton="0" quotePrefix="0" xfId="0">
      <alignment horizontal="general" vertical="bottom"/>
    </xf>
    <xf numFmtId="0" fontId="40" fillId="5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general" vertical="center" wrapText="1"/>
    </xf>
    <xf numFmtId="0" fontId="21" fillId="0" borderId="2" applyAlignment="1" pivotButton="0" quotePrefix="0" xfId="0">
      <alignment horizontal="general" vertical="center"/>
    </xf>
    <xf numFmtId="1" fontId="21" fillId="0" borderId="2" applyAlignment="1" pivotButton="0" quotePrefix="0" xfId="0">
      <alignment horizontal="general" vertical="center"/>
    </xf>
    <xf numFmtId="168" fontId="21" fillId="0" borderId="2" applyAlignment="1" pivotButton="0" quotePrefix="0" xfId="0">
      <alignment horizontal="general" vertical="center"/>
    </xf>
    <xf numFmtId="0" fontId="41" fillId="1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40" fillId="5" borderId="16" applyAlignment="1" pivotButton="0" quotePrefix="0" xfId="0">
      <alignment horizontal="general" vertical="bottom"/>
    </xf>
    <xf numFmtId="0" fontId="21" fillId="0" borderId="17" applyAlignment="1" pivotButton="0" quotePrefix="0" xfId="0">
      <alignment horizontal="general" vertical="top" wrapText="1"/>
    </xf>
    <xf numFmtId="0" fontId="42" fillId="12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general" vertical="bottom"/>
    </xf>
    <xf numFmtId="0" fontId="16" fillId="11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3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 wrapText="1"/>
    </xf>
    <xf numFmtId="0" fontId="4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2" fontId="43" fillId="0" borderId="1" applyAlignment="1" pivotButton="0" quotePrefix="0" xfId="0">
      <alignment horizontal="center" vertical="center"/>
    </xf>
    <xf numFmtId="2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/>
    </xf>
    <xf numFmtId="0" fontId="7" fillId="2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general" vertical="bottom" wrapText="1"/>
    </xf>
    <xf numFmtId="0" fontId="16" fillId="5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165" fontId="43" fillId="0" borderId="16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3" borderId="0" applyAlignment="1" pivotButton="0" quotePrefix="0" xfId="0">
      <alignment horizontal="general" vertical="center" wrapText="1"/>
    </xf>
    <xf numFmtId="0" fontId="4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9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3" borderId="1" applyAlignment="1" applyProtection="1" pivotButton="0" quotePrefix="0" xfId="0">
      <alignment horizontal="center" vertical="center" wrapText="1"/>
      <protection locked="0" hidden="0"/>
    </xf>
    <xf numFmtId="0" fontId="10" fillId="4" borderId="0" applyAlignment="1" pivotButton="0" quotePrefix="0" xfId="0">
      <alignment horizontal="general" vertical="bottom" wrapText="1"/>
    </xf>
    <xf numFmtId="164" fontId="4" fillId="3" borderId="0" applyAlignment="1" applyProtection="1" pivotButton="0" quotePrefix="0" xfId="0">
      <alignment horizontal="general" vertical="bottom"/>
      <protection locked="0" hidden="0"/>
    </xf>
    <xf numFmtId="0" fontId="9" fillId="0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general" vertical="bottom" wrapText="1"/>
    </xf>
    <xf numFmtId="0" fontId="12" fillId="5" borderId="0" applyAlignment="1" pivotButton="0" quotePrefix="0" xfId="0">
      <alignment horizontal="general" vertical="bottom" wrapText="1"/>
    </xf>
    <xf numFmtId="0" fontId="13" fillId="5" borderId="1" applyAlignment="1" pivotButton="0" quotePrefix="0" xfId="0">
      <alignment horizontal="center" vertical="center" wrapText="1"/>
    </xf>
    <xf numFmtId="2" fontId="4" fillId="3" borderId="0" applyAlignment="1" applyProtection="1" pivotButton="0" quotePrefix="0" xfId="0">
      <alignment horizontal="general" vertical="bottom"/>
      <protection locked="0" hidden="0"/>
    </xf>
    <xf numFmtId="2" fontId="0" fillId="3" borderId="0" applyAlignment="1" applyProtection="1" pivotButton="0" quotePrefix="0" xfId="0">
      <alignment horizontal="general" vertical="bottom"/>
      <protection locked="0" hidden="0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/>
    </xf>
    <xf numFmtId="1" fontId="4" fillId="0" borderId="0" applyAlignment="1" pivotButton="0" quotePrefix="0" xfId="0">
      <alignment horizontal="center" vertical="bottom" wrapText="1"/>
    </xf>
    <xf numFmtId="0" fontId="16" fillId="0" borderId="0" applyAlignment="1" pivotButton="0" quotePrefix="0" xfId="0">
      <alignment horizontal="general" vertical="bottom"/>
    </xf>
    <xf numFmtId="1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 wrapText="1"/>
    </xf>
    <xf numFmtId="165" fontId="4" fillId="0" borderId="0" applyAlignment="1" pivotButton="0" quotePrefix="0" xfId="0">
      <alignment horizontal="general" vertical="bottom"/>
    </xf>
    <xf numFmtId="10" fontId="0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general" vertical="center"/>
    </xf>
    <xf numFmtId="0" fontId="19" fillId="4" borderId="0" applyAlignment="1" pivotButton="0" quotePrefix="0" xfId="0">
      <alignment horizontal="general" vertical="center" wrapText="1"/>
    </xf>
    <xf numFmtId="0" fontId="20" fillId="5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general" vertical="center"/>
    </xf>
    <xf numFmtId="1" fontId="21" fillId="7" borderId="2" applyAlignment="1" pivotButton="0" quotePrefix="0" xfId="0">
      <alignment horizontal="general" vertical="center"/>
    </xf>
    <xf numFmtId="0" fontId="21" fillId="3" borderId="2" applyAlignment="1" applyProtection="1" pivotButton="0" quotePrefix="0" xfId="0">
      <alignment horizontal="general" vertical="center"/>
      <protection locked="0" hidden="0"/>
    </xf>
    <xf numFmtId="2" fontId="21" fillId="3" borderId="2" applyAlignment="1" applyProtection="1" pivotButton="0" quotePrefix="0" xfId="0">
      <alignment horizontal="general" vertical="center"/>
      <protection locked="0" hidden="0"/>
    </xf>
    <xf numFmtId="0" fontId="22" fillId="8" borderId="3" applyAlignment="1" pivotButton="0" quotePrefix="0" xfId="0">
      <alignment horizontal="general" vertical="center"/>
    </xf>
    <xf numFmtId="166" fontId="22" fillId="8" borderId="3" applyAlignment="1" pivotButton="0" quotePrefix="0" xfId="0">
      <alignment horizontal="general" vertical="center"/>
    </xf>
    <xf numFmtId="0" fontId="23" fillId="3" borderId="0" applyAlignment="1" pivotButton="0" quotePrefix="0" xfId="0">
      <alignment horizontal="general" vertical="center" wrapText="1"/>
    </xf>
    <xf numFmtId="1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4" fillId="0" borderId="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25" fillId="9" borderId="5" applyAlignment="1" pivotButton="0" quotePrefix="0" xfId="0">
      <alignment horizontal="left" vertical="center" indent="1"/>
    </xf>
    <xf numFmtId="0" fontId="0" fillId="0" borderId="28" pivotButton="0" quotePrefix="0" xfId="0"/>
    <xf numFmtId="0" fontId="26" fillId="0" borderId="6" applyAlignment="1" pivotButton="0" quotePrefix="0" xfId="0">
      <alignment horizontal="left" vertical="center" indent="1"/>
    </xf>
    <xf numFmtId="0" fontId="25" fillId="0" borderId="7" applyAlignment="1" pivotButton="0" quotePrefix="0" xfId="0">
      <alignment horizontal="center" vertical="center"/>
    </xf>
    <xf numFmtId="0" fontId="2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1" fontId="25" fillId="0" borderId="7" applyAlignment="1" pivotButton="0" quotePrefix="0" xfId="0">
      <alignment horizontal="center" vertical="center"/>
    </xf>
    <xf numFmtId="0" fontId="26" fillId="0" borderId="9" applyAlignment="1" pivotButton="0" quotePrefix="0" xfId="0">
      <alignment horizontal="left" vertical="center" wrapText="1" indent="1"/>
    </xf>
    <xf numFmtId="0" fontId="0" fillId="0" borderId="30" pivotButton="0" quotePrefix="0" xfId="0"/>
    <xf numFmtId="0" fontId="0" fillId="0" borderId="31" pivotButton="0" quotePrefix="0" xfId="0"/>
    <xf numFmtId="0" fontId="29" fillId="0" borderId="9" applyAlignment="1" pivotButton="0" quotePrefix="0" xfId="0">
      <alignment horizontal="left" vertical="center" wrapText="1" indent="1"/>
    </xf>
    <xf numFmtId="0" fontId="29" fillId="10" borderId="10" applyAlignment="1" pivotButton="0" quotePrefix="0" xfId="0">
      <alignment horizontal="left" vertical="center" wrapText="1" indent="1"/>
    </xf>
    <xf numFmtId="0" fontId="0" fillId="0" borderId="34" pivotButton="0" quotePrefix="0" xfId="0"/>
    <xf numFmtId="0" fontId="0" fillId="0" borderId="35" pivotButton="0" quotePrefix="0" xfId="0"/>
    <xf numFmtId="2" fontId="25" fillId="0" borderId="7" applyAlignment="1" pivotButton="0" quotePrefix="0" xfId="0">
      <alignment horizontal="center" vertical="center"/>
    </xf>
    <xf numFmtId="165" fontId="25" fillId="0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0" fontId="30" fillId="9" borderId="11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31" fillId="0" borderId="12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32" fillId="11" borderId="0" applyAlignment="1" pivotButton="0" quotePrefix="0" xfId="0">
      <alignment horizontal="center" vertical="bottom"/>
    </xf>
    <xf numFmtId="0" fontId="16" fillId="1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3" borderId="1" applyAlignment="1" applyProtection="1" pivotButton="0" quotePrefix="0" xfId="0">
      <alignment horizontal="general" vertical="bottom"/>
      <protection locked="0" hidden="0"/>
    </xf>
    <xf numFmtId="0" fontId="33" fillId="5" borderId="1" applyAlignment="1" pivotButton="0" quotePrefix="0" xfId="0">
      <alignment horizontal="center" vertical="bottom"/>
    </xf>
    <xf numFmtId="1" fontId="0" fillId="3" borderId="0" applyAlignment="1" applyProtection="1" pivotButton="0" quotePrefix="0" xfId="0">
      <alignment horizontal="general" vertical="bottom"/>
      <protection locked="0" hidden="0"/>
    </xf>
    <xf numFmtId="0" fontId="4" fillId="0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general" vertical="bottom"/>
    </xf>
    <xf numFmtId="0" fontId="4" fillId="13" borderId="1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4" fillId="3" borderId="0" applyAlignment="1" applyProtection="1" pivotButton="0" quotePrefix="0" xfId="0">
      <alignment horizontal="general" vertical="bottom"/>
      <protection locked="0" hidden="0"/>
    </xf>
    <xf numFmtId="2" fontId="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1" fontId="35" fillId="3" borderId="0" applyAlignment="1" applyProtection="1" pivotButton="0" quotePrefix="0" xfId="0">
      <alignment horizontal="general" vertical="bottom"/>
      <protection locked="0" hidden="0"/>
    </xf>
    <xf numFmtId="1" fontId="35" fillId="0" borderId="0" applyAlignment="1" pivotButton="0" quotePrefix="0" xfId="0">
      <alignment horizontal="general" vertical="bottom"/>
    </xf>
    <xf numFmtId="2" fontId="35" fillId="0" borderId="0" applyAlignment="1" pivotButton="0" quotePrefix="0" xfId="0">
      <alignment horizontal="general" vertical="bottom"/>
    </xf>
    <xf numFmtId="0" fontId="35" fillId="3" borderId="0" applyAlignment="1" applyProtection="1" pivotButton="0" quotePrefix="0" xfId="0">
      <alignment horizontal="general" vertical="bottom"/>
      <protection locked="0" hidden="0"/>
    </xf>
    <xf numFmtId="0" fontId="36" fillId="3" borderId="0" applyAlignment="1" pivotButton="0" quotePrefix="0" xfId="0">
      <alignment horizontal="general" vertical="center" wrapText="1"/>
    </xf>
    <xf numFmtId="167" fontId="25" fillId="0" borderId="7" applyAlignment="1" pivotButton="0" quotePrefix="0" xfId="0">
      <alignment horizontal="center" vertical="center"/>
    </xf>
    <xf numFmtId="0" fontId="0" fillId="0" borderId="41" pivotButton="0" quotePrefix="0" xfId="0"/>
    <xf numFmtId="0" fontId="25" fillId="10" borderId="13" applyAlignment="1" pivotButton="0" quotePrefix="0" xfId="0">
      <alignment horizontal="left" vertical="center" indent="1"/>
    </xf>
    <xf numFmtId="0" fontId="25" fillId="10" borderId="14" applyAlignment="1" pivotButton="0" quotePrefix="0" xfId="0">
      <alignment horizontal="center" vertical="center"/>
    </xf>
    <xf numFmtId="0" fontId="25" fillId="10" borderId="15" applyAlignment="1" pivotButton="0" quotePrefix="0" xfId="0">
      <alignment horizontal="center" vertical="center"/>
    </xf>
    <xf numFmtId="0" fontId="38" fillId="14" borderId="0" applyAlignment="1" pivotButton="0" quotePrefix="0" xfId="0">
      <alignment horizontal="center" vertical="center"/>
    </xf>
    <xf numFmtId="0" fontId="39" fillId="4" borderId="0" applyAlignment="1" pivotButton="0" quotePrefix="0" xfId="0">
      <alignment horizontal="general" vertical="center" wrapText="1"/>
    </xf>
    <xf numFmtId="0" fontId="18" fillId="6" borderId="0" applyAlignment="1" pivotButton="0" quotePrefix="0" xfId="0">
      <alignment horizontal="center" vertical="bottom"/>
    </xf>
    <xf numFmtId="0" fontId="18" fillId="6" borderId="0" applyAlignment="1" pivotButton="0" quotePrefix="0" xfId="0">
      <alignment horizontal="general" vertical="bottom"/>
    </xf>
    <xf numFmtId="0" fontId="40" fillId="5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general" vertical="center" wrapText="1"/>
    </xf>
    <xf numFmtId="0" fontId="0" fillId="0" borderId="44" pivotButton="0" quotePrefix="0" xfId="0"/>
    <xf numFmtId="0" fontId="0" fillId="0" borderId="45" pivotButton="0" quotePrefix="0" xfId="0"/>
    <xf numFmtId="0" fontId="21" fillId="0" borderId="2" applyAlignment="1" pivotButton="0" quotePrefix="0" xfId="0">
      <alignment horizontal="general" vertical="center"/>
    </xf>
    <xf numFmtId="1" fontId="21" fillId="0" borderId="2" applyAlignment="1" pivotButton="0" quotePrefix="0" xfId="0">
      <alignment horizontal="general" vertical="center"/>
    </xf>
    <xf numFmtId="168" fontId="21" fillId="0" borderId="2" applyAlignment="1" pivotButton="0" quotePrefix="0" xfId="0">
      <alignment horizontal="general" vertical="center"/>
    </xf>
    <xf numFmtId="0" fontId="41" fillId="14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40" fillId="5" borderId="16" applyAlignment="1" pivotButton="0" quotePrefix="0" xfId="0">
      <alignment horizontal="general" vertical="bottom"/>
    </xf>
    <xf numFmtId="0" fontId="21" fillId="0" borderId="17" applyAlignment="1" pivotButton="0" quotePrefix="0" xfId="0">
      <alignment horizontal="general" vertical="top" wrapText="1"/>
    </xf>
    <xf numFmtId="0" fontId="42" fillId="12" borderId="0" applyAlignment="1" pivotButton="0" quotePrefix="0" xfId="0">
      <alignment horizontal="general" vertical="bottom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general" vertical="bottom"/>
    </xf>
    <xf numFmtId="0" fontId="16" fillId="11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general" vertical="bottom"/>
    </xf>
    <xf numFmtId="0" fontId="43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 wrapText="1"/>
    </xf>
    <xf numFmtId="0" fontId="4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2" fontId="43" fillId="0" borderId="1" applyAlignment="1" pivotButton="0" quotePrefix="0" xfId="0">
      <alignment horizontal="center" vertical="center"/>
    </xf>
    <xf numFmtId="2" fontId="43" fillId="0" borderId="1" applyAlignment="1" pivotButton="0" quotePrefix="0" xfId="0">
      <alignment horizontal="general" vertical="bottom"/>
    </xf>
    <xf numFmtId="0" fontId="4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0" fillId="0" borderId="48" pivotButton="0" quotePrefix="0" xfId="0"/>
    <xf numFmtId="0" fontId="1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general" vertical="bottom" wrapText="1"/>
    </xf>
    <xf numFmtId="0" fontId="16" fillId="5" borderId="16" applyAlignment="1" pivotButton="0" quotePrefix="0" xfId="0">
      <alignment horizontal="center" vertical="center"/>
    </xf>
    <xf numFmtId="0" fontId="43" fillId="0" borderId="16" applyAlignment="1" pivotButton="0" quotePrefix="0" xfId="0">
      <alignment horizontal="center" vertical="center"/>
    </xf>
    <xf numFmtId="165" fontId="43" fillId="0" borderId="16" applyAlignment="1" pivotButton="0" quotePrefix="0" xfId="0">
      <alignment horizontal="center" vertical="center"/>
    </xf>
    <xf numFmtId="0" fontId="45" fillId="7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general" vertical="center" wrapText="1"/>
    </xf>
    <xf numFmtId="0" fontId="43" fillId="0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3" borderId="0" applyAlignment="1" pivotButton="0" quotePrefix="0" xfId="0">
      <alignment horizontal="general" vertical="center" wrapText="1"/>
    </xf>
    <xf numFmtId="0" fontId="46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top" wrapText="1"/>
    </xf>
    <xf numFmtId="0" fontId="36" fillId="3" borderId="0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top" wrapText="1"/>
    </xf>
    <xf numFmtId="0" fontId="45" fillId="7" borderId="0" applyAlignment="1" pivotButton="0" quotePrefix="0" xfId="0">
      <alignment horizontal="center" vertical="top" wrapText="1"/>
    </xf>
    <xf numFmtId="0" fontId="14" fillId="4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E2F0D9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595959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DEDED"/>
      <rgbColor rgb="FFBFBFBF"/>
      <rgbColor rgb="FFD9E2F3"/>
      <rgbColor rgb="FFD9E1F2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003366"/>
      <rgbColor rgb="FF7F7F7F"/>
      <rgbColor rgb="FF003300"/>
      <rgbColor rgb="FF555555"/>
      <rgbColor rgb="FF993300"/>
      <rgbColor rgb="FF993366"/>
      <rgbColor rgb="FF243F6B"/>
      <rgbColor rgb="FF44546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Z96"/>
  <sheetViews>
    <sheetView showFormulas="0" showGridLines="0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C13" activeCellId="0" sqref="C13"/>
    </sheetView>
  </sheetViews>
  <sheetFormatPr baseColWidth="8" defaultColWidth="8.71484375" defaultRowHeight="15" zeroHeight="0" outlineLevelRow="1"/>
  <cols>
    <col width="2" customWidth="1" style="136" min="1" max="1"/>
    <col width="46" customWidth="1" style="136" min="2" max="2"/>
    <col width="16" customWidth="1" style="136" min="3" max="3"/>
    <col width="39" customWidth="1" style="136" min="4" max="4"/>
    <col width="31" customWidth="1" style="136" min="5" max="5"/>
    <col width="12" customWidth="1" style="137" min="6" max="6"/>
    <col width="13" customWidth="1" style="137" min="7" max="7"/>
    <col hidden="1" width="13" customWidth="1" style="137" min="8" max="22"/>
  </cols>
  <sheetData>
    <row r="1" ht="25.5" customHeight="1" s="138">
      <c r="B1" s="139" t="inlineStr">
        <is>
          <t>ASANSÖR TRAFİK HESABI — Tablolardan Otomatik Veri Çeken Hesaplama Sayfası</t>
        </is>
      </c>
      <c r="C1" s="140" t="n"/>
      <c r="D1" s="140" t="n"/>
      <c r="E1" s="141" t="n"/>
    </row>
    <row r="2" ht="45" customHeight="1" s="138">
      <c r="B2" s="142" t="inlineStr">
        <is>
          <t>▶ BU SAYFA TEK ASANSÖR İÇİNDİR — çıktısı PAFTA sayfasıdır. Birden fazla asansör için ÇOKLU ASANSÖR sayfasını kullanın.  |  Sarı hücreler: siz girersiniz. Beyaz hücreler: tablolardan/formüllerden otomatik gelir. Ayrıntılı nüfus girişi bu sayfanın altındadır.</t>
        </is>
      </c>
    </row>
    <row r="3" ht="15" customHeight="1" s="138">
      <c r="B3" s="143" t="inlineStr">
        <is>
          <t>Kaynak: MMO/697, 2. Baskı, Ocak 2020, s.11-17. Yüksek bina ölçütü ve ayrıntılı kaynaklar için KAYNAKLAR sayfasına bakın.</t>
        </is>
      </c>
    </row>
    <row r="4" ht="21.75" customHeight="1" s="138">
      <c r="B4" s="144" t="inlineStr">
        <is>
          <t>1) GİRDİLER — yalnız SARI hücreleri ① → ⑩ sırasıyla doldurun</t>
        </is>
      </c>
      <c r="C4" s="140" t="n"/>
      <c r="D4" s="140" t="n"/>
      <c r="E4" s="141" t="n"/>
    </row>
    <row r="5" ht="32.25" customHeight="1" s="138">
      <c r="B5" s="145" t="inlineStr">
        <is>
          <t>① Bina Tipi (hız, %k ve bekleme sınıfı buradan türer)</t>
        </is>
      </c>
      <c r="C5" s="146" t="inlineStr">
        <is>
          <t>Konut</t>
        </is>
      </c>
      <c r="D5" s="147" t="inlineStr">
        <is>
          <t>Manuel k (yalnız Tablo-9'da değer yoksa)</t>
        </is>
      </c>
      <c r="E5" s="148" t="n"/>
    </row>
    <row r="6" ht="43.5" customHeight="1" s="138">
      <c r="B6" s="145" t="inlineStr">
        <is>
          <t>→ Tablo-9 %k tipi (otomatik)</t>
        </is>
      </c>
      <c r="C6" s="149">
        <f>IFERROR(INDEX('TABLO-10'!$L$2:$L$11,MATCH($C$5,'TABLO-10'!$J$2:$J$11,0)),"Manuel k gerekli")</f>
        <v/>
      </c>
      <c r="D6" s="150" t="inlineStr">
        <is>
          <t>k girişi modu</t>
        </is>
      </c>
      <c r="E6" s="151">
        <f>IF(C6="Manuel k gerekli","Manuel gerekli",IF(LEFT($C$5,4)="Kamu","Tablo-9'da kamu yok → İş Merkezi %k varsayıldı (E5 ile değiştirilebilir)","Tablo-9 kilitli"))</f>
        <v/>
      </c>
    </row>
    <row r="7" ht="30" customHeight="1" s="138">
      <c r="B7" s="145" t="inlineStr">
        <is>
          <t>→ Tablo-10 bekleme sınıfı (otomatik)</t>
        </is>
      </c>
      <c r="C7" s="149">
        <f>C5</f>
        <v/>
      </c>
      <c r="D7" s="150" t="inlineStr">
        <is>
          <t>V girişi modu</t>
        </is>
      </c>
      <c r="E7" s="151">
        <f>IF(C17="Manuel hız gerekli","Manuel gerekli",IF(LEFT($C$5,4)="Kamu","Tablo-2'de kamu yok → Büro/İş Merkezi hızı varsayıldı","Tablo-2 min otomatik — üstü de altı da seçilebilir"))</f>
        <v/>
      </c>
    </row>
    <row r="8" ht="32.25" customHeight="1" s="138">
      <c r="B8" s="145" t="inlineStr">
        <is>
          <t>Hesap standardı (yükseklikten otomatik)</t>
        </is>
      </c>
      <c r="C8" s="152">
        <f>IF(OR(E8&gt;21.5,E9&gt;30.5),"Yükseltilmiş","Standart")</f>
        <v/>
      </c>
      <c r="D8" s="147" t="inlineStr">
        <is>
          <t>② Bina yüksekliği (m) — kot noktasından saçak seviyesine (bodrum hariç)</t>
        </is>
      </c>
      <c r="E8" s="153" t="n">
        <v>39.98</v>
      </c>
    </row>
    <row r="9" ht="30" customHeight="1" s="138">
      <c r="B9" s="145" t="inlineStr">
        <is>
          <t>③ Kat sayısı  N  (Ana giriş üstündeki kat adedi)</t>
        </is>
      </c>
      <c r="C9" s="146" t="n">
        <v>13</v>
      </c>
      <c r="D9" s="150" t="inlineStr">
        <is>
          <t>④ Yapı yüksekliği (m) — bodrum ve çatı arası dâhil tüm katlar</t>
        </is>
      </c>
      <c r="E9" s="154" t="n">
        <v>43</v>
      </c>
    </row>
    <row r="10" ht="30" customHeight="1" s="138">
      <c r="B10" s="145">
        <f>"⑤ "&amp;IF($C$5="Konut","Daire sayısı (bağımsız bölüm adedi)",IF(OR(LEFT($C$5,10)="İş Merkezi",LEFT($C$5,4)="Kamu"),"Toplam çalışma alanı (m²)  →  12 m² = 1 kişi",IF(OR(LEFT($C$5,4)="Otel",$C$5="Hastane"),"Toplam yatak sayısı",IF($C$5="Katlı Otopark","Özel amaçlı araç adedi","Bu bina tipinde hızlı giriş yok — aşağıdaki 5) tabloyu doldurun"))))</f>
        <v/>
      </c>
      <c r="C10" s="146" t="n">
        <v>44</v>
      </c>
      <c r="D10" s="150" t="inlineStr">
        <is>
          <t>Manuel V (opsiyonel — boş bırakılırsa Tablo-2 minimumu)</t>
        </is>
      </c>
      <c r="E10" s="154" t="n"/>
    </row>
    <row r="11" ht="39" customHeight="1" s="138">
      <c r="B11" s="145">
        <f>IF($C$5="Konut","⑥ Daire başına DİĞER oda sayısı (ilk yatak odası hariç; mutfak ve ıslak hacim sayılmaz)",IF($C$5="Katlı Otopark","⑥ Ticari amaçlı araç adedi",IF(OR($C$5="Konut",LEFT($C$5,10)="İş Merkezi",LEFT($C$5,4)="Kamu",LEFT($C$5,4)="Otel",$C$5="Hastane"),"⑥ (bu bina tipinde gerekmiyor — boş bırakın)","⑥ (kullanılmıyor — nüfusu aşağıdaki 5) tablodan girin)")))</f>
        <v/>
      </c>
      <c r="C11" s="146" t="n">
        <v>3</v>
      </c>
      <c r="D11" s="155" t="inlineStr">
        <is>
          <t>↓ Bu iki kutu aşağıdaki 5) nüfus tablosunu otomatik doldurur. Ondalık yazarken VİRGÜL kullanın — nokta tarihe dönüşür.</t>
        </is>
      </c>
    </row>
    <row r="12" ht="21.75" customHeight="1" s="138">
      <c r="B12" s="145" t="inlineStr">
        <is>
          <t>⑦ Kat yüksekliği  h  (m)</t>
        </is>
      </c>
      <c r="C12" s="146" t="n">
        <v>3</v>
      </c>
      <c r="D12" s="156">
        <f>IF(AND(ISNUMBER($C$12),OR($C$12&lt;2,$C$12&gt;6)),"⚠ h olağandışı — 2–6 m bekleniyor",IF(AND(ISNUMBER($E$9),ISNUMBER($C$9),ISNUMBER($C$12),$E$9&lt;$C$9*$C$12),"⚠ Yapı yüksekliği &lt; N × h — kontrol et",IF(AND(ISNUMBER($E$8),ISNUMBER($E$9),$E$8&gt;$E$9),"⚠ Bina yüks. &gt; yapı yüks. olamaz","")))</f>
        <v/>
      </c>
    </row>
    <row r="13" ht="21.75" customHeight="1" s="138">
      <c r="B13" s="145" t="inlineStr">
        <is>
          <t>⑧ Kabin kapasitesi  P  (kişi)</t>
        </is>
      </c>
      <c r="C13" s="146" t="n">
        <v>13</v>
      </c>
      <c r="D13" s="157" t="inlineStr">
        <is>
          <t>Yük (kg; 15 kişi = 1125 kg örnek istisnasıdır)</t>
        </is>
      </c>
      <c r="E13" s="158">
        <f>IF(C13="","",IF(C13=6,450,IF(C13=8,630,IF(C13=10,800,IF(C13=13,1000,IF(C13=15,1125,IF(C13=16,1275,IF(C13=20,1600,IF(C13=25,2000,IF(C13=30,2500,C13*75))))))))))</f>
        <v/>
      </c>
    </row>
    <row r="14" ht="92" customHeight="1" s="138">
      <c r="B14" s="145" t="inlineStr">
        <is>
          <t>⑨ Kapı genişliği (mm) — ta/tk ve güncel tp için ortak giriş</t>
        </is>
      </c>
      <c r="C14" s="146" t="n">
        <v>1000</v>
      </c>
      <c r="E14" s="281" t="inlineStr">
        <is>
          <t>Tüm genişlikler ( 700 – 1300 mm ) hesaplanabilir. MMO Tablo-4'te 1000 ve 1200 mm, ISO 8100-32 Tablo 6'da 700 mm BASILI DEĞİLDİR; bu değerler komşu satırlardan enterpolasyon / dış değerleme ile türetilir ve paftada kaynağı 'ara değer' olarak yazılır. 'Kabin İçi Oto. Kat K.Ç.' kapı tipi 1200 ve 1300 mm'de tabloda yoktur — bu ikisinde E26/E27'ye imalatçı değeri girin.</t>
        </is>
      </c>
    </row>
    <row r="15" ht="30" customHeight="1" s="138">
      <c r="B15" s="145" t="inlineStr">
        <is>
          <t>p = 0,8 × P (indirgenmiş kişi sayısı, %80 doluluk)</t>
        </is>
      </c>
      <c r="C15" s="149">
        <f>0.8*C13</f>
        <v/>
      </c>
      <c r="E15" s="155" t="inlineStr">
        <is>
          <t>p = 0,8P; TR ve R formüllerinde p kullanılır.</t>
        </is>
      </c>
      <c r="H15" s="137" t="inlineStr">
        <is>
          <t>yardımcı (gizli): H16 = efektif bodrum durak adedi   ·   H17 = toplam seyahat mesafesi = (N + Nb) · h</t>
        </is>
      </c>
    </row>
    <row r="16" ht="30" customHeight="1" s="138">
      <c r="B16" s="145" t="inlineStr">
        <is>
          <t>⑩ Kapı tipi (Tablo-4)</t>
        </is>
      </c>
      <c r="C16" s="146" t="inlineStr">
        <is>
          <t>Merkezden Açılan Oto.</t>
        </is>
      </c>
      <c r="D16" s="150" t="inlineStr">
        <is>
          <t>⑪ Bodrum durak adedi (ana giriş altı) — boş bırakırsanız 0</t>
        </is>
      </c>
      <c r="E16" s="154" t="n">
        <v>2</v>
      </c>
      <c r="H16" s="137">
        <f>IF(AND(ISNUMBER($E$16),$E$16&gt;=0,$E$16&lt;=10,$E$16=INT($E$16)),$E$16,0)</f>
        <v/>
      </c>
    </row>
    <row r="17" ht="21.75" customHeight="1" s="138">
      <c r="B17" s="159" t="inlineStr">
        <is>
          <t>→ Tablo-2 hız grubu (otomatik)</t>
        </is>
      </c>
      <c r="C17" s="136">
        <f>IFERROR(INDEX('TABLO-10'!$K$2:$K$11,MATCH($C$5,'TABLO-10'!$J$2:$J$11,0)),"Manuel hız gerekli")</f>
        <v/>
      </c>
      <c r="E17" s="143" t="inlineStr">
        <is>
          <t>Hız seçimi bu gruba göre yapılır (EŞLEME tablosundan).</t>
        </is>
      </c>
      <c r="H17" s="137">
        <f>IF(AND(ISNUMBER($C$9),ISNUMBER($C$12)),($C$9+$H$16)*$C$12,"")</f>
        <v/>
      </c>
    </row>
    <row r="18" ht="21.75" customHeight="1" s="138">
      <c r="B18" s="144" t="inlineStr">
        <is>
          <t>2) NÜFUS VE TABLO DEĞERLERİ (otomatik)</t>
        </is>
      </c>
      <c r="C18" s="140" t="n"/>
      <c r="D18" s="140" t="n"/>
      <c r="E18" s="141" t="n"/>
    </row>
    <row r="19" ht="48" customHeight="1" s="138">
      <c r="B19" s="282" t="inlineStr">
        <is>
          <t>Bodrum durağı, MMO/697 tanımı gereği H (Tablo-3) ve S (Tablo-5) değerlerini DEĞİŞTİRMEZ — bu iki büyüklük ana giriş üstündeki kat adedi N üzerinden tanımlıdır ve yukarı yoğun trafikte tur ana giriş katından başlar. Bodrum durağı yalnız (a) Tablo-2 asgari hız seçimindeki durak adedine ve (b) toplam seyahat mesafesine girer.</t>
        </is>
      </c>
    </row>
    <row r="20" ht="30" customHeight="1" s="138">
      <c r="B20" s="145" t="inlineStr">
        <is>
          <t>b = Binadaki temel nüfus = Σc</t>
        </is>
      </c>
      <c r="C20" s="160">
        <f>$G$64</f>
        <v/>
      </c>
      <c r="D20" s="156">
        <f>IF(OR(NOT(ISNUMBER($G$64)),$G$64&lt;=0),"⚠ NÜFUS GİRİLMEDİ — ⑤/⑥ kutularını (10-11. satır) doldurun","")</f>
        <v/>
      </c>
    </row>
    <row r="21" ht="21.75" customHeight="1" s="138">
      <c r="B21" s="145" t="inlineStr">
        <is>
          <t>n = Nüfus artış oranı  (b&lt;200 → 0,3 / b≥200 → 0,25)</t>
        </is>
      </c>
      <c r="C21" s="161">
        <f>IF(C20&lt;200,0.3,0.25)</f>
        <v/>
      </c>
    </row>
    <row r="22" ht="21.75" customHeight="1" s="138">
      <c r="B22" s="145" t="inlineStr">
        <is>
          <t>B = Tasarım nüfusu = b + (n×b)</t>
        </is>
      </c>
      <c r="C22" s="160">
        <f>ROUNDUP(C20*(1+C21),0)</f>
        <v/>
      </c>
      <c r="D22" s="162" t="n"/>
    </row>
    <row r="23" ht="57" customHeight="1" s="138">
      <c r="B23" s="145" t="inlineStr">
        <is>
          <t>V = Kabin hızı (durak adedi = N + 1 + bodrum)</t>
        </is>
      </c>
      <c r="C23" s="161">
        <f>IF(AND(ISNUMBER($E$10),COUNTIF($I$86:$I$95,$E$10)=0),"Manuel V geçersiz — listeden seçin (0,63 / 1 / 1,6 / 1,75 / 2 / 2,5 / 3 / 3,5 / 5 / 6 m/s)",IF(ISNUMBER($E$10),$E$10,IF(ISNUMBER($I$68),$I$68,"Manuel hız gerekli — bu bina tipinde Tablo-2 değeri yok")))</f>
        <v/>
      </c>
      <c r="D23" s="162" t="n"/>
      <c r="E23" s="163">
        <f>IF(NOT(ISNUMBER($C$23)),"",IF(OR($C$17="Manuel hız gerekli",NOT(ISNUMBER($I$68))),"Tablo-2'de bu bina tipi yok — hız tümüyle proje kararıdır; gerekçesini paftaya yazın.",IF($C$23&lt;$I$68,"⚠ Tablo-2 minimumu "&amp;INT(ROUND($I$68,2))&amp;","&amp;TEXT(MOD(ROUND($I$68*100,0),100),"00")&amp;" m/s — seçilen "&amp;INT(ROUND($C$23,2))&amp;","&amp;TEXT(MOD(ROUND($C$23*100,0),100),"00")&amp;" m/s bunun ALTINDA. Bekleme süresi sağlandığı için hesap geçerlidir; gerekçeyi paftaya yazın.",IF($C$23&gt;$I$68,"Tablo-2 minimumu "&amp;INT(ROUND($I$68,2))&amp;","&amp;TEXT(MOD(ROUND($I$68*100,0),100),"00")&amp;" m/s — seçilen "&amp;INT(ROUND($C$23,2))&amp;","&amp;TEXT(MOD(ROUND($C$23*100,0),100),"00")&amp;" m/s (üstü).","Tablo-2 minimumu uygulandı: "&amp;INT(ROUND($C$23,2))&amp;","&amp;TEXT(MOD(ROUND($C$23*100,0),100),"00")&amp;" m/s. Bekleme tutmazsa listeden üst hızı seçebilirsiniz."))))</f>
        <v/>
      </c>
    </row>
    <row r="24" ht="21.75" customHeight="1" s="138">
      <c r="B24" s="145" t="inlineStr">
        <is>
          <t>H = Ortalama en yüksek dönüş katı</t>
        </is>
      </c>
      <c r="C24" s="161">
        <f>IFERROR(INDEX('TABLO-3'!$B$3:$AD$32,MATCH(VALUE($C$9),'TABLO-3'!$A$3:$A$32,0),MATCH(VALUE($C$13),'TABLO-3'!$B$2:$AD$2,0)),"P/N aralık dışı (P:6-34, N:1-30)")</f>
        <v/>
      </c>
      <c r="D24" s="162" t="n"/>
    </row>
    <row r="25" ht="21.75" customHeight="1" s="138">
      <c r="B25" s="145" t="inlineStr">
        <is>
          <t>S = Ortalama durak adedi</t>
        </is>
      </c>
      <c r="C25" s="161">
        <f>IFERROR(INDEX('TABLO-5'!$B$3:$AD$32,MATCH(VALUE($C$9),'TABLO-5'!$A$3:$A$32,0),MATCH(VALUE($C$13),'TABLO-5'!$B$2:$AD$2,0)),"P/N aralık dışı (P:6-34, N:1-30)")</f>
        <v/>
      </c>
      <c r="D25" s="162" t="n"/>
      <c r="H25" s="136" t="inlineStr">
        <is>
          <t>yardımcı (gizli): manuel giriş öncesi MMO tablo değerleri — PAFTA sapma özeti bunları okur</t>
        </is>
      </c>
    </row>
    <row r="26" ht="33" customHeight="1" s="138">
      <c r="B26" s="145" t="inlineStr">
        <is>
          <t>ta = Kapı açılma süresi</t>
        </is>
      </c>
      <c r="C26" s="161">
        <f>IF(ISNUMBER($E$26),$E$26,IFERROR(IF(ISNUMBER(INDEX('TABLO-4'!$I$4:$N$10,MATCH(VALUE($C$14),'TABLO-4'!$A$4:$A$10,0),IF($C$16="Teleskopik Otomatik",1,IF(OR($C$16="Merkezden Açılan Oto.",$C$16="Merkezden Açılan Otomatik"),3,5)))),INDEX('TABLO-4'!$I$4:$N$10,MATCH(VALUE($C$14),'TABLO-4'!$A$4:$A$10,0),IF($C$16="Teleskopik Otomatik",1,IF(OR($C$16="Merkezden Açılan Oto.",$C$16="Merkezden Açılan Otomatik"),3,5))),"Veri yok"),"Veri yok"))</f>
        <v/>
      </c>
      <c r="D26" s="150" t="inlineStr">
        <is>
          <t>Manuel ta (sn) — boş bırakılırsa Tablo-4</t>
        </is>
      </c>
      <c r="E26" s="154" t="n"/>
      <c r="H26" s="136">
        <f>IFERROR(INDEX('TABLO-4'!$I$4:$N$10,MATCH(VALUE($C$14),'TABLO-4'!$A$4:$A$10,0),IF($C$16="Teleskopik Otomatik",1,IF(OR($C$16="Merkezden Açılan Oto.",$C$16="Merkezden Açılan Otomatik"),3,5))),"")</f>
        <v/>
      </c>
    </row>
    <row r="27" ht="33" customHeight="1" s="138">
      <c r="B27" s="145" t="inlineStr">
        <is>
          <t>tk = Kapı kapanma süresi</t>
        </is>
      </c>
      <c r="C27" s="161">
        <f>IF(ISNUMBER($E$27),$E$27,IFERROR(IF(ISNUMBER(INDEX('TABLO-4'!$I$4:$N$10,MATCH(VALUE($C$14),'TABLO-4'!$A$4:$A$10,0),IF($C$16="Teleskopik Otomatik",2,IF(OR($C$16="Merkezden Açılan Oto.",$C$16="Merkezden Açılan Otomatik"),4,6)))),INDEX('TABLO-4'!$I$4:$N$10,MATCH(VALUE($C$14),'TABLO-4'!$A$4:$A$10,0),IF($C$16="Teleskopik Otomatik",2,IF(OR($C$16="Merkezden Açılan Oto.",$C$16="Merkezden Açılan Otomatik"),4,6))),"Veri yok"),"Veri yok"))</f>
        <v/>
      </c>
      <c r="D27" s="150" t="inlineStr">
        <is>
          <t>Manuel tk (sn) — boş bırakılırsa Tablo-4</t>
        </is>
      </c>
      <c r="E27" s="154" t="n"/>
      <c r="H27" s="136">
        <f>IFERROR(INDEX('TABLO-4'!$I$4:$N$10,MATCH(VALUE($C$14),'TABLO-4'!$A$4:$A$10,0),IF($C$16="Teleskopik Otomatik",2,IF(OR($C$16="Merkezden Açılan Oto.",$C$16="Merkezden Açılan Otomatik"),4,6))),"")</f>
        <v/>
      </c>
    </row>
    <row r="28" ht="33" customHeight="1" s="138">
      <c r="B28" s="145" t="inlineStr">
        <is>
          <t>tg = Tek kat geçme süresi</t>
        </is>
      </c>
      <c r="C28" s="161">
        <f>IF(ISNUMBER($E$28),$E$28,IF($C$23&lt;1,10,IF($C$23=1,7,IF($C$23=1.6,6,IF($C$23=1.75,5.8875,IF($C$23=2,5.7,IF($C$23=2.5,5.5,IF($C$23=3,5.25,IF($C$23=3.5,5,IF($C$23=5,4.5,IF($C$23&gt;5,4.3,"Hız Tablo-6 dışı")))))))))))</f>
        <v/>
      </c>
      <c r="D28" s="150" t="inlineStr">
        <is>
          <t>Manuel tg (sn) — boş bırakılırsa Tablo-6</t>
        </is>
      </c>
      <c r="E28" s="154" t="n"/>
      <c r="H28" s="136">
        <f>IF($C$23&lt;1,10,IF($C$23=1,7,IF($C$23=1.6,6,IF($C$23=1.75,5.8875,IF($C$23=2,5.7,IF($C$23=2.5,5.5,IF($C$23=3,5.25,IF($C$23=3.5,5,IF($C$23=5,4.5,IF($C$23&gt;5,4.3,""))))))))))</f>
        <v/>
      </c>
    </row>
    <row r="29" ht="33" customHeight="1" s="138">
      <c r="B29" s="145" t="inlineStr">
        <is>
          <t>tp = Kişi transfer süresi</t>
        </is>
      </c>
      <c r="C29" s="161">
        <f>IF(ISNUMBER($E$29),$E$29,IFERROR(INDEX('TABLO-8'!$B$2:$H$2,1,MATCH(VALUE($C$14),'TABLO-8'!$B$1:$H$1,0)),"tp verisi yok"))</f>
        <v/>
      </c>
      <c r="D29" s="150" t="inlineStr">
        <is>
          <t>Manuel tp (sn) — boş bırakılırsa Tablo-8</t>
        </is>
      </c>
      <c r="E29" s="154" t="n"/>
      <c r="H29" s="164">
        <f>IFERROR(INDEX('TABLO-8'!$B$2:$H$2,1,MATCH(VALUE($C$14),'TABLO-8'!$B$1:$H$1,0)),"")</f>
        <v/>
      </c>
    </row>
    <row r="30" ht="45" customHeight="1" s="138">
      <c r="B30" s="145" t="inlineStr">
        <is>
          <t>k = Taşınacak insan yüzdesi</t>
        </is>
      </c>
      <c r="C30" s="165">
        <f>IF(AND(LEFT($C$5,4)="Kamu",ISNUMBER($E$5),$E$5&gt;0,$E$5&lt;=1),$E$5,IF($C$6="Manuel k gerekli",IF(AND(ISNUMBER($E$5),$E$5&gt;0,$E$5&lt;=1),$E$5,"Manuel k gerekli"),IFERROR(INDEX('TABLO-9'!$D$2:$E$6,MATCH($C$6,'TABLO-9'!$A$2:$A$6,0),IF($C$8="Standart",1,2)),"Manuel k gerekli")))</f>
        <v/>
      </c>
      <c r="D30" s="162" t="n"/>
      <c r="E30" s="163">
        <f>IF(COUNT($E$26:$E$29)=0,"","⚠ "&amp;COUNT($E$26:$E$29)&amp;" adet süre imalatçı verisiyle değiştirildi (MMO Tablo-4/6/8 yerine). Paftada marka-model ve teknik föy referansı belirtilmelidir.")</f>
        <v/>
      </c>
    </row>
    <row r="31" ht="21.75" customHeight="1" s="138"/>
    <row r="32" ht="21.75" customHeight="1" s="138">
      <c r="B32" s="144" t="inlineStr">
        <is>
          <t>3) TUR SÜRESİ VE ASANSÖR SAYISI</t>
        </is>
      </c>
      <c r="C32" s="140" t="n"/>
      <c r="D32" s="140" t="n"/>
      <c r="E32" s="141" t="n"/>
    </row>
    <row r="33" ht="21.75" customHeight="1" s="138">
      <c r="B33" s="145" t="inlineStr">
        <is>
          <t>tv = h / V  (katlar arası geçiş süresi)</t>
        </is>
      </c>
      <c r="C33" s="161">
        <f>IFERROR($C$12/$C$23,"Hız geçersiz")</f>
        <v/>
      </c>
      <c r="D33" s="162" t="n"/>
    </row>
    <row r="34" ht="21.75" customHeight="1" s="138">
      <c r="B34" s="145" t="inlineStr">
        <is>
          <t>ts = ta + tk + tg − tv  (her duraktaki zaman kaybı)</t>
        </is>
      </c>
      <c r="C34" s="161">
        <f>IFERROR(C26+C27+C28-C33,"Kapı verisi eksik")</f>
        <v/>
      </c>
      <c r="D34" s="162" t="n"/>
    </row>
    <row r="35" ht="51" customHeight="1" s="138">
      <c r="B35" s="145" t="inlineStr">
        <is>
          <t>TR = 2·H·tv + (S+1)·ts + 2·p·tp  (tur süresi; p = 0,8·P)</t>
        </is>
      </c>
      <c r="C35" s="161">
        <f>IFERROR(2*C24*C33+(C25+1)*C34+2*C15*C29,"H/S/kapı verisi eksik")</f>
        <v/>
      </c>
      <c r="D35" s="162" t="n"/>
      <c r="E35" s="163" t="inlineStr">
        <is>
          <t>MMO/697 s.11-12 denklemi uygulanır. Kitabın s.54'teki 15 kişilik TR1 basılı aritmetik sonucu hatalı olduğundan denklem sonucu esas alınır.</t>
        </is>
      </c>
    </row>
    <row r="36" ht="21.75" customHeight="1" s="138">
      <c r="B36" s="145" t="inlineStr">
        <is>
          <t>R = 5·60·p / TR  (5 dk'da taşınan kişi)</t>
        </is>
      </c>
      <c r="C36" s="161">
        <f>IFERROR(5*60*C15/C35,"—")</f>
        <v/>
      </c>
      <c r="D36" s="162" t="n"/>
    </row>
    <row r="37" ht="57" customHeight="1" s="138">
      <c r="B37" s="145" t="inlineStr">
        <is>
          <t>n = Uygulanan asansör adedi  (C39 boşsa MAX[taşıma adedi; bekleme adedi])</t>
        </is>
      </c>
      <c r="C37" s="160">
        <f>IF(AND(ISNUMBER($C$39),$C$39&gt;=1),$C$39,$H$37)</f>
        <v/>
      </c>
      <c r="D37" s="162" t="n"/>
      <c r="E37" s="151">
        <f>IF($V$68=0,"ÖNERİ: hesaplanamadı — girdileri kontrol edin","ÖNERİ: "&amp;TRIM(INDEX($B$70:$B$83,$V$68))&amp;" → "&amp;INDEX($R$70:$R$83,$V$68)&amp;" adet, bekleme "&amp;INT(ROUND(INDEX($S$70:$S$83,$V$68),1))&amp;","&amp;TEXT(MOD(ROUND(INDEX($S$70:$S$83,$V$68)*10,0),10),"0")&amp;" sn — "&amp;INDEX($U$70:$U$83,$V$68)&amp;"  (ayrıntı: 6) blok)")</f>
        <v/>
      </c>
      <c r="H37" s="136">
        <f>IFERROR(MAX(1,ROUNDUP(($C$22*$C$30)/$C$36,0),ROUNDUP($C$35/$K$68,0)),"—")</f>
        <v/>
      </c>
    </row>
    <row r="38" ht="57" customHeight="1" s="138">
      <c r="B38" s="145" t="inlineStr">
        <is>
          <t>Ieer = TR / n  (hesaplanan bekleme süresi)</t>
        </is>
      </c>
      <c r="C38" s="161">
        <f>IFERROR(C35/C37,"—")</f>
        <v/>
      </c>
      <c r="D38" s="162" t="n"/>
      <c r="E38" s="163">
        <f>IF(OR(NOT(ISNUMBER($C$35)),NOT(ISNUMBER($C$37)),NOT(ISNUMBER($K$68))),"",IF($C$37&lt;=1,"TEK ASANSÖR YETERLİ — bekleme "&amp;INT(ROUND($C$38,1))&amp;","&amp;TEXT(MOD(ROUND($C$38*10,0),10),"0")&amp;" sn.","TEK ASANSÖR İÇİN: TR ≤ "&amp;INT(ROUND($K$68,1))&amp;","&amp;TEXT(MOD(ROUND($K$68*10,0),10),"0")&amp;" sn olmalı; şu an "&amp;INT(ROUND($C$35,1))&amp;","&amp;TEXT(MOD(ROUND($C$35*10,0),10),"0")&amp;" sn ("&amp;INT(ROUND(($C$35-$K$68),1))&amp;","&amp;TEXT(MOD(ROUND(($C$35-$K$68)*10,0),10),"0")&amp;" sn fazla). ts=ta+tk+tg toplamını "&amp;INT(ROUND(($C$35-$K$68)/($C$25+1),1))&amp;","&amp;TEXT(MOD(ROUND(($C$35-$K$68)/($C$25+1)*10,0),10),"0")&amp;" sn kısmak gerekir — E26:E29 kutularına imalatçı verisi girin, kabini küçültün veya hızı artırın."))</f>
        <v/>
      </c>
    </row>
    <row r="39" ht="30" customHeight="1" s="138">
      <c r="B39" s="145" t="inlineStr">
        <is>
          <t>Asansör adedini ELLE dene (boş bırak = otomatik)</t>
        </is>
      </c>
      <c r="C39" s="146" t="n"/>
      <c r="D39" s="162" t="n"/>
      <c r="E39" s="163">
        <f>IF(NOT(ISNUMBER($H$37)),"",IF(NOT(ISNUMBER($C$39)),"Otomatik: hesap "&amp;$H$37&amp;" adet gerektiriyor.",IF($C$39&lt;$H$37,"⚠ Elle "&amp;$C$39&amp;" adet seçildi; MMO/697 hesabı "&amp;$H$37&amp;" adet gerektiriyor. SONUÇ satırına bakın.",IF($C$39&gt;$H$37,"Elle "&amp;$C$39&amp;" adet seçildi — hesabın gerektirdiği "&amp;$H$37&amp;" adetten fazla.","Elle "&amp;$C$39&amp;" adet seçildi — otomatik sonuçla aynı."))))</f>
        <v/>
      </c>
    </row>
    <row r="40" ht="21.75" customHeight="1" s="138">
      <c r="B40" s="144" t="inlineStr">
        <is>
          <t>4) SONUÇ — Tablo-10 ile karşılaştırma</t>
        </is>
      </c>
      <c r="C40" s="140" t="n"/>
      <c r="D40" s="140" t="n"/>
      <c r="E40" s="141" t="n"/>
    </row>
    <row r="41" ht="21.75" customHeight="1" s="138">
      <c r="B41" s="145" t="inlineStr">
        <is>
          <t>Şartlı Kabul eşiği (seçilen sınıf için)</t>
        </is>
      </c>
      <c r="C41" s="160">
        <f>IFERROR(INDEX('TABLO-10'!$F$2:$F$11,MATCH($C$7,'TABLO-10'!$A$2:$A$11,0)),"Yok")</f>
        <v/>
      </c>
      <c r="D41" s="162" t="n"/>
    </row>
    <row r="42" ht="21.75" customHeight="1" s="138">
      <c r="B42" s="145" t="inlineStr">
        <is>
          <t>Standart eşiği (seçilen sınıf için)</t>
        </is>
      </c>
      <c r="C42" s="160">
        <f>IFERROR(INDEX('TABLO-10'!$G$2:$G$11,MATCH($C$7,'TABLO-10'!$A$2:$A$11,0)),"?")</f>
        <v/>
      </c>
      <c r="D42" s="162" t="n"/>
    </row>
    <row r="43" ht="21.75" customHeight="1" s="138">
      <c r="B43" s="145" t="inlineStr">
        <is>
          <t>Yükseltilmiş Standart eşiği (seçilen sınıf için)</t>
        </is>
      </c>
      <c r="C43" s="160">
        <f>IFERROR(INDEX('TABLO-10'!$H$2:$H$11,MATCH($C$7,'TABLO-10'!$A$2:$A$11,0)),"?")</f>
        <v/>
      </c>
      <c r="D43" s="162" t="n"/>
    </row>
    <row r="44" ht="57" customHeight="1" s="138">
      <c r="B44" s="166" t="inlineStr">
        <is>
          <t>SONUÇ</t>
        </is>
      </c>
      <c r="C44" s="167">
        <f>IF($E$45&lt;&gt;"",$E$45,IF(AND($C$37*$C$36&gt;=$C$22*$C$30,$C$38&lt;=IF($C$8="Yükseltilmiş",$C$43,$C$42)),$C$8&amp;" kriteri karşılanıyor",IF(AND(ISNUMBER($C$41),$C$41&gt;0,$C$37*$C$36&gt;=$C$22*$C$30,$C$38&lt;=$C$41),"Şartlı Kabul (taahhütname ile) — Standart için "&amp;ROUNDUP($C$35/$C$42,0)&amp;" adet gerekir",IF(ISNUMBER($C$39),"Kabul Edilmez — seçilen "&amp;$C$39&amp;" adet asansör bu bina için UYGUN DEĞİLDİR; en az "&amp;$H$37&amp;" adet gerekir","Kabul Edilmez - girdileri/kriteri kontrol edin"))))</f>
        <v/>
      </c>
      <c r="H44" s="137" t="inlineStr">
        <is>
          <t>yardımcı (gizli): tablo kapsamı dışı girdiler için ayrıntılı tanı mesajı</t>
        </is>
      </c>
    </row>
    <row r="45" ht="21.75" customHeight="1" s="138">
      <c r="E45" s="136">
        <f>IF($H$45&lt;&gt;"",$H$45,IF(OR(AND($C$5="Konut",OR(AND(ISNUMBER($C$10),$C$10&gt;2000),AND(ISNUMBER($C$11),$C$11&gt;20))),AND(OR(LEFT($C$5,4)="Otel",$C$5="Hastane"),AND(ISNUMBER($C$10),$C$10&gt;20000)),AND($C$5="Katlı Otopark",OR(AND(ISNUMBER($C$10),$C$10&gt;20000),AND(ISNUMBER($C$11),$C$11&gt;20000)))),"HESAP HATASI: ⑤/⑥ değeri olağandışı — ondalık yazarken NOKTA değil VİRGÜL kullanın (nokta tarihe dönüşür, örn. 17.1 → 46039)",IF(OR(NOT(ISNUMBER($C$20)),$C$20&lt;=0),"HESAP HATASI: Nüfus girilmedi — ⑤ (ve gerekiyorsa ⑥) kutusunu doldurun",IF(AND(C6&lt;&gt;"Manuel k gerekli",LEFT($C$5,4)&lt;&gt;"Kamu",E5&lt;&gt;""),"HESAP HATASI: Tablo-9 varken manuel k girilemez",IF(OR(NOT(ISNUMBER(C9)),C9&lt;1,C9&gt;30,NOT(ISNUMBER(C12)),C12&lt;=0,C12&gt;10,NOT(OR(C13=6,C13=8,C13=10,C13=13,C13=15,C13=16,C13=20,C13=25,C13=30)),NOT(ISNUMBER(E8)),E8&lt;0,NOT(ISNUMBER(E9)),E9&lt;0,NOT(ISNUMBER(C20)),C20&lt;=0,NOT(ISNUMBER(C22)),C22&lt;=0,NOT(ISNUMBER(C23)),C23&lt;=0,NOT(ISNUMBER(C24)),NOT(ISNUMBER(C25)),NOT(ISNUMBER(C26)),NOT(ISNUMBER(C27)),NOT(ISNUMBER(C28)),NOT(ISNUMBER(C29)),NOT(ISNUMBER(C30)),C30&lt;=0,C30&gt;1,NOT(ISNUMBER(C35)),C35&lt;=0,NOT(ISNUMBER(C36)),C36&lt;=0,NOT(ISNUMBER(C37)),C37&lt;1,NOT(ISNUMBER(C38)),AND(C6="Manuel k gerekli",OR(NOT(ISNUMBER(E5)),E5&lt;=0,E5&gt;1)),AND(C17="Manuel hız gerekli",OR(NOT(ISNUMBER(E10)),E10&lt;=0))),"HESAP HATASI: girdileri ve tablo eşleşmelerini kontrol edin","")))))</f>
        <v/>
      </c>
      <c r="H45" s="137">
        <f>IF(AND($E$16&lt;&gt;"",OR(NOT(ISNUMBER($E$16)),$E$16&lt;0,$E$16&gt;10,$E$16&lt;&gt;INT($E$16))),"HESAP HATASI: ⑪ bodrum durak adedi 0 ile 10 arasında tam sayı olmalıdır (ana giriş altında hizmet verilen durak adedi).",IF(NOT(OR($C$14=700,$C$14=800,$C$14=900,$C$14=1000,$C$14=1100,$C$14=1200,$C$14=1300)),"HESAP HATASI: ⑨ kapı genişliği listeden seçilmelidir (700/800/900/1000/1100/1200/1300 mm).",IF(AND(ISNUMBER($C$9),$C$9&gt;30),"HESAP HATASI: N = "&amp;$C$9&amp;" &gt; 30. MMO/697 Tablo-3 ve Tablo-5 en fazla 30 katı kapsar; bu yükseklikte tek bölgeli hesap geçerli değildir, bölgeli (zoned) trafik hesabı yapılmalıdır.",IF(OR(NOT(ISNUMBER($C$26)),NOT(ISNUMBER($C$27))),"HESAP HATASI: "&amp;$C$14&amp;" mm / "&amp;$C$16&amp;" için Tablo-4'te ta-tk karşılığı yok — 'Kabin İçi Oto. Kat K.Ç.' sütunu 1200 ve 1300 mm'de tabloda bulunmaz. E26 ve E27 hücrelerine imalatçı katalog değerini girin ya da kapı tipini değiştirin.",IF(NOT(ISNUMBER($C$29)),"HESAP HATASI: "&amp;$C$14&amp;" mm için tp değeri bulunamadı. E29 hücresine imalatçı değerini girin.",IF(NOT(ISNUMBER($C$28)),"HESAP HATASI: V = "&amp;$C$23&amp;" m/s için Tablo-6'da tg değeri yok. E28 hücresine imalatçı değerini girin.",""))))))</f>
        <v/>
      </c>
    </row>
    <row r="46" ht="30" customHeight="1" s="138">
      <c r="B46" s="144">
        <f>IF($E$45&lt;&gt;"",$E$45,"  "&amp;C13&amp;" kişilik, "&amp;INT(ROUND(C23,2))&amp;","&amp;TEXT(MOD(ROUND(C23*100,0),100),"00")&amp;" m/s hızında, "&amp;IFERROR(C37&amp;" adet asansör","-")&amp;" → "&amp;C44)</f>
        <v/>
      </c>
      <c r="C46" s="140" t="n"/>
      <c r="D46" s="140" t="n"/>
      <c r="E46" s="141" t="n"/>
    </row>
    <row r="48" ht="24" customHeight="1" s="138">
      <c r="B48" s="168" t="inlineStr">
        <is>
          <t>5) NÜFUSUN AYRINTISI (b = Σc) — ⑤/⑥ kutularından otomatik dolar, normal binada dokunmanız gerekmez</t>
        </is>
      </c>
    </row>
    <row r="49" ht="33.75" customHeight="1" s="138">
      <c r="B49" s="169" t="inlineStr">
        <is>
          <t>Aşağıdaki iki satır ⑤/⑥ kutularının nasıl kişiye çevrildiğini gösterir. Karma yapı veya Tablo-1 dışı nüfus eklemek isterseniz 52. satırın solundaki ⊞ düğmesine basıp gizli SARI satırları açın.</t>
        </is>
      </c>
    </row>
    <row r="50" ht="30" customHeight="1" s="138">
      <c r="B50" s="170" t="inlineStr">
        <is>
          <t>Grup / kat / açıklama</t>
        </is>
      </c>
      <c r="C50" s="170" t="inlineStr">
        <is>
          <t>Miktar</t>
        </is>
      </c>
      <c r="D50" s="170" t="inlineStr">
        <is>
          <t>Tablo-1 kalemi</t>
        </is>
      </c>
      <c r="E50" s="170" t="inlineStr">
        <is>
          <t>Birim</t>
        </is>
      </c>
      <c r="F50" s="170" t="inlineStr">
        <is>
          <t>Katsayı</t>
        </is>
      </c>
      <c r="G50" s="170" t="inlineStr">
        <is>
          <t>c (kişi)</t>
        </is>
      </c>
    </row>
    <row r="51" ht="15" customHeight="1" s="138">
      <c r="B51" s="171" t="inlineStr">
        <is>
          <t>↑ ⑤ hızlı girişinden otomatik</t>
        </is>
      </c>
      <c r="C51" s="172">
        <f>IF($D$51="","",IF(NOT(ISNUMBER($C$10)),"",$C$10))</f>
        <v/>
      </c>
      <c r="D51" s="171">
        <f>IF($C$5="Konut","KONUT — İlk yatak odası",IF(LEFT($C$5,10)="İş Merkezi","İŞ MERKEZİ — Çalışma alanı",IF(LEFT($C$5,4)="Kamu","RESMİ BİNA — Çalışma alanı",IF(LEFT($C$5,4)="Otel","OTEL — Yatak",IF($C$5="Hastane","HASTANE — Yatak",IF($C$5="Katlı Otopark","OTOPARK — Özel araç",""))))))</f>
        <v/>
      </c>
      <c r="E51" s="171">
        <f>IF(D51="","",IFERROR(INDEX('NÜFUS GİRİŞİ'!$B$5:$B$13,MATCH(D51,'NÜFUS GİRİŞİ'!$A$5:$A$13,0)),""))</f>
        <v/>
      </c>
      <c r="F51" s="172">
        <f>IF(D51="","",IFERROR(INDEX('NÜFUS GİRİŞİ'!$C$5:$C$13,MATCH(D51,'NÜFUS GİRİŞİ'!$A$5:$A$13,0)),""))</f>
        <v/>
      </c>
      <c r="G51" s="171">
        <f>IF(OR(D51="",C51=""),"",C51*F51)</f>
        <v/>
      </c>
    </row>
    <row r="52" ht="15" customHeight="1" s="138">
      <c r="B52" s="171" t="inlineStr">
        <is>
          <t>↑ ⑥ hızlı girişinden otomatik</t>
        </is>
      </c>
      <c r="C52" s="172">
        <f>IF($D$52="","",IF($C$5="Konut",IF(OR(NOT(ISNUMBER($C$10)),NOT(ISNUMBER($C$11))),"",$C$10*$C$11),IF(NOT(ISNUMBER($C$11)),"",$C$11)))</f>
        <v/>
      </c>
      <c r="D52" s="171">
        <f>IF($C$5="Konut","KONUT — Diğer oda",IF($C$5="Katlı Otopark","OTOPARK — Ticari araç",""))</f>
        <v/>
      </c>
      <c r="E52" s="171">
        <f>IF(D52="","",IFERROR(INDEX('NÜFUS GİRİŞİ'!$B$5:$B$13,MATCH(D52,'NÜFUS GİRİŞİ'!$A$5:$A$13,0)),""))</f>
        <v/>
      </c>
      <c r="F52" s="172">
        <f>IF(D52="","",IFERROR(INDEX('NÜFUS GİRİŞİ'!$C$5:$C$13,MATCH(D52,'NÜFUS GİRİŞİ'!$A$5:$A$13,0)),""))</f>
        <v/>
      </c>
      <c r="G52" s="171">
        <f>IF(OR(D52="",C52=""),"",C52*F52)</f>
        <v/>
      </c>
    </row>
    <row r="53" hidden="1" outlineLevel="1" ht="15" customHeight="1" s="138">
      <c r="B53" s="173" t="n"/>
      <c r="C53" s="174" t="n"/>
      <c r="D53" s="173" t="n"/>
      <c r="E53" s="171">
        <f>IF(D53="","",IFERROR(INDEX('NÜFUS GİRİŞİ'!$B$5:$B$13,MATCH(D53,'NÜFUS GİRİŞİ'!$A$5:$A$13,0)),""))</f>
        <v/>
      </c>
      <c r="F53" s="171">
        <f>IF(D53="","",IFERROR(INDEX('NÜFUS GİRİŞİ'!$C$5:$C$13,MATCH(D53,'NÜFUS GİRİŞİ'!$A$5:$A$13,0)),""))</f>
        <v/>
      </c>
      <c r="G53" s="171">
        <f>IF(OR(D53="",C53=""),"",C53*F53)</f>
        <v/>
      </c>
    </row>
    <row r="54" hidden="1" outlineLevel="1" ht="15" customHeight="1" s="138">
      <c r="B54" s="173" t="n"/>
      <c r="C54" s="174" t="n"/>
      <c r="D54" s="173" t="n"/>
      <c r="E54" s="171">
        <f>IF(D54="","",IFERROR(INDEX('NÜFUS GİRİŞİ'!$B$5:$B$13,MATCH(D54,'NÜFUS GİRİŞİ'!$A$5:$A$13,0)),""))</f>
        <v/>
      </c>
      <c r="F54" s="171">
        <f>IF(D54="","",IFERROR(INDEX('NÜFUS GİRİŞİ'!$C$5:$C$13,MATCH(D54,'NÜFUS GİRİŞİ'!$A$5:$A$13,0)),""))</f>
        <v/>
      </c>
      <c r="G54" s="171">
        <f>IF(OR(D54="",C54=""),"",C54*F54)</f>
        <v/>
      </c>
    </row>
    <row r="55" hidden="1" outlineLevel="1" ht="15" customHeight="1" s="138">
      <c r="B55" s="173" t="n"/>
      <c r="C55" s="174" t="n"/>
      <c r="D55" s="173" t="n"/>
      <c r="E55" s="171">
        <f>IF(D55="","",IFERROR(INDEX('NÜFUS GİRİŞİ'!$B$5:$B$13,MATCH(D55,'NÜFUS GİRİŞİ'!$A$5:$A$13,0)),""))</f>
        <v/>
      </c>
      <c r="F55" s="171">
        <f>IF(D55="","",IFERROR(INDEX('NÜFUS GİRİŞİ'!$C$5:$C$13,MATCH(D55,'NÜFUS GİRİŞİ'!$A$5:$A$13,0)),""))</f>
        <v/>
      </c>
      <c r="G55" s="171">
        <f>IF(OR(D55="",C55=""),"",C55*F55)</f>
        <v/>
      </c>
    </row>
    <row r="56" hidden="1" outlineLevel="1" ht="15" customHeight="1" s="138">
      <c r="B56" s="173" t="n"/>
      <c r="C56" s="174" t="n"/>
      <c r="D56" s="173" t="n"/>
      <c r="E56" s="171">
        <f>IF(D56="","",IFERROR(INDEX('NÜFUS GİRİŞİ'!$B$5:$B$13,MATCH(D56,'NÜFUS GİRİŞİ'!$A$5:$A$13,0)),""))</f>
        <v/>
      </c>
      <c r="F56" s="171">
        <f>IF(D56="","",IFERROR(INDEX('NÜFUS GİRİŞİ'!$C$5:$C$13,MATCH(D56,'NÜFUS GİRİŞİ'!$A$5:$A$13,0)),""))</f>
        <v/>
      </c>
      <c r="G56" s="171">
        <f>IF(OR(D56="",C56=""),"",C56*F56)</f>
        <v/>
      </c>
    </row>
    <row r="57" hidden="1" outlineLevel="1" ht="15" customHeight="1" s="138">
      <c r="B57" s="173" t="n"/>
      <c r="C57" s="174" t="n"/>
      <c r="D57" s="173" t="n"/>
      <c r="E57" s="171">
        <f>IF(D57="","",IFERROR(INDEX('NÜFUS GİRİŞİ'!$B$5:$B$13,MATCH(D57,'NÜFUS GİRİŞİ'!$A$5:$A$13,0)),""))</f>
        <v/>
      </c>
      <c r="F57" s="171">
        <f>IF(D57="","",IFERROR(INDEX('NÜFUS GİRİŞİ'!$C$5:$C$13,MATCH(D57,'NÜFUS GİRİŞİ'!$A$5:$A$13,0)),""))</f>
        <v/>
      </c>
      <c r="G57" s="171">
        <f>IF(OR(D57="",C57=""),"",C57*F57)</f>
        <v/>
      </c>
    </row>
    <row r="58" hidden="1" outlineLevel="1" ht="15" customHeight="1" s="138">
      <c r="B58" s="173" t="n"/>
      <c r="C58" s="174" t="n"/>
      <c r="D58" s="173" t="n"/>
      <c r="E58" s="171">
        <f>IF(D58="","",IFERROR(INDEX('NÜFUS GİRİŞİ'!$B$5:$B$13,MATCH(D58,'NÜFUS GİRİŞİ'!$A$5:$A$13,0)),""))</f>
        <v/>
      </c>
      <c r="F58" s="171">
        <f>IF(D58="","",IFERROR(INDEX('NÜFUS GİRİŞİ'!$C$5:$C$13,MATCH(D58,'NÜFUS GİRİŞİ'!$A$5:$A$13,0)),""))</f>
        <v/>
      </c>
      <c r="G58" s="171">
        <f>IF(OR(D58="",C58=""),"",C58*F58)</f>
        <v/>
      </c>
    </row>
    <row r="59" hidden="1" outlineLevel="1" ht="15" customHeight="1" s="138">
      <c r="B59" s="173" t="n"/>
      <c r="C59" s="174" t="n"/>
      <c r="D59" s="173" t="n"/>
      <c r="E59" s="171">
        <f>IF(D59="","",IFERROR(INDEX('NÜFUS GİRİŞİ'!$B$5:$B$13,MATCH(D59,'NÜFUS GİRİŞİ'!$A$5:$A$13,0)),""))</f>
        <v/>
      </c>
      <c r="F59" s="171">
        <f>IF(D59="","",IFERROR(INDEX('NÜFUS GİRİŞİ'!$C$5:$C$13,MATCH(D59,'NÜFUS GİRİŞİ'!$A$5:$A$13,0)),""))</f>
        <v/>
      </c>
      <c r="G59" s="171">
        <f>IF(OR(D59="",C59=""),"",C59*F59)</f>
        <v/>
      </c>
    </row>
    <row r="60" hidden="1" outlineLevel="1" ht="15" customHeight="1" s="138">
      <c r="B60" s="173" t="n"/>
      <c r="C60" s="174" t="n"/>
      <c r="D60" s="173" t="n"/>
      <c r="E60" s="171">
        <f>IF(D60="","",IFERROR(INDEX('NÜFUS GİRİŞİ'!$B$5:$B$13,MATCH(D60,'NÜFUS GİRİŞİ'!$A$5:$A$13,0)),""))</f>
        <v/>
      </c>
      <c r="F60" s="171">
        <f>IF(D60="","",IFERROR(INDEX('NÜFUS GİRİŞİ'!$C$5:$C$13,MATCH(D60,'NÜFUS GİRİŞİ'!$A$5:$A$13,0)),""))</f>
        <v/>
      </c>
      <c r="G60" s="171">
        <f>IF(OR(D60="",C60=""),"",C60*F60)</f>
        <v/>
      </c>
    </row>
    <row r="61" hidden="1" outlineLevel="1" ht="15" customHeight="1" s="138">
      <c r="B61" s="173" t="n"/>
      <c r="C61" s="174" t="n"/>
      <c r="D61" s="173" t="n"/>
      <c r="E61" s="171">
        <f>IF(D61="","",IFERROR(INDEX('NÜFUS GİRİŞİ'!$B$5:$B$13,MATCH(D61,'NÜFUS GİRİŞİ'!$A$5:$A$13,0)),""))</f>
        <v/>
      </c>
      <c r="F61" s="171">
        <f>IF(D61="","",IFERROR(INDEX('NÜFUS GİRİŞİ'!$C$5:$C$13,MATCH(D61,'NÜFUS GİRİŞİ'!$A$5:$A$13,0)),""))</f>
        <v/>
      </c>
      <c r="G61" s="171">
        <f>IF(OR(D61="",C61=""),"",C61*F61)</f>
        <v/>
      </c>
    </row>
    <row r="62" hidden="1" outlineLevel="1" ht="15" customHeight="1" s="138">
      <c r="B62" s="173" t="n"/>
      <c r="C62" s="174" t="n"/>
      <c r="D62" s="173" t="n"/>
      <c r="E62" s="171">
        <f>IF(D62="","",IFERROR(INDEX('NÜFUS GİRİŞİ'!$B$5:$B$13,MATCH(D62,'NÜFUS GİRİŞİ'!$A$5:$A$13,0)),""))</f>
        <v/>
      </c>
      <c r="F62" s="171">
        <f>IF(D62="","",IFERROR(INDEX('NÜFUS GİRİŞİ'!$C$5:$C$13,MATCH(D62,'NÜFUS GİRİŞİ'!$A$5:$A$13,0)),""))</f>
        <v/>
      </c>
      <c r="G62" s="171">
        <f>IF(OR(D62="",C62=""),"",C62*F62)</f>
        <v/>
      </c>
    </row>
    <row r="63" hidden="1" outlineLevel="1" ht="15" customHeight="1" s="138">
      <c r="B63" s="173" t="n"/>
      <c r="C63" s="174" t="n"/>
      <c r="D63" s="173" t="n"/>
      <c r="E63" s="171">
        <f>IF(D63="","",IFERROR(INDEX('NÜFUS GİRİŞİ'!$B$5:$B$13,MATCH(D63,'NÜFUS GİRİŞİ'!$A$5:$A$13,0)),""))</f>
        <v/>
      </c>
      <c r="F63" s="171">
        <f>IF(D63="","",IFERROR(INDEX('NÜFUS GİRİŞİ'!$C$5:$C$13,MATCH(D63,'NÜFUS GİRİŞİ'!$A$5:$A$13,0)),""))</f>
        <v/>
      </c>
      <c r="G63" s="171">
        <f>IF(OR(D63="",C63=""),"",C63*F63)</f>
        <v/>
      </c>
    </row>
    <row r="64" ht="15" customHeight="1" s="138">
      <c r="B64" s="175" t="inlineStr">
        <is>
          <t>TOPLAM b = Σc</t>
        </is>
      </c>
      <c r="C64" s="175" t="n"/>
      <c r="D64" s="175" t="n"/>
      <c r="E64" s="175" t="n"/>
      <c r="F64" s="176" t="n"/>
      <c r="G64" s="175">
        <f>ROUND(SUM(G51:G63),6)</f>
        <v/>
      </c>
    </row>
    <row r="65" ht="33.75" customHeight="1" s="138">
      <c r="B65" s="177" t="inlineStr">
        <is>
          <t>Uyarı: DOĞRUDAN KİŞİ seçeneği yalnız Tablo-1 dışında kalan, proje verisiyle gerekçelendirilmiş nüfus için kullanılmalıdır.</t>
        </is>
      </c>
    </row>
    <row r="67" ht="15" customHeight="1" s="138">
      <c r="B67" s="168" t="inlineStr">
        <is>
          <t>6) OTOMATİK ÖNERİ — hangi kabin ve hız kaç asansör gerektirir?</t>
        </is>
      </c>
      <c r="I67" s="137" t="inlineStr">
        <is>
          <t>Vmin</t>
        </is>
      </c>
      <c r="J67" s="137" t="inlineStr">
        <is>
          <t>Vüst</t>
        </is>
      </c>
      <c r="K67" s="137" t="inlineStr">
        <is>
          <t>Izul</t>
        </is>
      </c>
      <c r="V67" s="137" t="inlineStr">
        <is>
          <t>kazanan</t>
        </is>
      </c>
    </row>
    <row r="68" ht="27" customHeight="1" s="138">
      <c r="B68" s="169" t="inlineStr">
        <is>
          <t>Bilgi amaçlıdır; kesin hesap yukarıdaki ⑧/⑩ girdilerinizle yapılır. Uygun satırdaki kapasiteyi ⑧ (C13) hücresine, hız 'bir üst hız' ise değerini Manuel V (E10) hücresine yazın. Yeşil satır = önerilen seçenek: önce Tablo-10 standardını sağlayanlar, sonra en az asansör, sonra en küçük kabin.</t>
        </is>
      </c>
      <c r="H68" s="137" t="inlineStr">
        <is>
          <t>yardımcı hücreler (gizli): Vmin / Vüst / Izul / kazanan satır  —  Izul (K68) MMO/697 Tablo-10 Standart (veya yüksek yapıda Yükseltilmiş) sınırıdır; asansör adedi bu sınıra göre boyutlanır, Şartlı Kabul sınırına göre değil.</t>
        </is>
      </c>
      <c r="I68" s="137">
        <f>IF($C$17="Manuel hız gerekli",IF(AND(ISNUMBER($E$10),COUNTIF($I$86:$I$95,$E$10)&gt;0),$E$10,""),IF($C$17="Konut",IF(($C$9+1+$H$16)&lt;=9,1,IF(($C$9+1+$H$16)&lt;=14,1.6,IF(($C$9+1+$H$16)&lt;=19,2,2.5))),IF($C$17="Büro ve İş Merkezi",IF(($C$9+1+$H$16)&lt;=5,1,IF(($C$9+1+$H$16)&lt;=10,1.6,IF(($C$9+1+$H$16)&lt;=15,2,IF(($C$9+1+$H$16)&lt;=19,2.5,3.5)))),IF(($C$9+1+$H$16)&lt;=6,1,IF(($C$9+1+$H$16)&lt;=10,1.6,IF(($C$9+1+$H$16)&lt;=15,2,IF(($C$9+1+$H$16)&lt;=19,2.5,3.5)))))))</f>
        <v/>
      </c>
      <c r="J68" s="137">
        <f>IF(NOT(ISNUMBER($I$68)),"",IF($I$68&lt;1,1,IF($I$68=1,1.6,IF($I$68=1.6,2,IF($I$68=2,2.5,IF($I$68=2.5,3.5,IF($I$68=3.5,5,6)))))))</f>
        <v/>
      </c>
      <c r="K68" s="178">
        <f>IF($C$8="Yükseltilmiş",$C$43,$C$42)</f>
        <v/>
      </c>
      <c r="V68" s="137">
        <f>IF(MIN($T$70:$T$83)&gt;=999999999,0,MATCH(MIN($T$70:$T$83),$T$70:$T$83,0))</f>
        <v/>
      </c>
    </row>
    <row r="69" ht="16.5" customHeight="1" s="138">
      <c r="B69" s="170" t="inlineStr">
        <is>
          <t>Seçenek (kabin — hız)</t>
        </is>
      </c>
      <c r="C69" s="170" t="inlineStr">
        <is>
          <t>Asansör adedi</t>
        </is>
      </c>
      <c r="D69" s="170" t="inlineStr">
        <is>
          <t>Bekleme Ieer (sn)</t>
        </is>
      </c>
      <c r="E69" s="170" t="inlineStr">
        <is>
          <t>Sınıf</t>
        </is>
      </c>
      <c r="F69" s="170" t="inlineStr">
        <is>
          <t>TR (sn)</t>
        </is>
      </c>
      <c r="G69" s="170" t="inlineStr">
        <is>
          <t>R (kişi/5 dk)</t>
        </is>
      </c>
      <c r="W69" s="137" t="inlineStr">
        <is>
          <t>kapı (mm)</t>
        </is>
      </c>
      <c r="X69" s="137" t="inlineStr">
        <is>
          <t>ta</t>
        </is>
      </c>
      <c r="Y69" s="137" t="inlineStr">
        <is>
          <t>tk</t>
        </is>
      </c>
      <c r="Z69" s="137" t="inlineStr">
        <is>
          <t>tp</t>
        </is>
      </c>
    </row>
    <row r="70" ht="16.5" customHeight="1" s="138">
      <c r="B70" s="171">
        <f>"  6 kişilik (450 kg)  —  "&amp;IF(ISNUMBER($J70),INT(ROUND($J70,2))&amp;","&amp;TEXT(MOD(ROUND($J70*100,0),100),"00"),"?")&amp;" m/s"&amp;IF(ISNUMBER($W70),"  ·  "&amp;$W70&amp;" mm kapı","")&amp;" (Tablo-2 min)"&amp;"  ⚠ erişilebilirlik dışı"</f>
        <v/>
      </c>
      <c r="C70" s="160">
        <f>IF(ISNUMBER($R70),$R70,"—")</f>
        <v/>
      </c>
      <c r="D70" s="161">
        <f>IF(ISNUMBER($S70),$S70,"—")</f>
        <v/>
      </c>
      <c r="E70" s="171">
        <f>$U70</f>
        <v/>
      </c>
      <c r="F70" s="161">
        <f>IF(ISNUMBER($P70),$P70,"—")</f>
        <v/>
      </c>
      <c r="G70" s="161">
        <f>IF(ISNUMBER($Q70),$Q70,"—")</f>
        <v/>
      </c>
      <c r="I70" s="137" t="n">
        <v>6</v>
      </c>
      <c r="J70" s="137">
        <f>$I$68</f>
        <v/>
      </c>
      <c r="K70" s="137">
        <f>IFERROR(INDEX('TABLO-3'!$B$3:$AD$32,MATCH($C$9,'TABLO-3'!$A$3:$A$32,0),MATCH($I70,'TABLO-3'!$B$2:$AD$2,0)),"")</f>
        <v/>
      </c>
      <c r="L70" s="137">
        <f>IFERROR(INDEX('TABLO-5'!$B$3:$AD$32,MATCH($C$9,'TABLO-5'!$A$3:$A$32,0),MATCH($I70,'TABLO-5'!$B$2:$AD$2,0)),"")</f>
        <v/>
      </c>
      <c r="M70" s="137">
        <f>IF(NOT(ISNUMBER($J70)),"",$C$12/$J70)</f>
        <v/>
      </c>
      <c r="N70" s="137">
        <f>IF(NOT(ISNUMBER($J70)),"",IF(AND(ISNUMBER($E$28),$J70=$C$23),$E$28,IF($J70&lt;1,10,IF($J70=1,7,IF($J70=1.6,6,IF($J70=2,5.7,IF($J70=2.5,5.5,IF($J70=3.5,5,IF($J70=5,4.5,4.3)))))))))</f>
        <v/>
      </c>
      <c r="O70" s="137">
        <f>IFERROR($X70+$Y70+$N70-$M70,"")</f>
        <v/>
      </c>
      <c r="P70" s="137">
        <f>IFERROR(2*$K70*$M70+($L70+1)*$O70+2*(0.8*$I70)*$Z70,"")</f>
        <v/>
      </c>
      <c r="Q70" s="137">
        <f>IFERROR(300*0.8*$I70/$P70,"")</f>
        <v/>
      </c>
      <c r="R70" s="137">
        <f>IFERROR(MAX(1,ROUNDUP($C$22*$C$30/$Q70,0),ROUNDUP($P70/$K$68,0)),"")</f>
        <v/>
      </c>
      <c r="S70" s="137">
        <f>IFERROR($P70/$R70,"")</f>
        <v/>
      </c>
      <c r="T70" s="137">
        <f>999999999</f>
        <v/>
      </c>
      <c r="U70" s="137">
        <f>IF(NOT(ISNUMBER($S70)),"—",IF(AND(ISNUMBER($C$42),$S70&lt;=IF($C$8="Yükseltilmiş",$C$43,$C$42)),$C$8&amp;" ✔",IF(AND(ISNUMBER($C$41),$C$41&gt;0,$S70&lt;=$C$41),"Şartlı kabul","Kriteri aşıyor")))</f>
        <v/>
      </c>
      <c r="W70" s="137">
        <f>IF($I70=$C$13,$C$14,IF($I70&lt;=8,800,IF($I70&lt;=10,900,IF($I70&lt;=20,1100,1300))))</f>
        <v/>
      </c>
      <c r="X70" s="179">
        <f>IF($W70=$C$14,$C$26,IFERROR(IF(ISNUMBER(INDEX('TABLO-4'!$I$4:$N$10,MATCH($W70,'TABLO-4'!$A$4:$A$10,0),IF($C$16="Teleskopik Otomatik",1,IF(OR($C$16="Merkezden Açılan Oto.",$C$16="Merkezden Açılan Otomatik"),3,5)))),INDEX('TABLO-4'!$I$4:$N$10,MATCH($W70,'TABLO-4'!$A$4:$A$10,0),IF($C$16="Teleskopik Otomatik",1,IF(OR($C$16="Merkezden Açılan Oto.",$C$16="Merkezden Açılan Otomatik"),3,5))),""),""))</f>
        <v/>
      </c>
      <c r="Y70" s="179">
        <f>IF($W70=$C$14,$C$27,IFERROR(IF(ISNUMBER(INDEX('TABLO-4'!$I$4:$N$10,MATCH($W70,'TABLO-4'!$A$4:$A$10,0),IF($C$16="Teleskopik Otomatik",2,IF(OR($C$16="Merkezden Açılan Oto.",$C$16="Merkezden Açılan Otomatik"),4,6)))),INDEX('TABLO-4'!$I$4:$N$10,MATCH($W70,'TABLO-4'!$A$4:$A$10,0),IF($C$16="Teleskopik Otomatik",2,IF(OR($C$16="Merkezden Açılan Oto.",$C$16="Merkezden Açılan Otomatik"),4,6))),""),""))</f>
        <v/>
      </c>
      <c r="Z70" s="179">
        <f>IF($W70=$C$14,$C$29,IFERROR(INDEX('TABLO-8'!$B$2:$H$2,1,MATCH($W70,'TABLO-8'!$B$1:$H$1,0)),""))</f>
        <v/>
      </c>
    </row>
    <row r="71" ht="16.5" customHeight="1" s="138">
      <c r="B71" s="171">
        <f>"  6 kişilik (450 kg)  —  "&amp;IF(ISNUMBER($J71),INT(ROUND($J71,2))&amp;","&amp;TEXT(MOD(ROUND($J71*100,0),100),"00"),"?")&amp;" m/s"&amp;IF(ISNUMBER($W71),"  ·  "&amp;$W71&amp;" mm kapı","")&amp;" (bir üst hız)"&amp;"  ⚠ erişilebilirlik dışı"</f>
        <v/>
      </c>
      <c r="C71" s="160">
        <f>IF(ISNUMBER($R71),$R71,"—")</f>
        <v/>
      </c>
      <c r="D71" s="161">
        <f>IF(ISNUMBER($S71),$S71,"—")</f>
        <v/>
      </c>
      <c r="E71" s="171">
        <f>$U71</f>
        <v/>
      </c>
      <c r="F71" s="161">
        <f>IF(ISNUMBER($P71),$P71,"—")</f>
        <v/>
      </c>
      <c r="G71" s="161">
        <f>IF(ISNUMBER($Q71),$Q71,"—")</f>
        <v/>
      </c>
      <c r="I71" s="137" t="n">
        <v>6</v>
      </c>
      <c r="J71" s="137">
        <f>$J$68</f>
        <v/>
      </c>
      <c r="K71" s="137">
        <f>IFERROR(INDEX('TABLO-3'!$B$3:$AD$32,MATCH($C$9,'TABLO-3'!$A$3:$A$32,0),MATCH($I71,'TABLO-3'!$B$2:$AD$2,0)),"")</f>
        <v/>
      </c>
      <c r="L71" s="137">
        <f>IFERROR(INDEX('TABLO-5'!$B$3:$AD$32,MATCH($C$9,'TABLO-5'!$A$3:$A$32,0),MATCH($I71,'TABLO-5'!$B$2:$AD$2,0)),"")</f>
        <v/>
      </c>
      <c r="M71" s="137">
        <f>IF(NOT(ISNUMBER($J71)),"",$C$12/$J71)</f>
        <v/>
      </c>
      <c r="N71" s="137">
        <f>IF(NOT(ISNUMBER($J71)),"",IF(AND(ISNUMBER($E$28),$J71=$C$23),$E$28,IF($J71&lt;1,10,IF($J71=1,7,IF($J71=1.6,6,IF($J71=2,5.7,IF($J71=2.5,5.5,IF($J71=3.5,5,IF($J71=5,4.5,4.3)))))))))</f>
        <v/>
      </c>
      <c r="O71" s="137">
        <f>IFERROR($X71+$Y71+$N71-$M71,"")</f>
        <v/>
      </c>
      <c r="P71" s="137">
        <f>IFERROR(2*$K71*$M71+($L71+1)*$O71+2*(0.8*$I71)*$Z71,"")</f>
        <v/>
      </c>
      <c r="Q71" s="137">
        <f>IFERROR(300*0.8*$I71/$P71,"")</f>
        <v/>
      </c>
      <c r="R71" s="137">
        <f>IFERROR(MAX(1,ROUNDUP($C$22*$C$30/$Q71,0),ROUNDUP($P71/$K$68,0)),"")</f>
        <v/>
      </c>
      <c r="S71" s="137">
        <f>IFERROR($P71/$R71,"")</f>
        <v/>
      </c>
      <c r="T71" s="137">
        <f>999999999</f>
        <v/>
      </c>
      <c r="U71" s="137">
        <f>IF(NOT(ISNUMBER($S71)),"—",IF(AND(ISNUMBER($C$42),$S71&lt;=IF($C$8="Yükseltilmiş",$C$43,$C$42)),$C$8&amp;" ✔",IF(AND(ISNUMBER($C$41),$C$41&gt;0,$S71&lt;=$C$41),"Şartlı kabul","Kriteri aşıyor")))</f>
        <v/>
      </c>
      <c r="W71" s="137">
        <f>IF($I71=$C$13,$C$14,IF($I71&lt;=8,800,IF($I71&lt;=10,900,IF($I71&lt;=20,1100,1300))))</f>
        <v/>
      </c>
      <c r="X71" s="179">
        <f>IF($W71=$C$14,$C$26,IFERROR(IF(ISNUMBER(INDEX('TABLO-4'!$I$4:$N$10,MATCH($W71,'TABLO-4'!$A$4:$A$10,0),IF($C$16="Teleskopik Otomatik",1,IF(OR($C$16="Merkezden Açılan Oto.",$C$16="Merkezden Açılan Otomatik"),3,5)))),INDEX('TABLO-4'!$I$4:$N$10,MATCH($W71,'TABLO-4'!$A$4:$A$10,0),IF($C$16="Teleskopik Otomatik",1,IF(OR($C$16="Merkezden Açılan Oto.",$C$16="Merkezden Açılan Otomatik"),3,5))),""),""))</f>
        <v/>
      </c>
      <c r="Y71" s="179">
        <f>IF($W71=$C$14,$C$27,IFERROR(IF(ISNUMBER(INDEX('TABLO-4'!$I$4:$N$10,MATCH($W71,'TABLO-4'!$A$4:$A$10,0),IF($C$16="Teleskopik Otomatik",2,IF(OR($C$16="Merkezden Açılan Oto.",$C$16="Merkezden Açılan Otomatik"),4,6)))),INDEX('TABLO-4'!$I$4:$N$10,MATCH($W71,'TABLO-4'!$A$4:$A$10,0),IF($C$16="Teleskopik Otomatik",2,IF(OR($C$16="Merkezden Açılan Oto.",$C$16="Merkezden Açılan Otomatik"),4,6))),""),""))</f>
        <v/>
      </c>
      <c r="Z71" s="179">
        <f>IF($W71=$C$14,$C$29,IFERROR(INDEX('TABLO-8'!$B$2:$H$2,1,MATCH($W71,'TABLO-8'!$B$1:$H$1,0)),""))</f>
        <v/>
      </c>
    </row>
    <row r="72" ht="16.5" customHeight="1" s="138">
      <c r="B72" s="171">
        <f>"  8 kişilik (630 kg)  —  "&amp;IF(ISNUMBER($J72),INT(ROUND($J72,2))&amp;","&amp;TEXT(MOD(ROUND($J72*100,0),100),"00"),"?")&amp;" m/s"&amp;IF(ISNUMBER($W72),"  ·  "&amp;$W72&amp;" mm kapı","")&amp;" (Tablo-2 min)"</f>
        <v/>
      </c>
      <c r="C72" s="160">
        <f>IF(ISNUMBER($R72),$R72,"—")</f>
        <v/>
      </c>
      <c r="D72" s="161">
        <f>IF(ISNUMBER($S72),$S72,"—")</f>
        <v/>
      </c>
      <c r="E72" s="171">
        <f>$U72</f>
        <v/>
      </c>
      <c r="F72" s="161">
        <f>IF(ISNUMBER($P72),$P72,"—")</f>
        <v/>
      </c>
      <c r="G72" s="161">
        <f>IF(ISNUMBER($Q72),$Q72,"—")</f>
        <v/>
      </c>
      <c r="I72" s="137" t="n">
        <v>8</v>
      </c>
      <c r="J72" s="137">
        <f>$I$68</f>
        <v/>
      </c>
      <c r="K72" s="137">
        <f>IFERROR(INDEX('TABLO-3'!$B$3:$AD$32,MATCH($C$9,'TABLO-3'!$A$3:$A$32,0),MATCH($I72,'TABLO-3'!$B$2:$AD$2,0)),"")</f>
        <v/>
      </c>
      <c r="L72" s="137">
        <f>IFERROR(INDEX('TABLO-5'!$B$3:$AD$32,MATCH($C$9,'TABLO-5'!$A$3:$A$32,0),MATCH($I72,'TABLO-5'!$B$2:$AD$2,0)),"")</f>
        <v/>
      </c>
      <c r="M72" s="137">
        <f>IF(NOT(ISNUMBER($J72)),"",$C$12/$J72)</f>
        <v/>
      </c>
      <c r="N72" s="137">
        <f>IF(NOT(ISNUMBER($J72)),"",IF(AND(ISNUMBER($E$28),$J72=$C$23),$E$28,IF($J72&lt;1,10,IF($J72=1,7,IF($J72=1.6,6,IF($J72=2,5.7,IF($J72=2.5,5.5,IF($J72=3.5,5,IF($J72=5,4.5,4.3)))))))))</f>
        <v/>
      </c>
      <c r="O72" s="137">
        <f>IFERROR($X72+$Y72+$N72-$M72,"")</f>
        <v/>
      </c>
      <c r="P72" s="137">
        <f>IFERROR(2*$K72*$M72+($L72+1)*$O72+2*(0.8*$I72)*$Z72,"")</f>
        <v/>
      </c>
      <c r="Q72" s="137">
        <f>IFERROR(300*0.8*$I72/$P72,"")</f>
        <v/>
      </c>
      <c r="R72" s="137">
        <f>IFERROR(MAX(1,ROUNDUP($C$22*$C$30/$Q72,0),ROUNDUP($P72/$K$68,0)),"")</f>
        <v/>
      </c>
      <c r="S72" s="137">
        <f>IFERROR($P72/$R72,"")</f>
        <v/>
      </c>
      <c r="T72" s="137">
        <f>IF(NOT(ISNUMBER($S72)),999999999,IF(AND(ISNUMBER($C$42),$S72&lt;=IF($C$8="Yükseltilmiş",$C$43,$C$42)),0,100000000)+$R72*10000+$I72*10+0)</f>
        <v/>
      </c>
      <c r="U72" s="137">
        <f>IF(NOT(ISNUMBER($S72)),"—",IF(AND(ISNUMBER($C$42),$S72&lt;=IF($C$8="Yükseltilmiş",$C$43,$C$42)),$C$8&amp;" ✔",IF(AND(ISNUMBER($C$41),$C$41&gt;0,$S72&lt;=$C$41),"Şartlı kabul","Kriteri aşıyor")))</f>
        <v/>
      </c>
      <c r="W72" s="137">
        <f>IF($I72=$C$13,$C$14,IF($I72&lt;=8,800,IF($I72&lt;=10,900,IF($I72&lt;=20,1100,1300))))</f>
        <v/>
      </c>
      <c r="X72" s="179">
        <f>IF($W72=$C$14,$C$26,IFERROR(IF(ISNUMBER(INDEX('TABLO-4'!$I$4:$N$10,MATCH($W72,'TABLO-4'!$A$4:$A$10,0),IF($C$16="Teleskopik Otomatik",1,IF(OR($C$16="Merkezden Açılan Oto.",$C$16="Merkezden Açılan Otomatik"),3,5)))),INDEX('TABLO-4'!$I$4:$N$10,MATCH($W72,'TABLO-4'!$A$4:$A$10,0),IF($C$16="Teleskopik Otomatik",1,IF(OR($C$16="Merkezden Açılan Oto.",$C$16="Merkezden Açılan Otomatik"),3,5))),""),""))</f>
        <v/>
      </c>
      <c r="Y72" s="179">
        <f>IF($W72=$C$14,$C$27,IFERROR(IF(ISNUMBER(INDEX('TABLO-4'!$I$4:$N$10,MATCH($W72,'TABLO-4'!$A$4:$A$10,0),IF($C$16="Teleskopik Otomatik",2,IF(OR($C$16="Merkezden Açılan Oto.",$C$16="Merkezden Açılan Otomatik"),4,6)))),INDEX('TABLO-4'!$I$4:$N$10,MATCH($W72,'TABLO-4'!$A$4:$A$10,0),IF($C$16="Teleskopik Otomatik",2,IF(OR($C$16="Merkezden Açılan Oto.",$C$16="Merkezden Açılan Otomatik"),4,6))),""),""))</f>
        <v/>
      </c>
      <c r="Z72" s="179">
        <f>IF($W72=$C$14,$C$29,IFERROR(INDEX('TABLO-8'!$B$2:$H$2,1,MATCH($W72,'TABLO-8'!$B$1:$H$1,0)),""))</f>
        <v/>
      </c>
    </row>
    <row r="73" ht="16.5" customHeight="1" s="138">
      <c r="B73" s="171">
        <f>"  8 kişilik (630 kg)  —  "&amp;IF(ISNUMBER($J73),INT(ROUND($J73,2))&amp;","&amp;TEXT(MOD(ROUND($J73*100,0),100),"00"),"?")&amp;" m/s"&amp;IF(ISNUMBER($W73),"  ·  "&amp;$W73&amp;" mm kapı","")&amp;" (bir üst hız)"</f>
        <v/>
      </c>
      <c r="C73" s="160">
        <f>IF(ISNUMBER($R73),$R73,"—")</f>
        <v/>
      </c>
      <c r="D73" s="161">
        <f>IF(ISNUMBER($S73),$S73,"—")</f>
        <v/>
      </c>
      <c r="E73" s="171">
        <f>$U73</f>
        <v/>
      </c>
      <c r="F73" s="161">
        <f>IF(ISNUMBER($P73),$P73,"—")</f>
        <v/>
      </c>
      <c r="G73" s="161">
        <f>IF(ISNUMBER($Q73),$Q73,"—")</f>
        <v/>
      </c>
      <c r="I73" s="137" t="n">
        <v>8</v>
      </c>
      <c r="J73" s="137">
        <f>$J$68</f>
        <v/>
      </c>
      <c r="K73" s="137">
        <f>IFERROR(INDEX('TABLO-3'!$B$3:$AD$32,MATCH($C$9,'TABLO-3'!$A$3:$A$32,0),MATCH($I73,'TABLO-3'!$B$2:$AD$2,0)),"")</f>
        <v/>
      </c>
      <c r="L73" s="137">
        <f>IFERROR(INDEX('TABLO-5'!$B$3:$AD$32,MATCH($C$9,'TABLO-5'!$A$3:$A$32,0),MATCH($I73,'TABLO-5'!$B$2:$AD$2,0)),"")</f>
        <v/>
      </c>
      <c r="M73" s="137">
        <f>IF(NOT(ISNUMBER($J73)),"",$C$12/$J73)</f>
        <v/>
      </c>
      <c r="N73" s="137">
        <f>IF(NOT(ISNUMBER($J73)),"",IF(AND(ISNUMBER($E$28),$J73=$C$23),$E$28,IF($J73&lt;1,10,IF($J73=1,7,IF($J73=1.6,6,IF($J73=2,5.7,IF($J73=2.5,5.5,IF($J73=3.5,5,IF($J73=5,4.5,4.3)))))))))</f>
        <v/>
      </c>
      <c r="O73" s="137">
        <f>IFERROR($X73+$Y73+$N73-$M73,"")</f>
        <v/>
      </c>
      <c r="P73" s="137">
        <f>IFERROR(2*$K73*$M73+($L73+1)*$O73+2*(0.8*$I73)*$Z73,"")</f>
        <v/>
      </c>
      <c r="Q73" s="137">
        <f>IFERROR(300*0.8*$I73/$P73,"")</f>
        <v/>
      </c>
      <c r="R73" s="137">
        <f>IFERROR(MAX(1,ROUNDUP($C$22*$C$30/$Q73,0),ROUNDUP($P73/$K$68,0)),"")</f>
        <v/>
      </c>
      <c r="S73" s="137">
        <f>IFERROR($P73/$R73,"")</f>
        <v/>
      </c>
      <c r="T73" s="137">
        <f>IF(NOT(ISNUMBER($S73)),999999999,IF(AND(ISNUMBER($C$42),$S73&lt;=IF($C$8="Yükseltilmiş",$C$43,$C$42)),0,100000000)+$R73*10000+$I73*10+1)</f>
        <v/>
      </c>
      <c r="U73" s="137">
        <f>IF(NOT(ISNUMBER($S73)),"—",IF(AND(ISNUMBER($C$42),$S73&lt;=IF($C$8="Yükseltilmiş",$C$43,$C$42)),$C$8&amp;" ✔",IF(AND(ISNUMBER($C$41),$C$41&gt;0,$S73&lt;=$C$41),"Şartlı kabul","Kriteri aşıyor")))</f>
        <v/>
      </c>
      <c r="W73" s="137">
        <f>IF($I73=$C$13,$C$14,IF($I73&lt;=8,800,IF($I73&lt;=10,900,IF($I73&lt;=20,1100,1300))))</f>
        <v/>
      </c>
      <c r="X73" s="179">
        <f>IF($W73=$C$14,$C$26,IFERROR(IF(ISNUMBER(INDEX('TABLO-4'!$I$4:$N$10,MATCH($W73,'TABLO-4'!$A$4:$A$10,0),IF($C$16="Teleskopik Otomatik",1,IF(OR($C$16="Merkezden Açılan Oto.",$C$16="Merkezden Açılan Otomatik"),3,5)))),INDEX('TABLO-4'!$I$4:$N$10,MATCH($W73,'TABLO-4'!$A$4:$A$10,0),IF($C$16="Teleskopik Otomatik",1,IF(OR($C$16="Merkezden Açılan Oto.",$C$16="Merkezden Açılan Otomatik"),3,5))),""),""))</f>
        <v/>
      </c>
      <c r="Y73" s="179">
        <f>IF($W73=$C$14,$C$27,IFERROR(IF(ISNUMBER(INDEX('TABLO-4'!$I$4:$N$10,MATCH($W73,'TABLO-4'!$A$4:$A$10,0),IF($C$16="Teleskopik Otomatik",2,IF(OR($C$16="Merkezden Açılan Oto.",$C$16="Merkezden Açılan Otomatik"),4,6)))),INDEX('TABLO-4'!$I$4:$N$10,MATCH($W73,'TABLO-4'!$A$4:$A$10,0),IF($C$16="Teleskopik Otomatik",2,IF(OR($C$16="Merkezden Açılan Oto.",$C$16="Merkezden Açılan Otomatik"),4,6))),""),""))</f>
        <v/>
      </c>
      <c r="Z73" s="179">
        <f>IF($W73=$C$14,$C$29,IFERROR(INDEX('TABLO-8'!$B$2:$H$2,1,MATCH($W73,'TABLO-8'!$B$1:$H$1,0)),""))</f>
        <v/>
      </c>
    </row>
    <row r="74" ht="16.5" customHeight="1" s="138">
      <c r="B74" s="171">
        <f>"  10 kişilik (800 kg)  —  "&amp;IF(ISNUMBER($J74),INT(ROUND($J74,2))&amp;","&amp;TEXT(MOD(ROUND($J74*100,0),100),"00"),"?")&amp;" m/s"&amp;IF(ISNUMBER($W74),"  ·  "&amp;$W74&amp;" mm kapı","")&amp;" (Tablo-2 min)"</f>
        <v/>
      </c>
      <c r="C74" s="160">
        <f>IF(ISNUMBER($R74),$R74,"—")</f>
        <v/>
      </c>
      <c r="D74" s="161">
        <f>IF(ISNUMBER($S74),$S74,"—")</f>
        <v/>
      </c>
      <c r="E74" s="171">
        <f>$U74</f>
        <v/>
      </c>
      <c r="F74" s="161">
        <f>IF(ISNUMBER($P74),$P74,"—")</f>
        <v/>
      </c>
      <c r="G74" s="161">
        <f>IF(ISNUMBER($Q74),$Q74,"—")</f>
        <v/>
      </c>
      <c r="I74" s="137" t="n">
        <v>10</v>
      </c>
      <c r="J74" s="137">
        <f>$I$68</f>
        <v/>
      </c>
      <c r="K74" s="137">
        <f>IFERROR(INDEX('TABLO-3'!$B$3:$AD$32,MATCH($C$9,'TABLO-3'!$A$3:$A$32,0),MATCH($I74,'TABLO-3'!$B$2:$AD$2,0)),"")</f>
        <v/>
      </c>
      <c r="L74" s="137">
        <f>IFERROR(INDEX('TABLO-5'!$B$3:$AD$32,MATCH($C$9,'TABLO-5'!$A$3:$A$32,0),MATCH($I74,'TABLO-5'!$B$2:$AD$2,0)),"")</f>
        <v/>
      </c>
      <c r="M74" s="137">
        <f>IF(NOT(ISNUMBER($J74)),"",$C$12/$J74)</f>
        <v/>
      </c>
      <c r="N74" s="137">
        <f>IF(NOT(ISNUMBER($J74)),"",IF(AND(ISNUMBER($E$28),$J74=$C$23),$E$28,IF($J74&lt;1,10,IF($J74=1,7,IF($J74=1.6,6,IF($J74=2,5.7,IF($J74=2.5,5.5,IF($J74=3.5,5,IF($J74=5,4.5,4.3)))))))))</f>
        <v/>
      </c>
      <c r="O74" s="137">
        <f>IFERROR($X74+$Y74+$N74-$M74,"")</f>
        <v/>
      </c>
      <c r="P74" s="137">
        <f>IFERROR(2*$K74*$M74+($L74+1)*$O74+2*(0.8*$I74)*$Z74,"")</f>
        <v/>
      </c>
      <c r="Q74" s="137">
        <f>IFERROR(300*0.8*$I74/$P74,"")</f>
        <v/>
      </c>
      <c r="R74" s="137">
        <f>IFERROR(MAX(1,ROUNDUP($C$22*$C$30/$Q74,0),ROUNDUP($P74/$K$68,0)),"")</f>
        <v/>
      </c>
      <c r="S74" s="137">
        <f>IFERROR($P74/$R74,"")</f>
        <v/>
      </c>
      <c r="T74" s="137">
        <f>IF(NOT(ISNUMBER($S74)),999999999,IF(AND(ISNUMBER($C$42),$S74&lt;=IF($C$8="Yükseltilmiş",$C$43,$C$42)),0,100000000)+$R74*10000+$I74*10+0)</f>
        <v/>
      </c>
      <c r="U74" s="137">
        <f>IF(NOT(ISNUMBER($S74)),"—",IF(AND(ISNUMBER($C$42),$S74&lt;=IF($C$8="Yükseltilmiş",$C$43,$C$42)),$C$8&amp;" ✔",IF(AND(ISNUMBER($C$41),$C$41&gt;0,$S74&lt;=$C$41),"Şartlı kabul","Kriteri aşıyor")))</f>
        <v/>
      </c>
      <c r="W74" s="137">
        <f>IF($I74=$C$13,$C$14,IF($I74&lt;=8,800,IF($I74&lt;=10,900,IF($I74&lt;=20,1100,1300))))</f>
        <v/>
      </c>
      <c r="X74" s="179">
        <f>IF($W74=$C$14,$C$26,IFERROR(IF(ISNUMBER(INDEX('TABLO-4'!$I$4:$N$10,MATCH($W74,'TABLO-4'!$A$4:$A$10,0),IF($C$16="Teleskopik Otomatik",1,IF(OR($C$16="Merkezden Açılan Oto.",$C$16="Merkezden Açılan Otomatik"),3,5)))),INDEX('TABLO-4'!$I$4:$N$10,MATCH($W74,'TABLO-4'!$A$4:$A$10,0),IF($C$16="Teleskopik Otomatik",1,IF(OR($C$16="Merkezden Açılan Oto.",$C$16="Merkezden Açılan Otomatik"),3,5))),""),""))</f>
        <v/>
      </c>
      <c r="Y74" s="179">
        <f>IF($W74=$C$14,$C$27,IFERROR(IF(ISNUMBER(INDEX('TABLO-4'!$I$4:$N$10,MATCH($W74,'TABLO-4'!$A$4:$A$10,0),IF($C$16="Teleskopik Otomatik",2,IF(OR($C$16="Merkezden Açılan Oto.",$C$16="Merkezden Açılan Otomatik"),4,6)))),INDEX('TABLO-4'!$I$4:$N$10,MATCH($W74,'TABLO-4'!$A$4:$A$10,0),IF($C$16="Teleskopik Otomatik",2,IF(OR($C$16="Merkezden Açılan Oto.",$C$16="Merkezden Açılan Otomatik"),4,6))),""),""))</f>
        <v/>
      </c>
      <c r="Z74" s="179">
        <f>IF($W74=$C$14,$C$29,IFERROR(INDEX('TABLO-8'!$B$2:$H$2,1,MATCH($W74,'TABLO-8'!$B$1:$H$1,0)),""))</f>
        <v/>
      </c>
    </row>
    <row r="75" ht="16.5" customHeight="1" s="138">
      <c r="B75" s="171">
        <f>"  10 kişilik (800 kg)  —  "&amp;IF(ISNUMBER($J75),INT(ROUND($J75,2))&amp;","&amp;TEXT(MOD(ROUND($J75*100,0),100),"00"),"?")&amp;" m/s"&amp;IF(ISNUMBER($W75),"  ·  "&amp;$W75&amp;" mm kapı","")&amp;" (bir üst hız)"</f>
        <v/>
      </c>
      <c r="C75" s="160">
        <f>IF(ISNUMBER($R75),$R75,"—")</f>
        <v/>
      </c>
      <c r="D75" s="161">
        <f>IF(ISNUMBER($S75),$S75,"—")</f>
        <v/>
      </c>
      <c r="E75" s="171">
        <f>$U75</f>
        <v/>
      </c>
      <c r="F75" s="161">
        <f>IF(ISNUMBER($P75),$P75,"—")</f>
        <v/>
      </c>
      <c r="G75" s="161">
        <f>IF(ISNUMBER($Q75),$Q75,"—")</f>
        <v/>
      </c>
      <c r="I75" s="137" t="n">
        <v>10</v>
      </c>
      <c r="J75" s="137">
        <f>$J$68</f>
        <v/>
      </c>
      <c r="K75" s="137">
        <f>IFERROR(INDEX('TABLO-3'!$B$3:$AD$32,MATCH($C$9,'TABLO-3'!$A$3:$A$32,0),MATCH($I75,'TABLO-3'!$B$2:$AD$2,0)),"")</f>
        <v/>
      </c>
      <c r="L75" s="137">
        <f>IFERROR(INDEX('TABLO-5'!$B$3:$AD$32,MATCH($C$9,'TABLO-5'!$A$3:$A$32,0),MATCH($I75,'TABLO-5'!$B$2:$AD$2,0)),"")</f>
        <v/>
      </c>
      <c r="M75" s="137">
        <f>IF(NOT(ISNUMBER($J75)),"",$C$12/$J75)</f>
        <v/>
      </c>
      <c r="N75" s="137">
        <f>IF(NOT(ISNUMBER($J75)),"",IF(AND(ISNUMBER($E$28),$J75=$C$23),$E$28,IF($J75&lt;1,10,IF($J75=1,7,IF($J75=1.6,6,IF($J75=2,5.7,IF($J75=2.5,5.5,IF($J75=3.5,5,IF($J75=5,4.5,4.3)))))))))</f>
        <v/>
      </c>
      <c r="O75" s="137">
        <f>IFERROR($X75+$Y75+$N75-$M75,"")</f>
        <v/>
      </c>
      <c r="P75" s="137">
        <f>IFERROR(2*$K75*$M75+($L75+1)*$O75+2*(0.8*$I75)*$Z75,"")</f>
        <v/>
      </c>
      <c r="Q75" s="137">
        <f>IFERROR(300*0.8*$I75/$P75,"")</f>
        <v/>
      </c>
      <c r="R75" s="137">
        <f>IFERROR(MAX(1,ROUNDUP($C$22*$C$30/$Q75,0),ROUNDUP($P75/$K$68,0)),"")</f>
        <v/>
      </c>
      <c r="S75" s="137">
        <f>IFERROR($P75/$R75,"")</f>
        <v/>
      </c>
      <c r="T75" s="137">
        <f>IF(NOT(ISNUMBER($S75)),999999999,IF(AND(ISNUMBER($C$42),$S75&lt;=IF($C$8="Yükseltilmiş",$C$43,$C$42)),0,100000000)+$R75*10000+$I75*10+1)</f>
        <v/>
      </c>
      <c r="U75" s="137">
        <f>IF(NOT(ISNUMBER($S75)),"—",IF(AND(ISNUMBER($C$42),$S75&lt;=IF($C$8="Yükseltilmiş",$C$43,$C$42)),$C$8&amp;" ✔",IF(AND(ISNUMBER($C$41),$C$41&gt;0,$S75&lt;=$C$41),"Şartlı kabul","Kriteri aşıyor")))</f>
        <v/>
      </c>
      <c r="W75" s="137">
        <f>IF($I75=$C$13,$C$14,IF($I75&lt;=8,800,IF($I75&lt;=10,900,IF($I75&lt;=20,1100,1300))))</f>
        <v/>
      </c>
      <c r="X75" s="179">
        <f>IF($W75=$C$14,$C$26,IFERROR(IF(ISNUMBER(INDEX('TABLO-4'!$I$4:$N$10,MATCH($W75,'TABLO-4'!$A$4:$A$10,0),IF($C$16="Teleskopik Otomatik",1,IF(OR($C$16="Merkezden Açılan Oto.",$C$16="Merkezden Açılan Otomatik"),3,5)))),INDEX('TABLO-4'!$I$4:$N$10,MATCH($W75,'TABLO-4'!$A$4:$A$10,0),IF($C$16="Teleskopik Otomatik",1,IF(OR($C$16="Merkezden Açılan Oto.",$C$16="Merkezden Açılan Otomatik"),3,5))),""),""))</f>
        <v/>
      </c>
      <c r="Y75" s="179">
        <f>IF($W75=$C$14,$C$27,IFERROR(IF(ISNUMBER(INDEX('TABLO-4'!$I$4:$N$10,MATCH($W75,'TABLO-4'!$A$4:$A$10,0),IF($C$16="Teleskopik Otomatik",2,IF(OR($C$16="Merkezden Açılan Oto.",$C$16="Merkezden Açılan Otomatik"),4,6)))),INDEX('TABLO-4'!$I$4:$N$10,MATCH($W75,'TABLO-4'!$A$4:$A$10,0),IF($C$16="Teleskopik Otomatik",2,IF(OR($C$16="Merkezden Açılan Oto.",$C$16="Merkezden Açılan Otomatik"),4,6))),""),""))</f>
        <v/>
      </c>
      <c r="Z75" s="179">
        <f>IF($W75=$C$14,$C$29,IFERROR(INDEX('TABLO-8'!$B$2:$H$2,1,MATCH($W75,'TABLO-8'!$B$1:$H$1,0)),""))</f>
        <v/>
      </c>
    </row>
    <row r="76" ht="16.5" customHeight="1" s="138">
      <c r="B76" s="171">
        <f>"  13 kişilik (1000 kg)  —  "&amp;IF(ISNUMBER($J76),INT(ROUND($J76,2))&amp;","&amp;TEXT(MOD(ROUND($J76*100,0),100),"00"),"?")&amp;" m/s"&amp;IF(ISNUMBER($W76),"  ·  "&amp;$W76&amp;" mm kapı","")&amp;" (Tablo-2 min)"</f>
        <v/>
      </c>
      <c r="C76" s="160">
        <f>IF(ISNUMBER($R76),$R76,"—")</f>
        <v/>
      </c>
      <c r="D76" s="161">
        <f>IF(ISNUMBER($S76),$S76,"—")</f>
        <v/>
      </c>
      <c r="E76" s="171">
        <f>$U76</f>
        <v/>
      </c>
      <c r="F76" s="161">
        <f>IF(ISNUMBER($P76),$P76,"—")</f>
        <v/>
      </c>
      <c r="G76" s="161">
        <f>IF(ISNUMBER($Q76),$Q76,"—")</f>
        <v/>
      </c>
      <c r="I76" s="137" t="n">
        <v>13</v>
      </c>
      <c r="J76" s="137">
        <f>$I$68</f>
        <v/>
      </c>
      <c r="K76" s="137">
        <f>IFERROR(INDEX('TABLO-3'!$B$3:$AD$32,MATCH($C$9,'TABLO-3'!$A$3:$A$32,0),MATCH($I76,'TABLO-3'!$B$2:$AD$2,0)),"")</f>
        <v/>
      </c>
      <c r="L76" s="137">
        <f>IFERROR(INDEX('TABLO-5'!$B$3:$AD$32,MATCH($C$9,'TABLO-5'!$A$3:$A$32,0),MATCH($I76,'TABLO-5'!$B$2:$AD$2,0)),"")</f>
        <v/>
      </c>
      <c r="M76" s="137">
        <f>IF(NOT(ISNUMBER($J76)),"",$C$12/$J76)</f>
        <v/>
      </c>
      <c r="N76" s="137">
        <f>IF(NOT(ISNUMBER($J76)),"",IF(AND(ISNUMBER($E$28),$J76=$C$23),$E$28,IF($J76&lt;1,10,IF($J76=1,7,IF($J76=1.6,6,IF($J76=2,5.7,IF($J76=2.5,5.5,IF($J76=3.5,5,IF($J76=5,4.5,4.3)))))))))</f>
        <v/>
      </c>
      <c r="O76" s="137">
        <f>IFERROR($X76+$Y76+$N76-$M76,"")</f>
        <v/>
      </c>
      <c r="P76" s="137">
        <f>IFERROR(2*$K76*$M76+($L76+1)*$O76+2*(0.8*$I76)*$Z76,"")</f>
        <v/>
      </c>
      <c r="Q76" s="137">
        <f>IFERROR(300*0.8*$I76/$P76,"")</f>
        <v/>
      </c>
      <c r="R76" s="137">
        <f>IFERROR(MAX(1,ROUNDUP($C$22*$C$30/$Q76,0),ROUNDUP($P76/$K$68,0)),"")</f>
        <v/>
      </c>
      <c r="S76" s="137">
        <f>IFERROR($P76/$R76,"")</f>
        <v/>
      </c>
      <c r="T76" s="137">
        <f>IF(NOT(ISNUMBER($S76)),999999999,IF(AND(ISNUMBER($C$42),$S76&lt;=IF($C$8="Yükseltilmiş",$C$43,$C$42)),0,100000000)+$R76*10000+$I76*10+0)</f>
        <v/>
      </c>
      <c r="U76" s="137">
        <f>IF(NOT(ISNUMBER($S76)),"—",IF(AND(ISNUMBER($C$42),$S76&lt;=IF($C$8="Yükseltilmiş",$C$43,$C$42)),$C$8&amp;" ✔",IF(AND(ISNUMBER($C$41),$C$41&gt;0,$S76&lt;=$C$41),"Şartlı kabul","Kriteri aşıyor")))</f>
        <v/>
      </c>
      <c r="W76" s="137">
        <f>IF($I76=$C$13,$C$14,IF($I76&lt;=8,800,IF($I76&lt;=10,900,IF($I76&lt;=20,1100,1300))))</f>
        <v/>
      </c>
      <c r="X76" s="179">
        <f>IF($W76=$C$14,$C$26,IFERROR(IF(ISNUMBER(INDEX('TABLO-4'!$I$4:$N$10,MATCH($W76,'TABLO-4'!$A$4:$A$10,0),IF($C$16="Teleskopik Otomatik",1,IF(OR($C$16="Merkezden Açılan Oto.",$C$16="Merkezden Açılan Otomatik"),3,5)))),INDEX('TABLO-4'!$I$4:$N$10,MATCH($W76,'TABLO-4'!$A$4:$A$10,0),IF($C$16="Teleskopik Otomatik",1,IF(OR($C$16="Merkezden Açılan Oto.",$C$16="Merkezden Açılan Otomatik"),3,5))),""),""))</f>
        <v/>
      </c>
      <c r="Y76" s="179">
        <f>IF($W76=$C$14,$C$27,IFERROR(IF(ISNUMBER(INDEX('TABLO-4'!$I$4:$N$10,MATCH($W76,'TABLO-4'!$A$4:$A$10,0),IF($C$16="Teleskopik Otomatik",2,IF(OR($C$16="Merkezden Açılan Oto.",$C$16="Merkezden Açılan Otomatik"),4,6)))),INDEX('TABLO-4'!$I$4:$N$10,MATCH($W76,'TABLO-4'!$A$4:$A$10,0),IF($C$16="Teleskopik Otomatik",2,IF(OR($C$16="Merkezden Açılan Oto.",$C$16="Merkezden Açılan Otomatik"),4,6))),""),""))</f>
        <v/>
      </c>
      <c r="Z76" s="179">
        <f>IF($W76=$C$14,$C$29,IFERROR(INDEX('TABLO-8'!$B$2:$H$2,1,MATCH($W76,'TABLO-8'!$B$1:$H$1,0)),""))</f>
        <v/>
      </c>
    </row>
    <row r="77" ht="16.5" customHeight="1" s="138">
      <c r="B77" s="171">
        <f>"  13 kişilik (1000 kg)  —  "&amp;IF(ISNUMBER($J77),INT(ROUND($J77,2))&amp;","&amp;TEXT(MOD(ROUND($J77*100,0),100),"00"),"?")&amp;" m/s"&amp;IF(ISNUMBER($W77),"  ·  "&amp;$W77&amp;" mm kapı","")&amp;" (bir üst hız)"</f>
        <v/>
      </c>
      <c r="C77" s="160">
        <f>IF(ISNUMBER($R77),$R77,"—")</f>
        <v/>
      </c>
      <c r="D77" s="161">
        <f>IF(ISNUMBER($S77),$S77,"—")</f>
        <v/>
      </c>
      <c r="E77" s="171">
        <f>$U77</f>
        <v/>
      </c>
      <c r="F77" s="161">
        <f>IF(ISNUMBER($P77),$P77,"—")</f>
        <v/>
      </c>
      <c r="G77" s="161">
        <f>IF(ISNUMBER($Q77),$Q77,"—")</f>
        <v/>
      </c>
      <c r="I77" s="137" t="n">
        <v>13</v>
      </c>
      <c r="J77" s="137">
        <f>$J$68</f>
        <v/>
      </c>
      <c r="K77" s="137">
        <f>IFERROR(INDEX('TABLO-3'!$B$3:$AD$32,MATCH($C$9,'TABLO-3'!$A$3:$A$32,0),MATCH($I77,'TABLO-3'!$B$2:$AD$2,0)),"")</f>
        <v/>
      </c>
      <c r="L77" s="137">
        <f>IFERROR(INDEX('TABLO-5'!$B$3:$AD$32,MATCH($C$9,'TABLO-5'!$A$3:$A$32,0),MATCH($I77,'TABLO-5'!$B$2:$AD$2,0)),"")</f>
        <v/>
      </c>
      <c r="M77" s="137">
        <f>IF(NOT(ISNUMBER($J77)),"",$C$12/$J77)</f>
        <v/>
      </c>
      <c r="N77" s="137">
        <f>IF(NOT(ISNUMBER($J77)),"",IF(AND(ISNUMBER($E$28),$J77=$C$23),$E$28,IF($J77&lt;1,10,IF($J77=1,7,IF($J77=1.6,6,IF($J77=2,5.7,IF($J77=2.5,5.5,IF($J77=3.5,5,IF($J77=5,4.5,4.3)))))))))</f>
        <v/>
      </c>
      <c r="O77" s="137">
        <f>IFERROR($X77+$Y77+$N77-$M77,"")</f>
        <v/>
      </c>
      <c r="P77" s="137">
        <f>IFERROR(2*$K77*$M77+($L77+1)*$O77+2*(0.8*$I77)*$Z77,"")</f>
        <v/>
      </c>
      <c r="Q77" s="137">
        <f>IFERROR(300*0.8*$I77/$P77,"")</f>
        <v/>
      </c>
      <c r="R77" s="137">
        <f>IFERROR(MAX(1,ROUNDUP($C$22*$C$30/$Q77,0),ROUNDUP($P77/$K$68,0)),"")</f>
        <v/>
      </c>
      <c r="S77" s="137">
        <f>IFERROR($P77/$R77,"")</f>
        <v/>
      </c>
      <c r="T77" s="137">
        <f>IF(NOT(ISNUMBER($S77)),999999999,IF(AND(ISNUMBER($C$42),$S77&lt;=IF($C$8="Yükseltilmiş",$C$43,$C$42)),0,100000000)+$R77*10000+$I77*10+1)</f>
        <v/>
      </c>
      <c r="U77" s="137">
        <f>IF(NOT(ISNUMBER($S77)),"—",IF(AND(ISNUMBER($C$42),$S77&lt;=IF($C$8="Yükseltilmiş",$C$43,$C$42)),$C$8&amp;" ✔",IF(AND(ISNUMBER($C$41),$C$41&gt;0,$S77&lt;=$C$41),"Şartlı kabul","Kriteri aşıyor")))</f>
        <v/>
      </c>
      <c r="W77" s="137">
        <f>IF($I77=$C$13,$C$14,IF($I77&lt;=8,800,IF($I77&lt;=10,900,IF($I77&lt;=20,1100,1300))))</f>
        <v/>
      </c>
      <c r="X77" s="179">
        <f>IF($W77=$C$14,$C$26,IFERROR(IF(ISNUMBER(INDEX('TABLO-4'!$I$4:$N$10,MATCH($W77,'TABLO-4'!$A$4:$A$10,0),IF($C$16="Teleskopik Otomatik",1,IF(OR($C$16="Merkezden Açılan Oto.",$C$16="Merkezden Açılan Otomatik"),3,5)))),INDEX('TABLO-4'!$I$4:$N$10,MATCH($W77,'TABLO-4'!$A$4:$A$10,0),IF($C$16="Teleskopik Otomatik",1,IF(OR($C$16="Merkezden Açılan Oto.",$C$16="Merkezden Açılan Otomatik"),3,5))),""),""))</f>
        <v/>
      </c>
      <c r="Y77" s="179">
        <f>IF($W77=$C$14,$C$27,IFERROR(IF(ISNUMBER(INDEX('TABLO-4'!$I$4:$N$10,MATCH($W77,'TABLO-4'!$A$4:$A$10,0),IF($C$16="Teleskopik Otomatik",2,IF(OR($C$16="Merkezden Açılan Oto.",$C$16="Merkezden Açılan Otomatik"),4,6)))),INDEX('TABLO-4'!$I$4:$N$10,MATCH($W77,'TABLO-4'!$A$4:$A$10,0),IF($C$16="Teleskopik Otomatik",2,IF(OR($C$16="Merkezden Açılan Oto.",$C$16="Merkezden Açılan Otomatik"),4,6))),""),""))</f>
        <v/>
      </c>
      <c r="Z77" s="179">
        <f>IF($W77=$C$14,$C$29,IFERROR(INDEX('TABLO-8'!$B$2:$H$2,1,MATCH($W77,'TABLO-8'!$B$1:$H$1,0)),""))</f>
        <v/>
      </c>
    </row>
    <row r="78" ht="16.5" customHeight="1" s="138">
      <c r="B78" s="171">
        <f>"  16 kişilik (1275 kg)  —  "&amp;IF(ISNUMBER($J78),INT(ROUND($J78,2))&amp;","&amp;TEXT(MOD(ROUND($J78*100,0),100),"00"),"?")&amp;" m/s"&amp;IF(ISNUMBER($W78),"  ·  "&amp;$W78&amp;" mm kapı","")&amp;" (Tablo-2 min)"</f>
        <v/>
      </c>
      <c r="C78" s="160">
        <f>IF(ISNUMBER($R78),$R78,"—")</f>
        <v/>
      </c>
      <c r="D78" s="161">
        <f>IF(ISNUMBER($S78),$S78,"—")</f>
        <v/>
      </c>
      <c r="E78" s="171">
        <f>$U78</f>
        <v/>
      </c>
      <c r="F78" s="161">
        <f>IF(ISNUMBER($P78),$P78,"—")</f>
        <v/>
      </c>
      <c r="G78" s="161">
        <f>IF(ISNUMBER($Q78),$Q78,"—")</f>
        <v/>
      </c>
      <c r="I78" s="137" t="n">
        <v>16</v>
      </c>
      <c r="J78" s="137">
        <f>$I$68</f>
        <v/>
      </c>
      <c r="K78" s="137">
        <f>IFERROR(INDEX('TABLO-3'!$B$3:$AD$32,MATCH($C$9,'TABLO-3'!$A$3:$A$32,0),MATCH($I78,'TABLO-3'!$B$2:$AD$2,0)),"")</f>
        <v/>
      </c>
      <c r="L78" s="137">
        <f>IFERROR(INDEX('TABLO-5'!$B$3:$AD$32,MATCH($C$9,'TABLO-5'!$A$3:$A$32,0),MATCH($I78,'TABLO-5'!$B$2:$AD$2,0)),"")</f>
        <v/>
      </c>
      <c r="M78" s="137">
        <f>IF(NOT(ISNUMBER($J78)),"",$C$12/$J78)</f>
        <v/>
      </c>
      <c r="N78" s="137">
        <f>IF(NOT(ISNUMBER($J78)),"",IF(AND(ISNUMBER($E$28),$J78=$C$23),$E$28,IF($J78&lt;1,10,IF($J78=1,7,IF($J78=1.6,6,IF($J78=2,5.7,IF($J78=2.5,5.5,IF($J78=3.5,5,IF($J78=5,4.5,4.3)))))))))</f>
        <v/>
      </c>
      <c r="O78" s="137">
        <f>IFERROR($X78+$Y78+$N78-$M78,"")</f>
        <v/>
      </c>
      <c r="P78" s="137">
        <f>IFERROR(2*$K78*$M78+($L78+1)*$O78+2*(0.8*$I78)*$Z78,"")</f>
        <v/>
      </c>
      <c r="Q78" s="137">
        <f>IFERROR(300*0.8*$I78/$P78,"")</f>
        <v/>
      </c>
      <c r="R78" s="137">
        <f>IFERROR(MAX(1,ROUNDUP($C$22*$C$30/$Q78,0),ROUNDUP($P78/$K$68,0)),"")</f>
        <v/>
      </c>
      <c r="S78" s="137">
        <f>IFERROR($P78/$R78,"")</f>
        <v/>
      </c>
      <c r="T78" s="137">
        <f>IF(NOT(ISNUMBER($S78)),999999999,IF(AND(ISNUMBER($C$42),$S78&lt;=IF($C$8="Yükseltilmiş",$C$43,$C$42)),0,100000000)+$R78*10000+$I78*10+0)</f>
        <v/>
      </c>
      <c r="U78" s="137">
        <f>IF(NOT(ISNUMBER($S78)),"—",IF(AND(ISNUMBER($C$42),$S78&lt;=IF($C$8="Yükseltilmiş",$C$43,$C$42)),$C$8&amp;" ✔",IF(AND(ISNUMBER($C$41),$C$41&gt;0,$S78&lt;=$C$41),"Şartlı kabul","Kriteri aşıyor")))</f>
        <v/>
      </c>
      <c r="W78" s="137">
        <f>IF($I78=$C$13,$C$14,IF($I78&lt;=8,800,IF($I78&lt;=10,900,IF($I78&lt;=20,1100,1300))))</f>
        <v/>
      </c>
      <c r="X78" s="137">
        <f>IF($W78=$C$14,$C$26,IFERROR(IF(ISNUMBER(INDEX('TABLO-4'!$I$4:$N$10,MATCH($W78,'TABLO-4'!$A$4:$A$10,0),IF($C$16="Teleskopik Otomatik",1,IF(OR($C$16="Merkezden Açılan Oto.",$C$16="Merkezden Açılan Otomatik"),3,5)))),INDEX('TABLO-4'!$I$4:$N$10,MATCH($W78,'TABLO-4'!$A$4:$A$10,0),IF($C$16="Teleskopik Otomatik",1,IF(OR($C$16="Merkezden Açılan Oto.",$C$16="Merkezden Açılan Otomatik"),3,5))),""),""))</f>
        <v/>
      </c>
      <c r="Y78" s="137">
        <f>IF($W78=$C$14,$C$27,IFERROR(IF(ISNUMBER(INDEX('TABLO-4'!$I$4:$N$10,MATCH($W78,'TABLO-4'!$A$4:$A$10,0),IF($C$16="Teleskopik Otomatik",2,IF(OR($C$16="Merkezden Açılan Oto.",$C$16="Merkezden Açılan Otomatik"),4,6)))),INDEX('TABLO-4'!$I$4:$N$10,MATCH($W78,'TABLO-4'!$A$4:$A$10,0),IF($C$16="Teleskopik Otomatik",2,IF(OR($C$16="Merkezden Açılan Oto.",$C$16="Merkezden Açılan Otomatik"),4,6))),""),""))</f>
        <v/>
      </c>
      <c r="Z78" s="180">
        <f>IF($W78=$C$14,$C$29,IFERROR(INDEX('TABLO-8'!$B$2:$H$2,1,MATCH($W78,'TABLO-8'!$B$1:$H$1,0)),""))</f>
        <v/>
      </c>
    </row>
    <row r="79" ht="16.5" customHeight="1" s="138">
      <c r="B79" s="171">
        <f>"  16 kişilik (1275 kg)  —  "&amp;IF(ISNUMBER($J79),INT(ROUND($J79,2))&amp;","&amp;TEXT(MOD(ROUND($J79*100,0),100),"00"),"?")&amp;" m/s"&amp;IF(ISNUMBER($W79),"  ·  "&amp;$W79&amp;" mm kapı","")&amp;" (bir üst hız)"</f>
        <v/>
      </c>
      <c r="C79" s="160">
        <f>IF(ISNUMBER($R79),$R79,"—")</f>
        <v/>
      </c>
      <c r="D79" s="161">
        <f>IF(ISNUMBER($S79),$S79,"—")</f>
        <v/>
      </c>
      <c r="E79" s="171">
        <f>$U79</f>
        <v/>
      </c>
      <c r="F79" s="161">
        <f>IF(ISNUMBER($P79),$P79,"—")</f>
        <v/>
      </c>
      <c r="G79" s="161">
        <f>IF(ISNUMBER($Q79),$Q79,"—")</f>
        <v/>
      </c>
      <c r="I79" s="137" t="n">
        <v>16</v>
      </c>
      <c r="J79" s="137">
        <f>$J$68</f>
        <v/>
      </c>
      <c r="K79" s="137">
        <f>IFERROR(INDEX('TABLO-3'!$B$3:$AD$32,MATCH($C$9,'TABLO-3'!$A$3:$A$32,0),MATCH($I79,'TABLO-3'!$B$2:$AD$2,0)),"")</f>
        <v/>
      </c>
      <c r="L79" s="137">
        <f>IFERROR(INDEX('TABLO-5'!$B$3:$AD$32,MATCH($C$9,'TABLO-5'!$A$3:$A$32,0),MATCH($I79,'TABLO-5'!$B$2:$AD$2,0)),"")</f>
        <v/>
      </c>
      <c r="M79" s="137">
        <f>IF(NOT(ISNUMBER($J79)),"",$C$12/$J79)</f>
        <v/>
      </c>
      <c r="N79" s="137">
        <f>IF(NOT(ISNUMBER($J79)),"",IF(AND(ISNUMBER($E$28),$J79=$C$23),$E$28,IF($J79&lt;1,10,IF($J79=1,7,IF($J79=1.6,6,IF($J79=2,5.7,IF($J79=2.5,5.5,IF($J79=3.5,5,IF($J79=5,4.5,4.3)))))))))</f>
        <v/>
      </c>
      <c r="O79" s="137">
        <f>IFERROR($X79+$Y79+$N79-$M79,"")</f>
        <v/>
      </c>
      <c r="P79" s="137">
        <f>IFERROR(2*$K79*$M79+($L79+1)*$O79+2*(0.8*$I79)*$Z79,"")</f>
        <v/>
      </c>
      <c r="Q79" s="137">
        <f>IFERROR(300*0.8*$I79/$P79,"")</f>
        <v/>
      </c>
      <c r="R79" s="137">
        <f>IFERROR(MAX(1,ROUNDUP($C$22*$C$30/$Q79,0),ROUNDUP($P79/$K$68,0)),"")</f>
        <v/>
      </c>
      <c r="S79" s="137">
        <f>IFERROR($P79/$R79,"")</f>
        <v/>
      </c>
      <c r="T79" s="137">
        <f>IF(NOT(ISNUMBER($S79)),999999999,IF(AND(ISNUMBER($C$42),$S79&lt;=IF($C$8="Yükseltilmiş",$C$43,$C$42)),0,100000000)+$R79*10000+$I79*10+1)</f>
        <v/>
      </c>
      <c r="U79" s="137">
        <f>IF(NOT(ISNUMBER($S79)),"—",IF(AND(ISNUMBER($C$42),$S79&lt;=IF($C$8="Yükseltilmiş",$C$43,$C$42)),$C$8&amp;" ✔",IF(AND(ISNUMBER($C$41),$C$41&gt;0,$S79&lt;=$C$41),"Şartlı kabul","Kriteri aşıyor")))</f>
        <v/>
      </c>
      <c r="W79" s="137">
        <f>IF($I79=$C$13,$C$14,IF($I79&lt;=8,800,IF($I79&lt;=10,900,IF($I79&lt;=20,1100,1300))))</f>
        <v/>
      </c>
      <c r="X79" s="137">
        <f>IF($W79=$C$14,$C$26,IFERROR(IF(ISNUMBER(INDEX('TABLO-4'!$I$4:$N$10,MATCH($W79,'TABLO-4'!$A$4:$A$10,0),IF($C$16="Teleskopik Otomatik",1,IF(OR($C$16="Merkezden Açılan Oto.",$C$16="Merkezden Açılan Otomatik"),3,5)))),INDEX('TABLO-4'!$I$4:$N$10,MATCH($W79,'TABLO-4'!$A$4:$A$10,0),IF($C$16="Teleskopik Otomatik",1,IF(OR($C$16="Merkezden Açılan Oto.",$C$16="Merkezden Açılan Otomatik"),3,5))),""),""))</f>
        <v/>
      </c>
      <c r="Y79" s="137">
        <f>IF($W79=$C$14,$C$27,IFERROR(IF(ISNUMBER(INDEX('TABLO-4'!$I$4:$N$10,MATCH($W79,'TABLO-4'!$A$4:$A$10,0),IF($C$16="Teleskopik Otomatik",2,IF(OR($C$16="Merkezden Açılan Oto.",$C$16="Merkezden Açılan Otomatik"),4,6)))),INDEX('TABLO-4'!$I$4:$N$10,MATCH($W79,'TABLO-4'!$A$4:$A$10,0),IF($C$16="Teleskopik Otomatik",2,IF(OR($C$16="Merkezden Açılan Oto.",$C$16="Merkezden Açılan Otomatik"),4,6))),""),""))</f>
        <v/>
      </c>
      <c r="Z79" s="180">
        <f>IF($W79=$C$14,$C$29,IFERROR(INDEX('TABLO-8'!$B$2:$H$2,1,MATCH($W79,'TABLO-8'!$B$1:$H$1,0)),""))</f>
        <v/>
      </c>
    </row>
    <row r="80" ht="16.5" customHeight="1" s="138">
      <c r="B80" s="171">
        <f>"  20 kişilik (1600 kg)  —  "&amp;IF(ISNUMBER($J80),INT(ROUND($J80,2))&amp;","&amp;TEXT(MOD(ROUND($J80*100,0),100),"00"),"?")&amp;" m/s"&amp;IF(ISNUMBER($W80),"  ·  "&amp;$W80&amp;" mm kapı","")&amp;" (Tablo-2 min)"</f>
        <v/>
      </c>
      <c r="C80" s="160">
        <f>IF(ISNUMBER($R80),$R80,"—")</f>
        <v/>
      </c>
      <c r="D80" s="161">
        <f>IF(ISNUMBER($S80),$S80,"—")</f>
        <v/>
      </c>
      <c r="E80" s="171">
        <f>$U80</f>
        <v/>
      </c>
      <c r="F80" s="161">
        <f>IF(ISNUMBER($P80),$P80,"—")</f>
        <v/>
      </c>
      <c r="G80" s="161">
        <f>IF(ISNUMBER($Q80),$Q80,"—")</f>
        <v/>
      </c>
      <c r="I80" s="137" t="n">
        <v>20</v>
      </c>
      <c r="J80" s="137">
        <f>$I$68</f>
        <v/>
      </c>
      <c r="K80" s="137">
        <f>IFERROR(INDEX('TABLO-3'!$B$3:$AD$32,MATCH($C$9,'TABLO-3'!$A$3:$A$32,0),MATCH($I80,'TABLO-3'!$B$2:$AD$2,0)),"")</f>
        <v/>
      </c>
      <c r="L80" s="137">
        <f>IFERROR(INDEX('TABLO-5'!$B$3:$AD$32,MATCH($C$9,'TABLO-5'!$A$3:$A$32,0),MATCH($I80,'TABLO-5'!$B$2:$AD$2,0)),"")</f>
        <v/>
      </c>
      <c r="M80" s="137">
        <f>IF(NOT(ISNUMBER($J80)),"",$C$12/$J80)</f>
        <v/>
      </c>
      <c r="N80" s="137">
        <f>IF(NOT(ISNUMBER($J80)),"",IF(AND(ISNUMBER($E$28),$J80=$C$23),$E$28,IF($J80&lt;1,10,IF($J80=1,7,IF($J80=1.6,6,IF($J80=2,5.7,IF($J80=2.5,5.5,IF($J80=3.5,5,IF($J80=5,4.5,4.3)))))))))</f>
        <v/>
      </c>
      <c r="O80" s="137">
        <f>IFERROR($X80+$Y80+$N80-$M80,"")</f>
        <v/>
      </c>
      <c r="P80" s="137">
        <f>IFERROR(2*$K80*$M80+($L80+1)*$O80+2*(0.8*$I80)*$Z80,"")</f>
        <v/>
      </c>
      <c r="Q80" s="137">
        <f>IFERROR(300*0.8*$I80/$P80,"")</f>
        <v/>
      </c>
      <c r="R80" s="137">
        <f>IFERROR(MAX(1,ROUNDUP($C$22*$C$30/$Q80,0),ROUNDUP($P80/$K$68,0)),"")</f>
        <v/>
      </c>
      <c r="S80" s="137">
        <f>IFERROR($P80/$R80,"")</f>
        <v/>
      </c>
      <c r="T80" s="137">
        <f>IF(NOT(ISNUMBER($S80)),999999999,IF(AND(ISNUMBER($C$42),$S80&lt;=IF($C$8="Yükseltilmiş",$C$43,$C$42)),0,100000000)+$R80*10000+$I80*10+0)</f>
        <v/>
      </c>
      <c r="U80" s="137">
        <f>IF(NOT(ISNUMBER($S80)),"—",IF(AND(ISNUMBER($C$42),$S80&lt;=IF($C$8="Yükseltilmiş",$C$43,$C$42)),$C$8&amp;" ✔",IF(AND(ISNUMBER($C$41),$C$41&gt;0,$S80&lt;=$C$41),"Şartlı kabul","Kriteri aşıyor")))</f>
        <v/>
      </c>
      <c r="W80" s="137">
        <f>IF($I80=$C$13,$C$14,IF($I80&lt;=8,800,IF($I80&lt;=10,900,IF($I80&lt;=20,1100,1300))))</f>
        <v/>
      </c>
      <c r="X80" s="137">
        <f>IF($W80=$C$14,$C$26,IFERROR(IF(ISNUMBER(INDEX('TABLO-4'!$I$4:$N$10,MATCH($W80,'TABLO-4'!$A$4:$A$10,0),IF($C$16="Teleskopik Otomatik",1,IF(OR($C$16="Merkezden Açılan Oto.",$C$16="Merkezden Açılan Otomatik"),3,5)))),INDEX('TABLO-4'!$I$4:$N$10,MATCH($W80,'TABLO-4'!$A$4:$A$10,0),IF($C$16="Teleskopik Otomatik",1,IF(OR($C$16="Merkezden Açılan Oto.",$C$16="Merkezden Açılan Otomatik"),3,5))),""),""))</f>
        <v/>
      </c>
      <c r="Y80" s="137">
        <f>IF($W80=$C$14,$C$27,IFERROR(IF(ISNUMBER(INDEX('TABLO-4'!$I$4:$N$10,MATCH($W80,'TABLO-4'!$A$4:$A$10,0),IF($C$16="Teleskopik Otomatik",2,IF(OR($C$16="Merkezden Açılan Oto.",$C$16="Merkezden Açılan Otomatik"),4,6)))),INDEX('TABLO-4'!$I$4:$N$10,MATCH($W80,'TABLO-4'!$A$4:$A$10,0),IF($C$16="Teleskopik Otomatik",2,IF(OR($C$16="Merkezden Açılan Oto.",$C$16="Merkezden Açılan Otomatik"),4,6))),""),""))</f>
        <v/>
      </c>
      <c r="Z80" s="180">
        <f>IF($W80=$C$14,$C$29,IFERROR(INDEX('TABLO-8'!$B$2:$H$2,1,MATCH($W80,'TABLO-8'!$B$1:$H$1,0)),""))</f>
        <v/>
      </c>
    </row>
    <row r="81" ht="16.5" customHeight="1" s="138">
      <c r="B81" s="171">
        <f>"  20 kişilik (1600 kg)  —  "&amp;IF(ISNUMBER($J81),INT(ROUND($J81,2))&amp;","&amp;TEXT(MOD(ROUND($J81*100,0),100),"00"),"?")&amp;" m/s"&amp;IF(ISNUMBER($W81),"  ·  "&amp;$W81&amp;" mm kapı","")&amp;" (bir üst hız)"</f>
        <v/>
      </c>
      <c r="C81" s="160">
        <f>IF(ISNUMBER($R81),$R81,"—")</f>
        <v/>
      </c>
      <c r="D81" s="161">
        <f>IF(ISNUMBER($S81),$S81,"—")</f>
        <v/>
      </c>
      <c r="E81" s="171">
        <f>$U81</f>
        <v/>
      </c>
      <c r="F81" s="161">
        <f>IF(ISNUMBER($P81),$P81,"—")</f>
        <v/>
      </c>
      <c r="G81" s="161">
        <f>IF(ISNUMBER($Q81),$Q81,"—")</f>
        <v/>
      </c>
      <c r="I81" s="137" t="n">
        <v>20</v>
      </c>
      <c r="J81" s="137">
        <f>$J$68</f>
        <v/>
      </c>
      <c r="K81" s="137">
        <f>IFERROR(INDEX('TABLO-3'!$B$3:$AD$32,MATCH($C$9,'TABLO-3'!$A$3:$A$32,0),MATCH($I81,'TABLO-3'!$B$2:$AD$2,0)),"")</f>
        <v/>
      </c>
      <c r="L81" s="137">
        <f>IFERROR(INDEX('TABLO-5'!$B$3:$AD$32,MATCH($C$9,'TABLO-5'!$A$3:$A$32,0),MATCH($I81,'TABLO-5'!$B$2:$AD$2,0)),"")</f>
        <v/>
      </c>
      <c r="M81" s="137">
        <f>IF(NOT(ISNUMBER($J81)),"",$C$12/$J81)</f>
        <v/>
      </c>
      <c r="N81" s="137">
        <f>IF(NOT(ISNUMBER($J81)),"",IF(AND(ISNUMBER($E$28),$J81=$C$23),$E$28,IF($J81&lt;1,10,IF($J81=1,7,IF($J81=1.6,6,IF($J81=2,5.7,IF($J81=2.5,5.5,IF($J81=3.5,5,IF($J81=5,4.5,4.3)))))))))</f>
        <v/>
      </c>
      <c r="O81" s="137">
        <f>IFERROR($X81+$Y81+$N81-$M81,"")</f>
        <v/>
      </c>
      <c r="P81" s="137">
        <f>IFERROR(2*$K81*$M81+($L81+1)*$O81+2*(0.8*$I81)*$Z81,"")</f>
        <v/>
      </c>
      <c r="Q81" s="137">
        <f>IFERROR(300*0.8*$I81/$P81,"")</f>
        <v/>
      </c>
      <c r="R81" s="137">
        <f>IFERROR(MAX(1,ROUNDUP($C$22*$C$30/$Q81,0),ROUNDUP($P81/$K$68,0)),"")</f>
        <v/>
      </c>
      <c r="S81" s="137">
        <f>IFERROR($P81/$R81,"")</f>
        <v/>
      </c>
      <c r="T81" s="137">
        <f>IF(NOT(ISNUMBER($S81)),999999999,IF(AND(ISNUMBER($C$42),$S81&lt;=IF($C$8="Yükseltilmiş",$C$43,$C$42)),0,100000000)+$R81*10000+$I81*10+1)</f>
        <v/>
      </c>
      <c r="U81" s="137">
        <f>IF(NOT(ISNUMBER($S81)),"—",IF(AND(ISNUMBER($C$42),$S81&lt;=IF($C$8="Yükseltilmiş",$C$43,$C$42)),$C$8&amp;" ✔",IF(AND(ISNUMBER($C$41),$C$41&gt;0,$S81&lt;=$C$41),"Şartlı kabul","Kriteri aşıyor")))</f>
        <v/>
      </c>
      <c r="W81" s="137">
        <f>IF($I81=$C$13,$C$14,IF($I81&lt;=8,800,IF($I81&lt;=10,900,IF($I81&lt;=20,1100,1300))))</f>
        <v/>
      </c>
      <c r="X81" s="137">
        <f>IF($W81=$C$14,$C$26,IFERROR(IF(ISNUMBER(INDEX('TABLO-4'!$I$4:$N$10,MATCH($W81,'TABLO-4'!$A$4:$A$10,0),IF($C$16="Teleskopik Otomatik",1,IF(OR($C$16="Merkezden Açılan Oto.",$C$16="Merkezden Açılan Otomatik"),3,5)))),INDEX('TABLO-4'!$I$4:$N$10,MATCH($W81,'TABLO-4'!$A$4:$A$10,0),IF($C$16="Teleskopik Otomatik",1,IF(OR($C$16="Merkezden Açılan Oto.",$C$16="Merkezden Açılan Otomatik"),3,5))),""),""))</f>
        <v/>
      </c>
      <c r="Y81" s="137">
        <f>IF($W81=$C$14,$C$27,IFERROR(IF(ISNUMBER(INDEX('TABLO-4'!$I$4:$N$10,MATCH($W81,'TABLO-4'!$A$4:$A$10,0),IF($C$16="Teleskopik Otomatik",2,IF(OR($C$16="Merkezden Açılan Oto.",$C$16="Merkezden Açılan Otomatik"),4,6)))),INDEX('TABLO-4'!$I$4:$N$10,MATCH($W81,'TABLO-4'!$A$4:$A$10,0),IF($C$16="Teleskopik Otomatik",2,IF(OR($C$16="Merkezden Açılan Oto.",$C$16="Merkezden Açılan Otomatik"),4,6))),""),""))</f>
        <v/>
      </c>
      <c r="Z81" s="180">
        <f>IF($W81=$C$14,$C$29,IFERROR(INDEX('TABLO-8'!$B$2:$H$2,1,MATCH($W81,'TABLO-8'!$B$1:$H$1,0)),""))</f>
        <v/>
      </c>
    </row>
    <row r="82" ht="16.5" customHeight="1" s="138">
      <c r="B82" s="171">
        <f>"  25 kişilik (2000 kg)  —  "&amp;IF(ISNUMBER($J82),INT(ROUND($J82,2))&amp;","&amp;TEXT(MOD(ROUND($J82*100,0),100),"00"),"?")&amp;" m/s"&amp;IF(ISNUMBER($W82),"  ·  "&amp;$W82&amp;" mm kapı","")&amp;" (Tablo-2 min)"</f>
        <v/>
      </c>
      <c r="C82" s="160">
        <f>IF(ISNUMBER($R82),$R82,"—")</f>
        <v/>
      </c>
      <c r="D82" s="161">
        <f>IF(ISNUMBER($S82),$S82,"—")</f>
        <v/>
      </c>
      <c r="E82" s="171">
        <f>$U82</f>
        <v/>
      </c>
      <c r="F82" s="161">
        <f>IF(ISNUMBER($P82),$P82,"—")</f>
        <v/>
      </c>
      <c r="G82" s="161">
        <f>IF(ISNUMBER($Q82),$Q82,"—")</f>
        <v/>
      </c>
      <c r="I82" s="137" t="n">
        <v>25</v>
      </c>
      <c r="J82" s="137">
        <f>$I$68</f>
        <v/>
      </c>
      <c r="K82" s="137">
        <f>IFERROR(INDEX('TABLO-3'!$B$3:$AD$32,MATCH($C$9,'TABLO-3'!$A$3:$A$32,0),MATCH($I82,'TABLO-3'!$B$2:$AD$2,0)),"")</f>
        <v/>
      </c>
      <c r="L82" s="137">
        <f>IFERROR(INDEX('TABLO-5'!$B$3:$AD$32,MATCH($C$9,'TABLO-5'!$A$3:$A$32,0),MATCH($I82,'TABLO-5'!$B$2:$AD$2,0)),"")</f>
        <v/>
      </c>
      <c r="M82" s="137">
        <f>IF(NOT(ISNUMBER($J82)),"",$C$12/$J82)</f>
        <v/>
      </c>
      <c r="N82" s="137">
        <f>IF(NOT(ISNUMBER($J82)),"",IF(AND(ISNUMBER($E$28),$J82=$C$23),$E$28,IF($J82&lt;1,10,IF($J82=1,7,IF($J82=1.6,6,IF($J82=2,5.7,IF($J82=2.5,5.5,IF($J82=3.5,5,IF($J82=5,4.5,4.3)))))))))</f>
        <v/>
      </c>
      <c r="O82" s="137">
        <f>IFERROR($X82+$Y82+$N82-$M82,"")</f>
        <v/>
      </c>
      <c r="P82" s="137">
        <f>IFERROR(2*$K82*$M82+($L82+1)*$O82+2*(0.8*$I82)*$Z82,"")</f>
        <v/>
      </c>
      <c r="Q82" s="137">
        <f>IFERROR(300*0.8*$I82/$P82,"")</f>
        <v/>
      </c>
      <c r="R82" s="137">
        <f>IFERROR(MAX(1,ROUNDUP($C$22*$C$30/$Q82,0),ROUNDUP($P82/$K$68,0)),"")</f>
        <v/>
      </c>
      <c r="S82" s="137">
        <f>IFERROR($P82/$R82,"")</f>
        <v/>
      </c>
      <c r="T82" s="137">
        <f>IF(NOT(ISNUMBER($S82)),999999999,IF(AND(ISNUMBER($C$42),$S82&lt;=IF($C$8="Yükseltilmiş",$C$43,$C$42)),0,100000000)+$R82*10000+$I82*10+0)</f>
        <v/>
      </c>
      <c r="U82" s="137">
        <f>IF(NOT(ISNUMBER($S82)),"—",IF(AND(ISNUMBER($C$42),$S82&lt;=IF($C$8="Yükseltilmiş",$C$43,$C$42)),$C$8&amp;" ✔",IF(AND(ISNUMBER($C$41),$C$41&gt;0,$S82&lt;=$C$41),"Şartlı kabul","Kriteri aşıyor")))</f>
        <v/>
      </c>
      <c r="W82" s="137">
        <f>IF($I82=$C$13,$C$14,IF($I82&lt;=8,800,IF($I82&lt;=10,900,IF($I82&lt;=20,1100,1300))))</f>
        <v/>
      </c>
      <c r="X82" s="137">
        <f>IF($W82=$C$14,$C$26,IFERROR(IF(ISNUMBER(INDEX('TABLO-4'!$I$4:$N$10,MATCH($W82,'TABLO-4'!$A$4:$A$10,0),IF($C$16="Teleskopik Otomatik",1,IF(OR($C$16="Merkezden Açılan Oto.",$C$16="Merkezden Açılan Otomatik"),3,5)))),INDEX('TABLO-4'!$I$4:$N$10,MATCH($W82,'TABLO-4'!$A$4:$A$10,0),IF($C$16="Teleskopik Otomatik",1,IF(OR($C$16="Merkezden Açılan Oto.",$C$16="Merkezden Açılan Otomatik"),3,5))),""),""))</f>
        <v/>
      </c>
      <c r="Y82" s="137">
        <f>IF($W82=$C$14,$C$27,IFERROR(IF(ISNUMBER(INDEX('TABLO-4'!$I$4:$N$10,MATCH($W82,'TABLO-4'!$A$4:$A$10,0),IF($C$16="Teleskopik Otomatik",2,IF(OR($C$16="Merkezden Açılan Oto.",$C$16="Merkezden Açılan Otomatik"),4,6)))),INDEX('TABLO-4'!$I$4:$N$10,MATCH($W82,'TABLO-4'!$A$4:$A$10,0),IF($C$16="Teleskopik Otomatik",2,IF(OR($C$16="Merkezden Açılan Oto.",$C$16="Merkezden Açılan Otomatik"),4,6))),""),""))</f>
        <v/>
      </c>
      <c r="Z82" s="180">
        <f>IF($W82=$C$14,$C$29,IFERROR(INDEX('TABLO-8'!$B$2:$H$2,1,MATCH($W82,'TABLO-8'!$B$1:$H$1,0)),""))</f>
        <v/>
      </c>
    </row>
    <row r="83" ht="16.5" customHeight="1" s="138">
      <c r="B83" s="171">
        <f>"  25 kişilik (2000 kg)  —  "&amp;IF(ISNUMBER($J83),INT(ROUND($J83,2))&amp;","&amp;TEXT(MOD(ROUND($J83*100,0),100),"00"),"?")&amp;" m/s"&amp;IF(ISNUMBER($W83),"  ·  "&amp;$W83&amp;" mm kapı","")&amp;" (bir üst hız)"</f>
        <v/>
      </c>
      <c r="C83" s="160">
        <f>IF(ISNUMBER($R83),$R83,"—")</f>
        <v/>
      </c>
      <c r="D83" s="161">
        <f>IF(ISNUMBER($S83),$S83,"—")</f>
        <v/>
      </c>
      <c r="E83" s="171">
        <f>$U83</f>
        <v/>
      </c>
      <c r="F83" s="161">
        <f>IF(ISNUMBER($P83),$P83,"—")</f>
        <v/>
      </c>
      <c r="G83" s="161">
        <f>IF(ISNUMBER($Q83),$Q83,"—")</f>
        <v/>
      </c>
      <c r="I83" s="137" t="n">
        <v>25</v>
      </c>
      <c r="J83" s="137">
        <f>$J$68</f>
        <v/>
      </c>
      <c r="K83" s="137">
        <f>IFERROR(INDEX('TABLO-3'!$B$3:$AD$32,MATCH($C$9,'TABLO-3'!$A$3:$A$32,0),MATCH($I83,'TABLO-3'!$B$2:$AD$2,0)),"")</f>
        <v/>
      </c>
      <c r="L83" s="137">
        <f>IFERROR(INDEX('TABLO-5'!$B$3:$AD$32,MATCH($C$9,'TABLO-5'!$A$3:$A$32,0),MATCH($I83,'TABLO-5'!$B$2:$AD$2,0)),"")</f>
        <v/>
      </c>
      <c r="M83" s="137">
        <f>IF(NOT(ISNUMBER($J83)),"",$C$12/$J83)</f>
        <v/>
      </c>
      <c r="N83" s="137">
        <f>IF(NOT(ISNUMBER($J83)),"",IF(AND(ISNUMBER($E$28),$J83=$C$23),$E$28,IF($J83&lt;1,10,IF($J83=1,7,IF($J83=1.6,6,IF($J83=2,5.7,IF($J83=2.5,5.5,IF($J83=3.5,5,IF($J83=5,4.5,4.3)))))))))</f>
        <v/>
      </c>
      <c r="O83" s="137">
        <f>IFERROR($X83+$Y83+$N83-$M83,"")</f>
        <v/>
      </c>
      <c r="P83" s="137">
        <f>IFERROR(2*$K83*$M83+($L83+1)*$O83+2*(0.8*$I83)*$Z83,"")</f>
        <v/>
      </c>
      <c r="Q83" s="137">
        <f>IFERROR(300*0.8*$I83/$P83,"")</f>
        <v/>
      </c>
      <c r="R83" s="137">
        <f>IFERROR(MAX(1,ROUNDUP($C$22*$C$30/$Q83,0),ROUNDUP($P83/$K$68,0)),"")</f>
        <v/>
      </c>
      <c r="S83" s="137">
        <f>IFERROR($P83/$R83,"")</f>
        <v/>
      </c>
      <c r="T83" s="137">
        <f>IF(NOT(ISNUMBER($S83)),999999999,IF(AND(ISNUMBER($C$42),$S83&lt;=IF($C$8="Yükseltilmiş",$C$43,$C$42)),0,100000000)+$R83*10000+$I83*10+1)</f>
        <v/>
      </c>
      <c r="U83" s="137">
        <f>IF(NOT(ISNUMBER($S83)),"—",IF(AND(ISNUMBER($C$42),$S83&lt;=IF($C$8="Yükseltilmiş",$C$43,$C$42)),$C$8&amp;" ✔",IF(AND(ISNUMBER($C$41),$C$41&gt;0,$S83&lt;=$C$41),"Şartlı kabul","Kriteri aşıyor")))</f>
        <v/>
      </c>
      <c r="W83" s="137">
        <f>IF($I83=$C$13,$C$14,IF($I83&lt;=8,800,IF($I83&lt;=10,900,IF($I83&lt;=20,1100,1300))))</f>
        <v/>
      </c>
      <c r="X83" s="137">
        <f>IF($W83=$C$14,$C$26,IFERROR(IF(ISNUMBER(INDEX('TABLO-4'!$I$4:$N$10,MATCH($W83,'TABLO-4'!$A$4:$A$10,0),IF($C$16="Teleskopik Otomatik",1,IF(OR($C$16="Merkezden Açılan Oto.",$C$16="Merkezden Açılan Otomatik"),3,5)))),INDEX('TABLO-4'!$I$4:$N$10,MATCH($W83,'TABLO-4'!$A$4:$A$10,0),IF($C$16="Teleskopik Otomatik",1,IF(OR($C$16="Merkezden Açılan Oto.",$C$16="Merkezden Açılan Otomatik"),3,5))),""),""))</f>
        <v/>
      </c>
      <c r="Y83" s="137">
        <f>IF($W83=$C$14,$C$27,IFERROR(IF(ISNUMBER(INDEX('TABLO-4'!$I$4:$N$10,MATCH($W83,'TABLO-4'!$A$4:$A$10,0),IF($C$16="Teleskopik Otomatik",2,IF(OR($C$16="Merkezden Açılan Oto.",$C$16="Merkezden Açılan Otomatik"),4,6)))),INDEX('TABLO-4'!$I$4:$N$10,MATCH($W83,'TABLO-4'!$A$4:$A$10,0),IF($C$16="Teleskopik Otomatik",2,IF(OR($C$16="Merkezden Açılan Oto.",$C$16="Merkezden Açılan Otomatik"),4,6))),""),""))</f>
        <v/>
      </c>
      <c r="Z83" s="180">
        <f>IF($W83=$C$14,$C$29,IFERROR(INDEX('TABLO-8'!$B$2:$H$2,1,MATCH($W83,'TABLO-8'!$B$1:$H$1,0)),""))</f>
        <v/>
      </c>
    </row>
    <row r="84" ht="27" customHeight="1" s="138">
      <c r="B84" s="177" t="inlineStr">
        <is>
          <t>Not: adet, MMO/697'ye göre MAX[taşıma adedi; bekleme adedi] kuralıyla ve Tablo-10 Standart (yüksek yapıda Yükseltilmiş) bekleme sınırıyla bulunur; 'Sınıf' sütunu o seçeneğin Tablo-10 karşılığını gösterir. Kamu ve hastanede şartlı kabul yoktur. 6 kişilik (450 kg) kabin erişilebilirlik ölçüsünü (1100×1400 mm / 630 kg) karşılamadığından öneri sıralamasına alınmaz. Her satırda kapasiteye uygun kapı genişliği varsayılır — kaynak: ISO 8100-32:2020 Ek C, Tablo 8 (630 kg→800 mm, 800 kg→900 mm, 1000/1275/1600 kg→1100 mm, 2000 kg→1300 mm). Kendi seçtiğiniz kapasitenin satırında ⑨ kapı genişliğiniz kullanılır.</t>
        </is>
      </c>
    </row>
    <row r="85" ht="15" customHeight="1" s="138">
      <c r="I85" s="137" t="inlineStr">
        <is>
          <t>geçerli kabin hızları (V listesi — açılır menü kaynağı)</t>
        </is>
      </c>
    </row>
    <row r="86" ht="15" customHeight="1" s="138">
      <c r="I86" s="137" t="n">
        <v>0.63</v>
      </c>
    </row>
    <row r="87" ht="15" customHeight="1" s="138">
      <c r="I87" s="137" t="n">
        <v>1</v>
      </c>
    </row>
    <row r="88" ht="15" customHeight="1" s="138">
      <c r="I88" s="137" t="n">
        <v>1.6</v>
      </c>
    </row>
    <row r="89" ht="15" customHeight="1" s="138">
      <c r="I89" s="137" t="n">
        <v>1.75</v>
      </c>
    </row>
    <row r="90" ht="15" customHeight="1" s="138">
      <c r="I90" s="137" t="n">
        <v>2</v>
      </c>
    </row>
    <row r="91" ht="15" customHeight="1" s="138">
      <c r="I91" s="137" t="n">
        <v>2.5</v>
      </c>
    </row>
    <row r="92" ht="15" customHeight="1" s="138">
      <c r="I92" s="137" t="n">
        <v>3</v>
      </c>
    </row>
    <row r="93" ht="15" customHeight="1" s="138">
      <c r="I93" s="137" t="n">
        <v>3.5</v>
      </c>
    </row>
    <row r="94" ht="15" customHeight="1" s="138">
      <c r="I94" s="137" t="n">
        <v>5</v>
      </c>
    </row>
    <row r="95" ht="15" customHeight="1" s="138">
      <c r="I95" s="137" t="n">
        <v>6</v>
      </c>
    </row>
    <row r="96" ht="15" customHeight="1" s="138">
      <c r="I96" s="137" t="inlineStr">
        <is>
          <t>1,75 ve 3,00 m/s MMO/697 Tablo-6 satır başlıklarında yoktur; tg değeri komşu tablo noktaları arasında DOĞRUSAL ENTERPOLASYONLA bulunur (1,75 → 5,8875 s; 3,00 → 5,25 s) ve paftada kaynak "ara değer" olarak yazılır.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14">
    <mergeCell ref="B40:E40"/>
    <mergeCell ref="B18:E18"/>
    <mergeCell ref="B1:E1"/>
    <mergeCell ref="B4:E4"/>
    <mergeCell ref="B67:G67"/>
    <mergeCell ref="B84:G84"/>
    <mergeCell ref="B49:G49"/>
    <mergeCell ref="B65:G65"/>
    <mergeCell ref="B2:E2"/>
    <mergeCell ref="B19:E19"/>
    <mergeCell ref="B68:G68"/>
    <mergeCell ref="B48:G48"/>
    <mergeCell ref="B46:E46"/>
    <mergeCell ref="B32:E32"/>
  </mergeCells>
  <conditionalFormatting sqref="B70:G83">
    <cfRule type="expression" rank="0" priority="2" equalAverage="0" aboveAverage="0" dxfId="0" text="" percent="0" bottom="0">
      <formula>AND(ISNUMBER($T70),$T70=MIN($T$70:$T$83))</formula>
    </cfRule>
  </conditionalFormatting>
  <dataValidations count="13">
    <dataValidation sqref="C39" showDropDown="0" showInputMessage="0" showErrorMessage="1" allowBlank="1" errorTitle="Geçersiz adet" error="1 ile 8 arasında tam sayı girin veya hücreyi boş bırakın (otomatik hesap)." type="whole" errorStyle="stop" operator="between">
      <formula1>1</formula1>
      <formula2>8</formula2>
    </dataValidation>
    <dataValidation sqref="E26:E29" showDropDown="0" showInputMessage="0" showErrorMessage="1" allowBlank="1" errorTitle="Geçersiz süre" error="0,3 – 15 sn arasında bir değer girin.&#10;&#10;Ondalık yazarken NOKTA değil VİRGÜL kullanın." type="decimal" errorStyle="stop" operator="between">
      <formula1>0.3</formula1>
      <formula2>15</formula2>
    </dataValidation>
    <dataValidation sqref="C13" showDropDown="0" showInputMessage="0" showErrorMessage="0" allowBlank="1" type="list" errorStyle="stop" operator="between">
      <formula1>"6,8,10,13,15,16,20,25,30"</formula1>
      <formula2>0</formula2>
    </dataValidation>
    <dataValidation sqref="C14" showDropDown="0" showInputMessage="0" showErrorMessage="1" allowBlank="1" errorTitle="Desteklenmeyen ortak genişlik" error="Tam trafik hesabı için 900, 1100 veya 1300 mm seçin." type="list" errorStyle="stop" operator="between">
      <formula1>"700,800,900,1000,1100,1200,1300"</formula1>
      <formula2>0</formula2>
    </dataValidation>
    <dataValidation sqref="C16" showDropDown="0" showInputMessage="0" showErrorMessage="1" allowBlank="1" type="list" errorStyle="stop" operator="between">
      <formula1>"Teleskopik Otomatik,Merkezden Açılan Oto.,Kabin İçi Oto. Kat K.Ç."</formula1>
      <formula2>0</formula2>
    </dataValidation>
    <dataValidation sqref="E5" showDropDown="0" showInputMessage="0" showErrorMessage="1" allowBlank="0" errorTitle="Geçersiz k" error="0 ile 1 arasında bir oran girin." type="decimal" errorStyle="stop" operator="between">
      <formula1>0.000001</formula1>
      <formula2>1</formula2>
    </dataValidation>
    <dataValidation sqref="C9" showDropDown="0" showInputMessage="0" showErrorMessage="0" allowBlank="0" type="whole" errorStyle="stop" operator="between">
      <formula1>1</formula1>
      <formula2>30</formula2>
    </dataValidation>
    <dataValidation sqref="C12" showDropDown="0" showInputMessage="0" showErrorMessage="0" allowBlank="0" type="decimal" errorStyle="stop" operator="between">
      <formula1>0.5</formula1>
      <formula2>10</formula2>
    </dataValidation>
    <dataValidation sqref="E8:E9" showDropDown="0" showInputMessage="0" showErrorMessage="1" allowBlank="0" errorTitle="Geçersiz değer" error="Sıfır veya pozitif bir metre / hız değeri girin." type="decimal" errorStyle="stop" operator="between">
      <formula1>0</formula1>
      <formula2>1000</formula2>
    </dataValidation>
    <dataValidation sqref="E10" showDropDown="0" showInputMessage="0" showErrorMessage="0" allowBlank="1" type="list" errorStyle="stop" operator="between">
      <formula1>$I$86:$I$95</formula1>
      <formula2>0</formula2>
    </dataValidation>
    <dataValidation sqref="C10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AND(ISNUMBER($C$10),IF($C$5="Konut",AND($C$10&gt;=0,$C$10&lt;=2000),IF(OR(LEFT($C$5,4)="Otel",$C$5="Hastane"),AND($C$10&gt;=0,$C$10&lt;=20000),AND($C$10&gt;=0,$C$10&lt;=500000))))</formula1>
      <formula2>0</formula2>
    </dataValidation>
    <dataValidation sqref="C11" showDropDown="0" showInputMessage="0" showErrorMessage="1" allowBlank="1" errorTitle="Girdi kontrolü" error="Değer bu bina tipi için olağandışı.&#10;&#10;Ondalık yazarken NOKTA değil VİRGÜL kullanın: Türkçe Excel'de 17.1 → 17 Ocak tarihine (46039) dönüşür." type="custom" errorStyle="stop" operator="between">
      <formula1>AND(ISNUMBER($C$11),IF($C$5="Konut",AND($C$11&gt;=0,$C$11&lt;=20),AND($C$11&gt;=0,$C$11&lt;=500000)))</formula1>
      <formula2>0</formula2>
    </dataValidation>
    <dataValidation sqref="E16" showDropDown="0" showInputMessage="0" showErrorMessage="1" allowBlank="1" errorTitle="Bodrum durak adedi" error="Ana giriş altında hizmet verilen durak adedi: 0 – 10 arası tam sayı ya da boş." type="whole" operator="between">
      <formula1>0</formula1>
      <formula2>10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2" activeCellId="0" sqref="A32"/>
    </sheetView>
  </sheetViews>
  <sheetFormatPr baseColWidth="8" defaultColWidth="8.71484375" defaultRowHeight="15" zeroHeight="0" outlineLevelRow="0"/>
  <cols>
    <col width="45.9" customWidth="1" style="136" min="1" max="1"/>
    <col width="18.29" customWidth="1" style="136" min="2" max="2"/>
    <col width="8.800000000000001" customWidth="1" style="136" min="3" max="3"/>
    <col width="26.5" customWidth="1" style="136" min="4" max="4"/>
  </cols>
  <sheetData>
    <row r="1" ht="36" customHeight="1" s="138">
      <c r="A1" s="181" t="inlineStr">
        <is>
          <t>ASANSÖR TRAFİK HESABI</t>
        </is>
      </c>
      <c r="B1" s="182" t="n"/>
      <c r="C1" s="182" t="n"/>
      <c r="D1" s="183" t="n"/>
    </row>
    <row r="2" ht="21.75" customHeight="1" s="138">
      <c r="A2" s="184" t="inlineStr">
        <is>
          <t>BİNADA BULUNAN İNSAN SAYISININ TESPİTİ (B)</t>
        </is>
      </c>
      <c r="B2" s="140" t="n"/>
      <c r="C2" s="140" t="n"/>
      <c r="D2" s="185" t="n"/>
    </row>
    <row r="3" ht="19.5" customHeight="1" s="138">
      <c r="A3" s="186" t="inlineStr">
        <is>
          <t>Bina tipi / hesap standardı (otomatik)</t>
        </is>
      </c>
      <c r="B3" s="187">
        <f>IFERROR(HESAPLAMA!C5&amp;" / "&amp;HESAPLAMA!C8,"—")</f>
        <v/>
      </c>
      <c r="C3" s="188" t="n"/>
      <c r="D3" s="189" t="inlineStr">
        <is>
          <t>MMO Tablo-9/10</t>
        </is>
      </c>
    </row>
    <row r="4" ht="19.5" customHeight="1" s="138">
      <c r="A4" s="186" t="inlineStr">
        <is>
          <t>Kat sayısı N (ana giriş üstü) / bodrum durağı</t>
        </is>
      </c>
      <c r="B4" s="190">
        <f>IFERROR(HESAPLAMA!C9&amp;IF(HESAPLAMA!$H$16&gt;0," + "&amp;HESAPLAMA!$H$16&amp;" bodrum durağı",""),"—")</f>
        <v/>
      </c>
      <c r="C4" s="188" t="inlineStr">
        <is>
          <t>kat</t>
        </is>
      </c>
      <c r="D4" s="189" t="inlineStr">
        <is>
          <t>Projeden</t>
        </is>
      </c>
    </row>
    <row r="5" ht="19.5" customHeight="1" s="138">
      <c r="A5" s="186" t="inlineStr">
        <is>
          <t>Bina / yapı yüksekliği</t>
        </is>
      </c>
      <c r="B5" s="187">
        <f>IFERROR(INT(ROUND(HESAPLAMA!E8,2))&amp;","&amp;TEXT(MOD(ROUND(HESAPLAMA!E8*100,0),100),"00")&amp;" / "&amp;INT(ROUND(HESAPLAMA!E9,2))&amp;","&amp;TEXT(MOD(ROUND(HESAPLAMA!E9*100,0),100),"00"),"—")</f>
        <v/>
      </c>
      <c r="C5" s="188" t="inlineStr">
        <is>
          <t>m</t>
        </is>
      </c>
      <c r="D5" s="189" t="inlineStr">
        <is>
          <t>BYKHY md.4</t>
        </is>
      </c>
    </row>
    <row r="6" ht="28.5" customHeight="1" s="138">
      <c r="A6" s="191">
        <f>IF(HESAPLAMA!C5="Konut","Tablo-1: Her dairenin ilk yatak odası için 2 kişi, diğer odaların her biri için 1 kişi alınır; mutfak ve ıslak hacimler hesaba katılmaz.",IF(OR(LEFT(HESAPLAMA!C5,10)="İş Merkezi",LEFT(HESAPLAMA!C5,4)="Kamu"),"Tablo-1: Çalışma alanının her 12 m²si için 1 kişi alınır.",IF(LEFT(HESAPLAMA!C5,4)="Otel","Tablo-1: Her yatak için 1 kişi alınır.",IF(HESAPLAMA!C5="Hastane","Tablo-1: Her yatak için 3 kişi alınır.",IF(HESAPLAMA!C5="Katlı Otopark","Tablo-1: Özel amaçlı araç başına 1 kişi, ticari amaçlı araç başına 1,5 kişi alınır.","Nüfus MMO/697 Tablo-1'e göre hesaplanmıştır.")))))</f>
        <v/>
      </c>
      <c r="B6" s="192" t="n"/>
      <c r="C6" s="192" t="n"/>
      <c r="D6" s="193" t="n"/>
    </row>
    <row r="7" ht="36" customHeight="1" s="138">
      <c r="A7" s="191">
        <f>IF(AND(HESAPLAMA!C5="Konut",ISNUMBER(HESAPLAMA!C11)),IF(HESAPLAMA!C11=INT(HESAPLAMA!C11),"Daireler "&amp;HESAPLAMA!C11&amp;"+1 olup bir dairede sayılan oda adedi "&amp;(HESAPLAMA!C11+1)&amp;" olarak alınmıştır (1 ilk yatak odası + "&amp;HESAPLAMA!C11&amp;" diğer oda). Bir dairedeki kişi sayısı = 2 + ("&amp;HESAPLAMA!C11&amp;" × 1) = "&amp;(2+HESAPLAMA!C11)&amp;" kişi.","Daire başına ortalama diğer oda adedi "&amp;INT(ROUND(HESAPLAMA!C11,2))&amp;","&amp;TEXT(MOD(ROUND(HESAPLAMA!C11*100,0),100),"00")&amp;" alınmıştır. Bir dairedeki ortalama kişi sayısı = 2 + "&amp;INT(ROUND(HESAPLAMA!C11,2))&amp;","&amp;TEXT(MOD(ROUND(HESAPLAMA!C11*100,0),100),"00")&amp;" = "&amp;INT(ROUND((2+HESAPLAMA!C11),2))&amp;","&amp;TEXT(MOD(ROUND((2+HESAPLAMA!C11)*100,0),100),"00")&amp;" kişi."),IF(AND(OR(LEFT(HESAPLAMA!C5,10)="İş Merkezi",LEFT(HESAPLAMA!C5,4)="Kamu"),ISNUMBER(HESAPLAMA!C10)),"Binadaki toplam çalışma alanı "&amp;IF(HESAPLAMA!C10=INT(HESAPLAMA!C10),HESAPLAMA!C10&amp;"",INT(ROUND(HESAPLAMA!C10,2))&amp;","&amp;TEXT(MOD(ROUND(HESAPLAMA!C10*100,0),100),"00"))&amp;" m² olarak alınmıştır.",IF(AND(OR(LEFT(HESAPLAMA!C5,4)="Otel",HESAPLAMA!C5="Hastane"),ISNUMBER(HESAPLAMA!C10)),"Binadaki toplam yatak sayısı "&amp;IF(HESAPLAMA!C10=INT(HESAPLAMA!C10),HESAPLAMA!C10&amp;"",INT(ROUND(HESAPLAMA!C10,2))&amp;","&amp;TEXT(MOD(ROUND(HESAPLAMA!C10*100,0),100),"00"))&amp;" olarak alınmıştır.",IF(AND(HESAPLAMA!C5="Katlı Otopark",ISNUMBER(HESAPLAMA!C10)),"Özel amaçlı araç adedi "&amp;IF(HESAPLAMA!C10=INT(HESAPLAMA!C10),HESAPLAMA!C10&amp;"",INT(ROUND(HESAPLAMA!C10,2))&amp;","&amp;TEXT(MOD(ROUND(HESAPLAMA!C10*100,0),100),"00"))&amp;", ticari amaçlı araç adedi "&amp;IF(ISNUMBER(HESAPLAMA!C11),IF(HESAPLAMA!C11=INT(HESAPLAMA!C11),HESAPLAMA!C11&amp;"",INT(ROUND(HESAPLAMA!C11,2))&amp;","&amp;TEXT(MOD(ROUND(HESAPLAMA!C11*100,0),100),"00"))&amp;"","0")&amp;" olarak alınmıştır.","Nüfus, hesap sayfasındaki ayrıntılı tablodan alınmıştır."))))</f>
        <v/>
      </c>
      <c r="B7" s="192" t="n"/>
      <c r="C7" s="192" t="n"/>
      <c r="D7" s="193" t="n"/>
    </row>
    <row r="8" ht="20.25" customHeight="1" s="138">
      <c r="A8" s="194">
        <f>IF(NOT(ISNUMBER(HESAPLAMA!C20)),"",IF(AND(ISNUMBER(HESAPLAMA!C10),ABS(HESAPLAMA!C20-(IF(HESAPLAMA!C5="Konut",HESAPLAMA!C10*(2+HESAPLAMA!C11),IF(OR(LEFT(HESAPLAMA!C5,10)="İş Merkezi",LEFT(HESAPLAMA!C5,4)="Kamu"),HESAPLAMA!C10/12,IF(LEFT(HESAPLAMA!C5,4)="Otel",HESAPLAMA!C10,IF(HESAPLAMA!C5="Hastane",HESAPLAMA!C10*3,IF(HESAPLAMA!C5="Katlı Otopark",HESAPLAMA!C10+IF(ISNUMBER(HESAPLAMA!C11),HESAPLAMA!C11*1.5,0),-1)))))))&lt;0.01),IF(HESAPLAMA!C5="Konut","Daire adedi "&amp;IF(HESAPLAMA!C10=INT(HESAPLAMA!C10),HESAPLAMA!C10&amp;"",INT(ROUND(HESAPLAMA!C10,2))&amp;","&amp;TEXT(MOD(ROUND(HESAPLAMA!C10*100,0),100),"00"))&amp;"  →  b = "&amp;IF(HESAPLAMA!C10=INT(HESAPLAMA!C10),HESAPLAMA!C10&amp;"",INT(ROUND(HESAPLAMA!C10,2))&amp;","&amp;TEXT(MOD(ROUND(HESAPLAMA!C10*100,0),100),"00"))&amp;" × "&amp;IF((2+HESAPLAMA!C11)=INT((2+HESAPLAMA!C11)),(2+HESAPLAMA!C11)&amp;"",INT(ROUND((2+HESAPLAMA!C11),2))&amp;","&amp;TEXT(MOD(ROUND((2+HESAPLAMA!C11)*100,0),100),"00"))&amp;" = "&amp;IF(HESAPLAMA!C20=INT(HESAPLAMA!C20),HESAPLAMA!C20&amp;"",INT(ROUND(HESAPLAMA!C20,2))&amp;","&amp;TEXT(MOD(ROUND(HESAPLAMA!C20*100,0),100),"00"))&amp;" kişi",IF(OR(LEFT(HESAPLAMA!C5,10)="İş Merkezi",LEFT(HESAPLAMA!C5,4)="Kamu"),"b = "&amp;IF(HESAPLAMA!C10=INT(HESAPLAMA!C10),HESAPLAMA!C10&amp;"",INT(ROUND(HESAPLAMA!C10,2))&amp;","&amp;TEXT(MOD(ROUND(HESAPLAMA!C10*100,0),100),"00"))&amp;" ÷ 12 = "&amp;IF(HESAPLAMA!C20=INT(HESAPLAMA!C20),HESAPLAMA!C20&amp;"",INT(ROUND(HESAPLAMA!C20,2))&amp;","&amp;TEXT(MOD(ROUND(HESAPLAMA!C20*100,0),100),"00"))&amp;" kişi",IF(LEFT(HESAPLAMA!C5,4)="Otel","b = "&amp;IF(HESAPLAMA!C10=INT(HESAPLAMA!C10),HESAPLAMA!C10&amp;"",INT(ROUND(HESAPLAMA!C10,2))&amp;","&amp;TEXT(MOD(ROUND(HESAPLAMA!C10*100,0),100),"00"))&amp;" × 1 = "&amp;IF(HESAPLAMA!C20=INT(HESAPLAMA!C20),HESAPLAMA!C20&amp;"",INT(ROUND(HESAPLAMA!C20,2))&amp;","&amp;TEXT(MOD(ROUND(HESAPLAMA!C20*100,0),100),"00"))&amp;" kişi",IF(HESAPLAMA!C5="Hastane","b = "&amp;IF(HESAPLAMA!C10=INT(HESAPLAMA!C10),HESAPLAMA!C10&amp;"",INT(ROUND(HESAPLAMA!C10,2))&amp;","&amp;TEXT(MOD(ROUND(HESAPLAMA!C10*100,0),100),"00"))&amp;" × 3 = "&amp;IF(HESAPLAMA!C20=INT(HESAPLAMA!C20),HESAPLAMA!C20&amp;"",INT(ROUND(HESAPLAMA!C20,2))&amp;","&amp;TEXT(MOD(ROUND(HESAPLAMA!C20*100,0),100),"00"))&amp;" kişi","b = ("&amp;IF(HESAPLAMA!C10=INT(HESAPLAMA!C10),HESAPLAMA!C10&amp;"",INT(ROUND(HESAPLAMA!C10,2))&amp;","&amp;TEXT(MOD(ROUND(HESAPLAMA!C10*100,0),100),"00"))&amp;" × 1) + ("&amp;IF(ISNUMBER(HESAPLAMA!C11),IF(HESAPLAMA!C11=INT(HESAPLAMA!C11),HESAPLAMA!C11&amp;"",INT(ROUND(HESAPLAMA!C11,2))&amp;","&amp;TEXT(MOD(ROUND(HESAPLAMA!C11*100,0),100),"00"))&amp;"","0")&amp;" × 1,5) = "&amp;IF(HESAPLAMA!C20=INT(HESAPLAMA!C20),HESAPLAMA!C20&amp;"",INT(ROUND(HESAPLAMA!C20,2))&amp;","&amp;TEXT(MOD(ROUND(HESAPLAMA!C20*100,0),100),"00"))&amp;" kişi")))),"b = Σc = "&amp;IF(HESAPLAMA!C20=INT(HESAPLAMA!C20),HESAPLAMA!C20&amp;"",INT(ROUND(HESAPLAMA!C20,2))&amp;","&amp;TEXT(MOD(ROUND(HESAPLAMA!C20*100,0),100),"00"))&amp;" kişi  (hesap sayfasındaki ayrıntılı nüfus tablosundan)"))</f>
        <v/>
      </c>
      <c r="B8" s="192" t="n"/>
      <c r="C8" s="192" t="n"/>
      <c r="D8" s="193" t="n"/>
    </row>
    <row r="9" ht="19.5" customHeight="1" s="138">
      <c r="A9" s="186" t="inlineStr">
        <is>
          <t>b = Sürekli kişi / n = artış</t>
        </is>
      </c>
      <c r="B9" s="187">
        <f>IFERROR(IF(HESAPLAMA!C20=INT(HESAPLAMA!C20),HESAPLAMA!C20&amp;"",INT(ROUND(HESAPLAMA!C20,2))&amp;","&amp;TEXT(MOD(ROUND(HESAPLAMA!C20*100,0),100),"00"))&amp;" kişi  /  "&amp;INT(ROUND(HESAPLAMA!C21,2))&amp;","&amp;TEXT(MOD(ROUND(HESAPLAMA!C21*100,0),100),"00"),"—")</f>
        <v/>
      </c>
      <c r="C9" s="188" t="n"/>
      <c r="D9" s="189" t="inlineStr">
        <is>
          <t>Tablo-1</t>
        </is>
      </c>
    </row>
    <row r="10" ht="20.25" customHeight="1" s="138">
      <c r="A10" s="195">
        <f>"B = b + (n·b) = "&amp;INT(ROUND(HESAPLAMA!C20,1))&amp;","&amp;TEXT(MOD(ROUND(HESAPLAMA!C20*10,0),10),"0")&amp;" + ("&amp;INT(ROUND(HESAPLAMA!C21,2))&amp;","&amp;TEXT(MOD(ROUND(HESAPLAMA!C21*100,0),100),"00")&amp;"·"&amp;INT(ROUND(HESAPLAMA!C20,1))&amp;","&amp;TEXT(MOD(ROUND(HESAPLAMA!C20*10,0),10),"0")&amp;")  =  "&amp;ROUND(HESAPLAMA!C22,0)&amp;" kişi"</f>
        <v/>
      </c>
      <c r="B10" s="196" t="n"/>
      <c r="C10" s="196" t="n"/>
      <c r="D10" s="197" t="n"/>
    </row>
    <row r="11" ht="21.75" customHeight="1" s="138">
      <c r="A11" s="184" t="inlineStr">
        <is>
          <t>HESAP DEĞERLERİ</t>
        </is>
      </c>
      <c r="B11" s="140" t="n"/>
      <c r="C11" s="140" t="n"/>
      <c r="D11" s="185" t="n"/>
    </row>
    <row r="12" ht="19.5" customHeight="1" s="138">
      <c r="A12" s="186" t="inlineStr">
        <is>
          <t>h = Katlar arası mesafe</t>
        </is>
      </c>
      <c r="B12" s="198">
        <f>IFERROR(HESAPLAMA!C12,"—")</f>
        <v/>
      </c>
      <c r="C12" s="188" t="inlineStr">
        <is>
          <t>m</t>
        </is>
      </c>
      <c r="D12" s="189">
        <f>IFERROR("Projeden — toplam seyahat "&amp;INT(ROUND(HESAPLAMA!$H$17,2))&amp;","&amp;TEXT(MOD(ROUND(HESAPLAMA!$H$17*100,0),100),"00")&amp;" m","Projeden")</f>
        <v/>
      </c>
    </row>
    <row r="13" ht="19.5" customHeight="1" s="138">
      <c r="A13" s="186" t="inlineStr">
        <is>
          <t>V = Kabin hızı</t>
        </is>
      </c>
      <c r="B13" s="198">
        <f>IFERROR(HESAPLAMA!C23,"—")</f>
        <v/>
      </c>
      <c r="C13" s="188" t="inlineStr">
        <is>
          <t>m/s</t>
        </is>
      </c>
      <c r="D13" s="189">
        <f>IF(HESAPLAMA!$H$16&gt;0,"Tablo-2  (durak = N+1+bodrum)","Tablo-2")</f>
        <v/>
      </c>
    </row>
    <row r="14" ht="19.5" customHeight="1" s="138">
      <c r="A14" s="186" t="inlineStr">
        <is>
          <t>H = Ortalama en yüksek dönüş katı</t>
        </is>
      </c>
      <c r="B14" s="198">
        <f>IFERROR(HESAPLAMA!C24,"—")</f>
        <v/>
      </c>
      <c r="C14" s="188" t="n"/>
      <c r="D14" s="189" t="inlineStr">
        <is>
          <t>Tablo-3</t>
        </is>
      </c>
    </row>
    <row r="15" ht="19.5" customHeight="1" s="138">
      <c r="A15" s="186" t="inlineStr">
        <is>
          <t>tv = Katlar arası geçiş = h/V</t>
        </is>
      </c>
      <c r="B15" s="198">
        <f>IFERROR(HESAPLAMA!C33,"—")</f>
        <v/>
      </c>
      <c r="C15" s="188" t="inlineStr">
        <is>
          <t>s</t>
        </is>
      </c>
      <c r="D15" s="189" t="inlineStr">
        <is>
          <t>h/V</t>
        </is>
      </c>
    </row>
    <row r="16" ht="19.5" customHeight="1" s="138">
      <c r="A16" s="186" t="inlineStr">
        <is>
          <t>S = Ortalama durak adedi</t>
        </is>
      </c>
      <c r="B16" s="198">
        <f>IFERROR(HESAPLAMA!C25,"—")</f>
        <v/>
      </c>
      <c r="C16" s="188" t="n"/>
      <c r="D16" s="189" t="inlineStr">
        <is>
          <t>Tablo-5</t>
        </is>
      </c>
    </row>
    <row r="17" ht="19.5" customHeight="1" s="138">
      <c r="A17" s="186" t="inlineStr">
        <is>
          <t>ts = ta+tk+tg−tv (duruş kaybı)</t>
        </is>
      </c>
      <c r="B17" s="198">
        <f>IFERROR(HESAPLAMA!C34,"—")</f>
        <v/>
      </c>
      <c r="C17" s="188" t="inlineStr">
        <is>
          <t>s</t>
        </is>
      </c>
      <c r="D17" s="189" t="n"/>
    </row>
    <row r="18" ht="19.5" customHeight="1" s="138">
      <c r="A18" s="186" t="inlineStr">
        <is>
          <t>P = Kabin kişi adedi</t>
        </is>
      </c>
      <c r="B18" s="190">
        <f>IFERROR(HESAPLAMA!C13,"—")</f>
        <v/>
      </c>
      <c r="C18" s="188" t="inlineStr">
        <is>
          <t>kişi</t>
        </is>
      </c>
      <c r="D18" s="189">
        <f>IFERROR(IF(HESAPLAMA!C13=15,"MMO örneği s.53-54 (Tablo-7 dışı)","Tablo-7"),"—")</f>
        <v/>
      </c>
    </row>
    <row r="19" ht="19.5" customHeight="1" s="138">
      <c r="A19" s="186" t="inlineStr">
        <is>
          <t>p = 0,8·P (indirgenmiş kişi)</t>
        </is>
      </c>
      <c r="B19" s="199">
        <f>IFERROR(HESAPLAMA!C15,"—")</f>
        <v/>
      </c>
      <c r="C19" s="188" t="inlineStr">
        <is>
          <t>kişi</t>
        </is>
      </c>
      <c r="D19" s="189" t="inlineStr">
        <is>
          <t>MMO/697</t>
        </is>
      </c>
    </row>
    <row r="20" ht="19.5" customHeight="1" s="138">
      <c r="A20" s="186" t="inlineStr">
        <is>
          <t>tp = Kişi transfer zamanı</t>
        </is>
      </c>
      <c r="B20" s="198">
        <f>IFERROR(HESAPLAMA!C29,"—")</f>
        <v/>
      </c>
      <c r="C20" s="188" t="inlineStr">
        <is>
          <t>s</t>
        </is>
      </c>
      <c r="D20" s="189">
        <f>IF(ISNUMBER(HESAPLAMA!$E$29),"İmalatçı verisi",IF(HESAPLAMA!$C$14=700,"ISO 8100-32:2020 Tablo 6 (kapsam dışı — dış değerleme)","ISO 8100-32:2020, Tablo 6"))</f>
        <v/>
      </c>
    </row>
    <row r="21" ht="19.5" customHeight="1" s="138">
      <c r="A21" s="186" t="inlineStr">
        <is>
          <t>ta = Kapı açılma zamanı</t>
        </is>
      </c>
      <c r="B21" s="198">
        <f>IFERROR(HESAPLAMA!C26,"—")</f>
        <v/>
      </c>
      <c r="C21" s="188" t="inlineStr">
        <is>
          <t>s</t>
        </is>
      </c>
      <c r="D21" s="189">
        <f>IF(ISNUMBER(HESAPLAMA!$E$26),"İmalatçı verisi",IF(OR(HESAPLAMA!$C$14=1000,HESAPLAMA!$C$14=1200),"Tablo-4 (ara değer — enterpolasyon)","Tablo-4"))</f>
        <v/>
      </c>
    </row>
    <row r="22" ht="19.5" customHeight="1" s="138">
      <c r="A22" s="186" t="inlineStr">
        <is>
          <t>tk = Kapı kapanma zamanı</t>
        </is>
      </c>
      <c r="B22" s="198">
        <f>IFERROR(HESAPLAMA!C27,"—")</f>
        <v/>
      </c>
      <c r="C22" s="188" t="inlineStr">
        <is>
          <t>s</t>
        </is>
      </c>
      <c r="D22" s="189">
        <f>IF(ISNUMBER(HESAPLAMA!$E$27),"İmalatçı verisi",IF(OR(HESAPLAMA!$C$14=1000,HESAPLAMA!$C$14=1200),"Tablo-4 (ara değer — enterpolasyon)","Tablo-4"))</f>
        <v/>
      </c>
    </row>
    <row r="23" ht="19.5" customHeight="1" s="138">
      <c r="A23" s="186" t="inlineStr">
        <is>
          <t>tg = Tek katı geçme zamanı</t>
        </is>
      </c>
      <c r="B23" s="198">
        <f>IFERROR(HESAPLAMA!C28,"—")</f>
        <v/>
      </c>
      <c r="C23" s="188" t="inlineStr">
        <is>
          <t>s</t>
        </is>
      </c>
      <c r="D23" s="189">
        <f>IF(ISNUMBER(HESAPLAMA!$E$28),"İmalatçı verisi",IF(OR(HESAPLAMA!$C$23=1.75,HESAPLAMA!$C$23=3),"Tablo-6 (ara değer — enterpolasyon)","Tablo-6"))</f>
        <v/>
      </c>
    </row>
    <row r="24" ht="21.75" customHeight="1" s="138">
      <c r="A24" s="184" t="inlineStr">
        <is>
          <t>ASANSÖRÜN BİR SEFERİ İÇİN GEREKLİ SEYİR ZAMANI (TR)</t>
        </is>
      </c>
      <c r="B24" s="140" t="n"/>
      <c r="C24" s="140" t="n"/>
      <c r="D24" s="185" t="n"/>
    </row>
    <row r="25" ht="18" customHeight="1" s="138">
      <c r="A25" s="191" t="inlineStr">
        <is>
          <t>TR = 2·H·tv + (S+1)·ts + 2·p·tp</t>
        </is>
      </c>
      <c r="B25" s="192" t="n"/>
      <c r="C25" s="192" t="n"/>
      <c r="D25" s="193" t="n"/>
    </row>
    <row r="26" ht="20.25" customHeight="1" s="138">
      <c r="A26" s="195">
        <f>IF(HESAPLAMA!$E$45&lt;&gt;"","—","TR = 2·"&amp;INT(ROUND(HESAPLAMA!C24,2))&amp;","&amp;TEXT(MOD(ROUND(HESAPLAMA!C24*100,0),100),"00")&amp;"·"&amp;INT(ROUND(HESAPLAMA!C33,2))&amp;","&amp;TEXT(MOD(ROUND(HESAPLAMA!C33*100,0),100),"00")&amp;" + ("&amp;INT(ROUND(HESAPLAMA!C25,2))&amp;","&amp;TEXT(MOD(ROUND(HESAPLAMA!C25*100,0),100),"00")&amp;"+1)·"&amp;INT(ROUND(HESAPLAMA!C34,2))&amp;","&amp;TEXT(MOD(ROUND(HESAPLAMA!C34*100,0),100),"00")&amp;" + 2·"&amp;INT(ROUND(HESAPLAMA!C15,1))&amp;","&amp;TEXT(MOD(ROUND(HESAPLAMA!C15*10,0),10),"0")&amp;"·"&amp;INT(ROUND(HESAPLAMA!C29,1))&amp;","&amp;TEXT(MOD(ROUND(HESAPLAMA!C29*10,0),10),"0")&amp;"  =  "&amp;INT(ROUND(HESAPLAMA!C35,2))&amp;","&amp;TEXT(MOD(ROUND(HESAPLAMA!C35*100,0),100),"00")&amp;" s")</f>
        <v/>
      </c>
      <c r="B26" s="196" t="n"/>
      <c r="C26" s="196" t="n"/>
      <c r="D26" s="197" t="n"/>
    </row>
    <row r="27" ht="21.75" customHeight="1" s="138">
      <c r="A27" s="184" t="inlineStr">
        <is>
          <t>GEREKLİ ASANSÖR SAYISININ HESABI</t>
        </is>
      </c>
      <c r="B27" s="140" t="n"/>
      <c r="C27" s="140" t="n"/>
      <c r="D27" s="185" t="n"/>
    </row>
    <row r="28" ht="18" customHeight="1" s="138">
      <c r="A28" s="191">
        <f>IF(HESAPLAMA!$E$45&lt;&gt;"","—","R = 5·60·p / TR = 5·60·"&amp;INT(ROUND(HESAPLAMA!C15,1))&amp;","&amp;TEXT(MOD(ROUND(HESAPLAMA!C15*10,0),10),"0")&amp;" / "&amp;INT(ROUND(HESAPLAMA!C35,2))&amp;","&amp;TEXT(MOD(ROUND(HESAPLAMA!C35*100,0),100),"00")&amp;"  =  "&amp;INT(ROUND(HESAPLAMA!C36,1))&amp;","&amp;TEXT(MOD(ROUND(HESAPLAMA!C36*10,0),10),"0")&amp;" kişi / 5 dk")</f>
        <v/>
      </c>
      <c r="B28" s="192" t="n"/>
      <c r="C28" s="192" t="n"/>
      <c r="D28" s="193" t="n"/>
    </row>
    <row r="29" ht="19.5" customHeight="1" s="138">
      <c r="A29" s="186" t="inlineStr">
        <is>
          <t>k = Taşınacak insan yüzdesi</t>
        </is>
      </c>
      <c r="B29" s="200">
        <f>IFERROR(HESAPLAMA!C30,"—")</f>
        <v/>
      </c>
      <c r="C29" s="188" t="n"/>
      <c r="D29" s="189" t="inlineStr">
        <is>
          <t>Tablo-9</t>
        </is>
      </c>
    </row>
    <row r="30" ht="31.5" customHeight="1" s="138">
      <c r="A30" s="195">
        <f>IF(HESAPLAMA!$E$45&lt;&gt;"","—","Taşıma adedi = "&amp;ROUNDUP((HESAPLAMA!C22*HESAPLAMA!C30)/HESAPLAMA!C36,0)&amp;";  Bekleme adedi = "&amp;ROUNDUP(HESAPLAMA!C35/HESAPLAMA!$K$68,0)&amp;"  (uygulanan sınır Izul = "&amp;HESAPLAMA!$K$68&amp;" sn — Tablo-10 "&amp;HESAPLAMA!$C$8&amp;")"&amp;"  →  Nihai gerekli sayı = "&amp;HESAPLAMA!C37&amp;" adet"&amp;IF(AND(ISNUMBER(HESAPLAMA!$C$41),HESAPLAMA!$C$41&gt;0),"   |   Şartlı Kabul sınırı ("&amp;HESAPLAMA!$C$41&amp;" sn) için "&amp;ROUNDUP(HESAPLAMA!C35/HESAPLAMA!$C$41,0)&amp;" adet yeterli olurdu (taahhütname gerekir)",""))</f>
        <v/>
      </c>
      <c r="B30" s="196" t="n"/>
      <c r="C30" s="196" t="n"/>
      <c r="D30" s="197" t="n"/>
    </row>
    <row r="31" ht="21.75" customHeight="1" s="138">
      <c r="A31" s="184" t="inlineStr">
        <is>
          <t>BEKLEME ZAMANI (IZUL) KONTROLÜ</t>
        </is>
      </c>
      <c r="B31" s="140" t="n"/>
      <c r="C31" s="140" t="n"/>
      <c r="D31" s="185" t="n"/>
    </row>
    <row r="32" ht="28.5" customHeight="1" s="138">
      <c r="A32" s="195">
        <f>IF(HESAPLAMA!$E$45&lt;&gt;"","—","Ieer = TR / n = "&amp;INT(ROUND(HESAPLAMA!$C$35,2))&amp;","&amp;TEXT(MOD(ROUND(HESAPLAMA!$C$35*100,0),100),"00")&amp;" / "&amp;HESAPLAMA!$C$37&amp;"  =  "&amp;INT(ROUND(HESAPLAMA!$C$38,1))&amp;","&amp;TEXT(MOD(ROUND(HESAPLAMA!$C$38*10,0),10),"0")&amp;" sn"&amp;"      →      "&amp;HESAPLAMA!$C$8&amp;" sınır "&amp;IF(HESAPLAMA!$C$8="Yükseltilmiş",HESAPLAMA!$C$43,HESAPLAMA!$C$42)&amp;" sn: "&amp;IF(HESAPLAMA!$C$38&lt;=IF(HESAPLAMA!$C$8="Yükseltilmiş",HESAPLAMA!$C$43,HESAPLAMA!$C$42),"SAĞLANIYOR","AŞILIYOR")&amp;IF(AND(ISNUMBER(HESAPLAMA!$C$41),HESAPLAMA!$C$41&gt;0),"      |      Şartlı Kabul sınırı "&amp;HESAPLAMA!$C$41&amp;" sn: "&amp;IF(HESAPLAMA!$C$38&lt;=HESAPLAMA!$C$41,"sağlanıyor","aşılıyor"),"      |      bu bina sınıfında şartlı kabul yoktur"))</f>
        <v/>
      </c>
      <c r="B32" s="196" t="n"/>
      <c r="C32" s="196" t="n"/>
      <c r="D32" s="197" t="n"/>
    </row>
    <row r="33" ht="31.5" customHeight="1" s="138">
      <c r="A33" s="201">
        <f>HESAPLAMA!C44</f>
        <v/>
      </c>
      <c r="B33" s="202" t="n"/>
      <c r="C33" s="202" t="n"/>
      <c r="D33" s="203" t="n"/>
    </row>
    <row r="34" ht="28.5" customHeight="1" s="138">
      <c r="A34" s="204">
        <f>IF(HESAPLAMA!$E$45&lt;&gt;"",HESAPLAMA!$E$45,IF(LEFT(HESAPLAMA!$C$44,5)="Kabul","Bekleme süresi kriteri sağlanmıyor; kabin kapasitesi, hız veya asansör adedi gözden geçirilmelidir.",IF(LEFT(HESAPLAMA!$C$44,6)="Şartlı","Toplamda "&amp;HESAPLAMA!$C$37&amp;" adet "&amp;HESAPLAMA!$C$13&amp;" kişilik ("&amp;HESAPLAMA!$E$13&amp;" kg), "&amp;INT(ROUND(HESAPLAMA!$C$23,2))&amp;","&amp;TEXT(MOD(ROUND(HESAPLAMA!$C$23*100,0),100),"00")&amp;" m/s hızında asansör"&amp;" önerilmektedir. Bekleme süresi "&amp;INT(ROUND(HESAPLAMA!$C$38,1))&amp;","&amp;TEXT(MOD(ROUND(HESAPLAMA!$C$38*10,0),10),"0")&amp;" sn olup MMO/697 Tablo-10 şartlı kabul sınırı "&amp;HESAPLAMA!$C$41&amp;" sn içindedir; taahhütname ile uygundur. Standart sınır ("&amp;HESAPLAMA!$C$42&amp;" sn) için "&amp;ROUNDUP(HESAPLAMA!$C$35/HESAPLAMA!$C$42,0)&amp;" adet gerekir.","Toplamda "&amp;HESAPLAMA!$C$37&amp;" adet "&amp;HESAPLAMA!$C$13&amp;" kişilik ("&amp;HESAPLAMA!$E$13&amp;" kg), "&amp;INT(ROUND(HESAPLAMA!$C$23,2))&amp;","&amp;TEXT(MOD(ROUND(HESAPLAMA!$C$23*100,0),100),"00")&amp;" m/s hızında asansör"&amp;" yapılması uygundur.")))</f>
        <v/>
      </c>
      <c r="B34" s="205" t="n"/>
      <c r="C34" s="205" t="n"/>
      <c r="D34" s="206" t="n"/>
    </row>
  </sheetData>
  <mergeCells count="17">
    <mergeCell ref="A1:D1"/>
    <mergeCell ref="A27:D27"/>
    <mergeCell ref="A31:D31"/>
    <mergeCell ref="A8:D8"/>
    <mergeCell ref="A6:D6"/>
    <mergeCell ref="A34:D34"/>
    <mergeCell ref="A26:D26"/>
    <mergeCell ref="A30:D30"/>
    <mergeCell ref="A7:D7"/>
    <mergeCell ref="A25:D25"/>
    <mergeCell ref="A24:D24"/>
    <mergeCell ref="A2:D2"/>
    <mergeCell ref="A11:D11"/>
    <mergeCell ref="A33:D33"/>
    <mergeCell ref="A10:D10"/>
    <mergeCell ref="A28:D28"/>
    <mergeCell ref="A32:D32"/>
  </mergeCells>
  <printOptions horizontalCentered="1" verticalCentered="0" headings="0" gridLines="0" gridLinesSet="1"/>
  <pageMargins left="0.39375" right="0.39375" top="0.39375" bottom="0.393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zeroHeight="0" outlineLevelRow="0"/>
  <cols>
    <col width="36" customWidth="1" style="137" min="1" max="1"/>
    <col width="12" customWidth="1" style="137" min="2" max="2"/>
    <col width="16" customWidth="1" style="137" min="3" max="3"/>
    <col width="3" customWidth="1" style="137" min="4" max="4"/>
    <col width="21" customWidth="1" style="137" min="5" max="7"/>
    <col width="2" customWidth="1" style="137" min="8" max="11"/>
  </cols>
  <sheetData>
    <row r="1" ht="31.5" customHeight="1" s="138">
      <c r="A1" s="234" t="inlineStr">
        <is>
          <t>MMO/697 NÜFUS KATSAYILARI — YARDIMCI REFERANS</t>
        </is>
      </c>
    </row>
    <row r="2" ht="33.75" customHeight="1" s="138">
      <c r="A2" s="235" t="inlineStr">
        <is>
          <t>Nüfus girdileri artık HESAPLAMA ve ÇOKLU ASANSÖR sayfalarının altındaki ayrıntılı tablolara girilir. Bu sayfa yalnız katsayı kaynağıdır.</t>
        </is>
      </c>
    </row>
    <row r="3" ht="15" customHeight="1" s="138">
      <c r="A3" s="236" t="inlineStr">
        <is>
          <t>TABLO-1 KATSAYI EŞLEMESİ</t>
        </is>
      </c>
      <c r="E3" s="237" t="inlineStr">
        <is>
          <t>KULLANIM NOTLARI</t>
        </is>
      </c>
    </row>
    <row r="4" ht="37.5" customHeight="1" s="138">
      <c r="A4" s="238" t="inlineStr">
        <is>
          <t>Kalem</t>
        </is>
      </c>
      <c r="B4" s="238" t="inlineStr">
        <is>
          <t>Birim</t>
        </is>
      </c>
      <c r="C4" s="238" t="inlineStr">
        <is>
          <t>Kişi katsayısı</t>
        </is>
      </c>
      <c r="E4" s="239" t="inlineStr">
        <is>
          <t>Konut: Her bağımsız bölümün ilk yatak odasını ve diğer odalarını ayrı miktarlar olarak girin.</t>
        </is>
      </c>
      <c r="F4" s="240" t="n"/>
      <c r="G4" s="241" t="n"/>
    </row>
    <row r="5" ht="37.5" customHeight="1" s="138">
      <c r="A5" s="242" t="inlineStr">
        <is>
          <t>KONUT — İlk yatak odası</t>
        </is>
      </c>
      <c r="B5" s="242" t="inlineStr">
        <is>
          <t>oda</t>
        </is>
      </c>
      <c r="C5" s="243" t="n">
        <v>2</v>
      </c>
      <c r="E5" s="239" t="inlineStr">
        <is>
          <t>İş merkezi / resmî bina: Miktar alanına toplam çalışma alanını m² olarak girin; katsayı 1/12'dir.</t>
        </is>
      </c>
      <c r="F5" s="240" t="n"/>
      <c r="G5" s="241" t="n"/>
    </row>
    <row r="6" ht="37.5" customHeight="1" s="138">
      <c r="A6" s="242" t="inlineStr">
        <is>
          <t>KONUT — Diğer oda</t>
        </is>
      </c>
      <c r="B6" s="242" t="inlineStr">
        <is>
          <t>oda</t>
        </is>
      </c>
      <c r="C6" s="243" t="n">
        <v>1</v>
      </c>
      <c r="E6" s="239" t="inlineStr">
        <is>
          <t>Karma yapı: Her kullanım kalemini ayrı satıra ekleyin. Tablo-9'da k yoksa manuel k zorunludur.</t>
        </is>
      </c>
      <c r="F6" s="240" t="n"/>
      <c r="G6" s="241" t="n"/>
    </row>
    <row r="7" ht="45.75" customHeight="1" s="138">
      <c r="A7" s="242" t="inlineStr">
        <is>
          <t>OTEL — Yatak</t>
        </is>
      </c>
      <c r="B7" s="242" t="inlineStr">
        <is>
          <t>yatak</t>
        </is>
      </c>
      <c r="C7" s="243" t="n">
        <v>1</v>
      </c>
      <c r="E7" s="239" t="inlineStr">
        <is>
          <t>DOĞRUDAN KİŞİ kalemi MMO/697 Tablo-1 dışındaki proje verileri içindir; mühendislik gerekçesini açıklama alanına yazın.</t>
        </is>
      </c>
      <c r="F7" s="240" t="n"/>
      <c r="G7" s="241" t="n"/>
    </row>
    <row r="8" ht="15" customHeight="1" s="138">
      <c r="A8" s="242" t="inlineStr">
        <is>
          <t>İŞ MERKEZİ — Çalışma alanı</t>
        </is>
      </c>
      <c r="B8" s="242" t="inlineStr">
        <is>
          <t>m²</t>
        </is>
      </c>
      <c r="C8" s="244" t="n">
        <v>0.0833333333333333</v>
      </c>
      <c r="E8" s="137" t="inlineStr">
        <is>
          <t>HIZLI GİRİŞ: HESAPLAMA ve ÇOKLU ASANSÖR sayfalarındaki ⑤/⑥ kutuları bina tipine göre doğru Tablo-1 kalemini kendisi seçer; bu tabloya yalnız karma/istisnai nüfus için satır eklenir.</t>
        </is>
      </c>
    </row>
    <row r="9" ht="15" customHeight="1" s="138">
      <c r="A9" s="242" t="inlineStr">
        <is>
          <t>HASTANE — Yatak</t>
        </is>
      </c>
      <c r="B9" s="242" t="inlineStr">
        <is>
          <t>yatak</t>
        </is>
      </c>
      <c r="C9" s="243" t="n">
        <v>3</v>
      </c>
    </row>
    <row r="10" ht="15" customHeight="1" s="138">
      <c r="A10" s="242" t="inlineStr">
        <is>
          <t>RESMİ BİNA — Çalışma alanı</t>
        </is>
      </c>
      <c r="B10" s="242" t="inlineStr">
        <is>
          <t>m²</t>
        </is>
      </c>
      <c r="C10" s="244" t="n">
        <v>0.0833333333333333</v>
      </c>
    </row>
    <row r="11" ht="15" customHeight="1" s="138">
      <c r="A11" s="242" t="inlineStr">
        <is>
          <t>OTOPARK — Ticari araç</t>
        </is>
      </c>
      <c r="B11" s="242" t="inlineStr">
        <is>
          <t>araç</t>
        </is>
      </c>
      <c r="C11" s="244" t="n">
        <v>1.5</v>
      </c>
    </row>
    <row r="12" ht="15" customHeight="1" s="138">
      <c r="A12" s="242" t="inlineStr">
        <is>
          <t>OTOPARK — Özel araç</t>
        </is>
      </c>
      <c r="B12" s="242" t="inlineStr">
        <is>
          <t>araç</t>
        </is>
      </c>
      <c r="C12" s="243" t="n">
        <v>1</v>
      </c>
    </row>
    <row r="13" ht="15" customHeight="1" s="138">
      <c r="A13" s="242" t="inlineStr">
        <is>
          <t>DOĞRUDAN KİŞİ — Tablo-1 dışı</t>
        </is>
      </c>
      <c r="B13" s="242" t="inlineStr">
        <is>
          <t>kişi</t>
        </is>
      </c>
      <c r="C13" s="243" t="n">
        <v>1</v>
      </c>
    </row>
    <row r="14" ht="7.5" customHeight="1" s="138"/>
    <row r="15" ht="7.5" customHeight="1" s="138"/>
    <row r="16" ht="7.5" customHeight="1" s="138"/>
    <row r="17" ht="7.5" customHeight="1" s="138"/>
    <row r="18" ht="7.5" customHeight="1" s="138"/>
    <row r="19" ht="7.5" customHeight="1" s="138"/>
    <row r="20" ht="7.5" customHeight="1" s="138"/>
    <row r="21" ht="7.5" customHeight="1" s="138"/>
    <row r="22" ht="7.5" customHeight="1" s="138"/>
    <row r="23" ht="7.5" customHeight="1" s="138"/>
    <row r="24" ht="7.5" customHeight="1" s="138"/>
    <row r="25" ht="7.5" customHeight="1" s="138"/>
    <row r="26" ht="7.5" customHeight="1" s="138"/>
    <row r="27" ht="7.5" customHeight="1" s="138"/>
    <row r="28" ht="7.5" customHeight="1" s="138"/>
    <row r="29" ht="7.5" customHeight="1" s="138"/>
    <row r="30" ht="7.5" customHeight="1" s="138"/>
    <row r="31" ht="7.5" customHeight="1" s="138"/>
    <row r="32" ht="7.5" customHeight="1" s="138"/>
    <row r="33" ht="7.5" customHeight="1" s="138"/>
    <row r="34" ht="7.5" customHeight="1" s="138"/>
    <row r="35" ht="7.5" customHeight="1" s="138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8">
    <mergeCell ref="A1:G1"/>
    <mergeCell ref="E5:G5"/>
    <mergeCell ref="A2:G2"/>
    <mergeCell ref="A3:C3"/>
    <mergeCell ref="E4:G4"/>
    <mergeCell ref="E3:G3"/>
    <mergeCell ref="E7:G7"/>
    <mergeCell ref="E6:G6"/>
  </mergeCells>
  <dataValidations count="1">
    <dataValidation sqref="D5:D17 D22:D34" showDropDown="0" showInputMessage="0" showErrorMessage="1" allowBlank="0" errorTitle="Geçersiz miktar" error="Sıfır veya pozitif bir miktar girin." type="decimal" errorStyle="stop" operator="between">
      <formula1>0</formula1>
      <formula2>1000000000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2.75" zeroHeight="0" outlineLevelRow="0"/>
  <cols>
    <col width="24" customWidth="1" style="137" min="1" max="1"/>
    <col width="68" customWidth="1" style="137" min="2" max="2"/>
    <col width="30" customWidth="1" style="137" min="3" max="3"/>
    <col width="64" customWidth="1" style="137" min="4" max="4"/>
  </cols>
  <sheetData>
    <row r="1" ht="30" customHeight="1" s="138">
      <c r="A1" s="245" t="inlineStr">
        <is>
          <t>HESAP VE UYUM KAYNAKLARI</t>
        </is>
      </c>
    </row>
    <row r="2" ht="15" customHeight="1" s="138">
      <c r="A2" s="246" t="n"/>
      <c r="B2" s="246" t="n"/>
      <c r="C2" s="246" t="n"/>
      <c r="D2" s="246" t="n"/>
    </row>
    <row r="3" ht="15" customHeight="1" s="138">
      <c r="A3" s="247" t="inlineStr">
        <is>
          <t>Konu</t>
        </is>
      </c>
      <c r="B3" s="247" t="inlineStr">
        <is>
          <t>Kaynak</t>
        </is>
      </c>
      <c r="C3" s="247" t="inlineStr">
        <is>
          <t>Konum</t>
        </is>
      </c>
      <c r="D3" s="247" t="inlineStr">
        <is>
          <t>Uygulama notu</t>
        </is>
      </c>
    </row>
    <row r="4" ht="42" customHeight="1" s="138">
      <c r="A4" s="248" t="inlineStr">
        <is>
          <t>Ana trafik hesabı</t>
        </is>
      </c>
      <c r="B4" s="248" t="inlineStr">
        <is>
          <t>MMO/697 — Asansör Avan Projesi Hazırlama Teknik Esasları, 2. Baskı, Ocak 2020</t>
        </is>
      </c>
      <c r="C4" s="248" t="inlineStr">
        <is>
          <t>s.11-17</t>
        </is>
      </c>
      <c r="D4" s="248" t="inlineStr">
        <is>
          <t>TR, R, H, S, p, Tablo 1-10 ve b=Σc</t>
        </is>
      </c>
    </row>
    <row r="5" ht="42" customHeight="1" s="138">
      <c r="A5" s="248" t="inlineStr">
        <is>
          <t>Yüksek bina tanımı</t>
        </is>
      </c>
      <c r="B5" s="248" t="inlineStr">
        <is>
          <t>Binaların Yangından Korunması Hakkında Yönetmelik Kılavuzu</t>
        </is>
      </c>
      <c r="C5" s="248" t="inlineStr">
        <is>
          <t>md.4 / PDF s.15</t>
        </is>
      </c>
      <c r="D5" s="248" t="inlineStr">
        <is>
          <t>Bina yüksekliği &gt;21,50 m veya yapı yüksekliği &gt;30,50 m ise yüksek bina</t>
        </is>
      </c>
    </row>
    <row r="6" ht="42" customHeight="1" s="138">
      <c r="A6" s="248" t="inlineStr">
        <is>
          <t>Resmî kaynak URL</t>
        </is>
      </c>
      <c r="B6" s="248" t="inlineStr">
        <is>
          <t>https://webdosya.csb.gov.tr/v2/meslekihizmetler/2026/05/Binalar-n-Yang-n-Korunmas-Hakk-nda-Y-netmelik-K-lavuzu-20260507112134.pdf</t>
        </is>
      </c>
      <c r="C6" s="248" t="inlineStr">
        <is>
          <t>ÇŞİDB Mesleki Hizmetler Genel Müdürlüğü</t>
        </is>
      </c>
      <c r="D6" s="248" t="inlineStr">
        <is>
          <t>Yüksek bina ölçütü çalışma kitabında otomatik standarda dönüştürülür</t>
        </is>
      </c>
    </row>
    <row r="7" ht="42" customHeight="1" s="138">
      <c r="A7" s="248" t="inlineStr">
        <is>
          <t>15 kişi / 1125 kg</t>
        </is>
      </c>
      <c r="B7" s="248" t="inlineStr">
        <is>
          <t>MMO/697 örnek proje</t>
        </is>
      </c>
      <c r="C7" s="248" t="inlineStr">
        <is>
          <t>s.53-54</t>
        </is>
      </c>
      <c r="D7" s="248" t="inlineStr">
        <is>
          <t>Tablo-7 kaydı değildir; örnek istisnası olarak etiketlenir</t>
        </is>
      </c>
    </row>
    <row r="8" ht="42" customHeight="1" s="138">
      <c r="A8" s="248" t="inlineStr">
        <is>
          <t>Basılı TR₁ aritmetiği</t>
        </is>
      </c>
      <c r="B8" s="248" t="inlineStr">
        <is>
          <t>MMO/697 örnek proje</t>
        </is>
      </c>
      <c r="C8" s="248" t="inlineStr">
        <is>
          <t>s.54</t>
        </is>
      </c>
      <c r="D8" s="248" t="inlineStr">
        <is>
          <t>Basılı 149,9955 s yerine kitabın eski tp=2,2 s girdileriyle denklem sonucu yaklaşık 174,03 s'dir; güncel tp tablosunda TR değişir</t>
        </is>
      </c>
    </row>
    <row r="9" ht="48" customHeight="1" s="138">
      <c r="A9" s="248" t="inlineStr">
        <is>
          <t>Kişi transfer zamanı (tp)</t>
        </is>
      </c>
      <c r="B9" s="248" t="inlineStr">
        <is>
          <t>ISO 8100-32:2020, "Lifts — Part 32: Planning and selection of passenger lifts to be installed in office, hotel and residential buildings", Tablo 6</t>
        </is>
      </c>
      <c r="C9" s="248" t="inlineStr">
        <is>
          <t>Tablo-8</t>
        </is>
      </c>
      <c r="D9" s="248" t="inlineStr">
        <is>
          <t>800 mm: 1,2 s | 900 mm: 1,1 s | 1000-1100 mm: 1,0 s | 1200-1300 mm: 0,9 s. 800 mm satırı ISO/CD 8100-32 (2017) Tablo 6 ve Barney/Peters (2018) Tablo 3 ile teyitlidir; 1300 mm, 1200 mm değerinin düz devamıdır.</t>
        </is>
      </c>
    </row>
    <row r="10" ht="33.75" customHeight="1" s="138">
      <c r="A10" s="249" t="inlineStr">
        <is>
          <t>Not: Yükseklik değerleri mimari projeden ayrı ayrı girilmelidir; N×h yaklaşımı bina/yapı yüksekliği tanımlarının yerine kullanılmaz.</t>
        </is>
      </c>
    </row>
    <row r="11" ht="30" customHeight="1" s="138">
      <c r="A11" s="248" t="inlineStr">
        <is>
          <t>Bina yüksekliği nedir</t>
        </is>
      </c>
      <c r="B11" s="248" t="inlineStr">
        <is>
          <t>Binanın kot aldığı noktadan saçak seviyesine kadar olan mesafedir; bodrum katlar bu ölçüye girmez.</t>
        </is>
      </c>
      <c r="C11" s="248" t="inlineStr">
        <is>
          <t>BYKHY md.4</t>
        </is>
      </c>
      <c r="D11" s="248" t="inlineStr">
        <is>
          <t>HESAPLAMA E8 / ÇOKLU ASANSÖR D8 hücresine yazılır.</t>
        </is>
      </c>
    </row>
    <row r="12" ht="43.5" customHeight="1" s="138">
      <c r="A12" s="248" t="inlineStr">
        <is>
          <t>Yapı yüksekliği nedir</t>
        </is>
      </c>
      <c r="B12" s="248" t="inlineStr">
        <is>
          <t>Bodrum katlar, asma katlar ve çatı arası piyesler dâhil, yapının inşa edilen bütün katlarının toplam yüksekliğidir. Bu nedenle yapı yüksekliği ≥ bina yüksekliği; bodrumsuz binada ikisi eşittir.</t>
        </is>
      </c>
      <c r="C12" s="248" t="inlineStr">
        <is>
          <t>BYKHY md.4</t>
        </is>
      </c>
      <c r="D12" s="248" t="inlineStr">
        <is>
          <t>HESAPLAMA E9 / ÇOKLU ASANSÖR D9 hücresine yazılır.</t>
        </is>
      </c>
    </row>
    <row r="13" ht="57" customHeight="1" s="138">
      <c r="A13" s="248" t="inlineStr">
        <is>
          <t>Neden ikisi de soruluyor</t>
        </is>
      </c>
      <c r="B13" s="248" t="inlineStr">
        <is>
          <t>Yüksek bina ölçütü iki koşuldan BİRİ aşılınca oluşur: bina yüksekliği &gt; 21,50 m VEYA yapı yüksekliği &gt; 30,50 m. Örnek: 3 bodrum (9 m) + zemin + 6 normal kat (21 m) → bina yüksekliği 21 m ile sınırın altındadır, ancak bir bodrum daha eklenince yapı yüksekliği 33 m olur ve bina yüksek bina sınıfına girer.</t>
        </is>
      </c>
      <c r="C13" s="248" t="inlineStr">
        <is>
          <t>BYKHY md.4</t>
        </is>
      </c>
      <c r="D13" s="248" t="inlineStr">
        <is>
          <t>Yüksek binada HESAPLAMA C8 'Yükseltilmiş'e döner: k yüzdesi artar, Tablo-10 bekleme sınırı düşer (kamu binasında 40 → 30 sn); sonuç genelde daha fazla asansördür.</t>
        </is>
      </c>
    </row>
    <row r="14" ht="43.5" customHeight="1" s="138">
      <c r="A14" s="248" t="inlineStr">
        <is>
          <t>Sık yapılan hata</t>
        </is>
      </c>
      <c r="B14" s="248" t="inlineStr">
        <is>
          <t>N × h çarpımı yükseklik yerine kullanılamaz. N yalnızca ana giriş üstündeki kat adedidir, bodrumları içermez; iki yükseklik değeri mimari projeden ayrı ayrı okunur.</t>
        </is>
      </c>
      <c r="C14" s="248" t="inlineStr">
        <is>
          <t>MMO/697 + BYKHY</t>
        </is>
      </c>
      <c r="D14" s="248" t="inlineStr">
        <is>
          <t>Emin olunamayan durumda büyük değeri yapı yüksekliğine yazın — eksik yazmak kriteri gevşetir.</t>
        </is>
      </c>
    </row>
    <row r="16" ht="33.75" customHeight="1" s="138">
      <c r="A16" s="249" t="inlineStr">
        <is>
          <t>BU DOSYA NASIL KULLANILIR — KULLANIM SENARYOLARI</t>
        </is>
      </c>
    </row>
    <row r="17" ht="30" customHeight="1" s="138">
      <c r="A17" s="247" t="inlineStr">
        <is>
          <t>Durum</t>
        </is>
      </c>
      <c r="B17" s="247" t="inlineStr">
        <is>
          <t>Hangi sayfayı doldurursun</t>
        </is>
      </c>
      <c r="C17" s="247" t="inlineStr">
        <is>
          <t>Çıktı (PDF'e basılan)</t>
        </is>
      </c>
      <c r="D17" s="247" t="inlineStr">
        <is>
          <t>Not</t>
        </is>
      </c>
    </row>
    <row r="18" ht="43.5" customHeight="1" s="138">
      <c r="A18" s="248" t="inlineStr">
        <is>
          <t>TEK ASANSÖR</t>
        </is>
      </c>
      <c r="B18" s="248" t="inlineStr">
        <is>
          <t>HESAPLAMA</t>
        </is>
      </c>
      <c r="C18" s="248" t="inlineStr">
        <is>
          <t>PAFTA</t>
        </is>
      </c>
      <c r="D18" s="248" t="inlineStr">
        <is>
          <t>Kabini ve hızı sen verirsin, gereken adedi hesap bulur:  n = MAX[taşıma adedi ; bekleme adedi].</t>
        </is>
      </c>
    </row>
    <row r="19" ht="57.75" customHeight="1" s="138">
      <c r="A19" s="248" t="inlineStr">
        <is>
          <t>BİRDEN FAZLA ASANSÖR</t>
        </is>
      </c>
      <c r="B19" s="248" t="inlineStr">
        <is>
          <t>ÇOKLU ASANSÖR</t>
        </is>
      </c>
      <c r="C19" s="248" t="inlineStr">
        <is>
          <t>PAFTA-COKLU</t>
        </is>
      </c>
      <c r="D19" s="248" t="inlineStr">
        <is>
          <t>Planladığın asansörleri sen girersin, hesap grubu kontrol eder:  Reş = ΣR ≥ B·k  ve  TReş = 1/Σ(1/TR) ≤ Izul  (MMO/697 s.12).</t>
        </is>
      </c>
    </row>
    <row r="20" ht="57.75" customHeight="1" s="138">
      <c r="A20" s="248" t="inlineStr">
        <is>
          <t>FARKLI KAPASİTEDE ASANSÖR</t>
        </is>
      </c>
      <c r="B20" s="248" t="inlineStr">
        <is>
          <t>ÇOKLU ASANSÖR (zorunlu)</t>
        </is>
      </c>
      <c r="C20" s="248" t="inlineStr">
        <is>
          <t>PAFTA-COKLU</t>
        </is>
      </c>
      <c r="D20" s="248" t="inlineStr">
        <is>
          <t>HESAPLAMA'nın verdiği adet, asansörlerin HEPSİNİN aynı kabin ve aynı hızda olduğunu varsayar. Kapasiteler farklıysa grup formülü zorunludur.</t>
        </is>
      </c>
    </row>
    <row r="21" ht="57.75" customHeight="1" s="138">
      <c r="A21" s="248" t="inlineStr">
        <is>
          <t>ÖNERİLEN SIRA</t>
        </is>
      </c>
      <c r="B21" s="248" t="inlineStr">
        <is>
          <t>Önce HESAPLAMA ile kaç adet gerektiğine bak</t>
        </is>
      </c>
      <c r="C21" s="248" t="inlineStr">
        <is>
          <t>Tek çıkarsa PAFTA; birden fazla ve farklı kapasiteliyse ÇOKLU ASANSÖR'e geç</t>
        </is>
      </c>
      <c r="D21" s="248" t="inlineStr">
        <is>
          <t>İki sayfanın girdileri BAĞIMSIZDIR — birinde yaptığın değişiklik diğerine geçmez. Hangi paftayı basacaksan onun kendi girdilerini doldur.</t>
        </is>
      </c>
    </row>
    <row r="22" ht="33.75" customHeight="1" s="138">
      <c r="A22" s="249" t="inlineStr">
        <is>
          <t>YENİ PROJEYE BAŞLARKEN KONTROL EDİLECEKLER</t>
        </is>
      </c>
    </row>
    <row r="23" ht="57.75" customHeight="1" s="138">
      <c r="A23" s="248" t="inlineStr">
        <is>
          <t>Önceki projeden kalıntı</t>
        </is>
      </c>
      <c r="B23" s="248" t="inlineStr">
        <is>
          <t>HESAPLAMA E26:E29 (manuel ta / tk / tg / tp) ve C39 (elle asansör adedi) bir önceki işten kalmış olabilir</t>
        </is>
      </c>
      <c r="C23" s="248" t="inlineStr">
        <is>
          <t>E30 ve E39 uyarı yazar</t>
        </is>
      </c>
      <c r="D23" s="248" t="inlineStr">
        <is>
          <t>Boşalt. Manuel süre girilirse paftada kaynak 'İmalatçı verisi'ne döner ve teknik föy referansı istenir.</t>
        </is>
      </c>
    </row>
    <row r="24" ht="43.5" customHeight="1" s="138">
      <c r="A24" s="248" t="inlineStr">
        <is>
          <t>Kapsam sınırları</t>
        </is>
      </c>
      <c r="B24" s="248" t="inlineStr">
        <is>
          <t>Kabin 6–34 kişi, kat N = 1–30. Kapı genişliği tam hesaplanabilir değerler: 900 / 1100 / 1300 mm (Tablo-4 ∩ Tablo-8).</t>
        </is>
      </c>
      <c r="C24" s="248" t="inlineStr">
        <is>
          <t>Tablo-3 / 4 / 5 / 8</t>
        </is>
      </c>
      <c r="D24" s="248" t="inlineStr">
        <is>
          <t>Aralık dışında hesap durur ve EKSİK OLAN DEĞERİ ADIYLA söyler; sessizce yanlış sonuç üretmez. N &gt; 30 için tek bölgeli hesap geçersizdir, bölgeli (zoned) hesap gerekir.</t>
        </is>
      </c>
    </row>
    <row r="25" ht="43.5" customHeight="1" s="138">
      <c r="A25" s="248" t="inlineStr">
        <is>
          <t>Manuel giriş gereken tipler</t>
        </is>
      </c>
      <c r="B25" s="248" t="inlineStr">
        <is>
          <t>Karma Binalar, Poliklinik, Katlı Otopark ve Hastane</t>
        </is>
      </c>
      <c r="C25" s="248" t="inlineStr">
        <is>
          <t>Tablo-2 / Tablo-9</t>
        </is>
      </c>
      <c r="D25" s="248" t="inlineStr">
        <is>
          <t>Bu tiplerde hız ve/veya %k tabloda yoktur; E10 (manuel V) ve E5 (manuel k) hücrelerinden girilir.</t>
        </is>
      </c>
    </row>
    <row r="26" ht="72" customHeight="1" s="138">
      <c r="A26" s="248" t="inlineStr">
        <is>
          <t>Bodrum katı</t>
        </is>
      </c>
      <c r="B26" s="248" t="inlineStr">
        <is>
          <t>N = ana giriş katının ÜSTÜNDEKİ kat adedidir; bodrum N'e dâhil EDİLMEZ</t>
        </is>
      </c>
      <c r="C26" s="248" t="inlineStr">
        <is>
          <t>MMO/697 s.11</t>
        </is>
      </c>
      <c r="D26" s="248" t="inlineStr">
        <is>
          <t>Bodrum durağı seyir mesafesini, kuyu dibini ve durak/kapı adedini etkiler; tur süresine girmez. Bodrumdan yolcu binen bina (kapalı otopark) bu yöntemle modellenmez.</t>
        </is>
      </c>
    </row>
    <row r="27" ht="57.75" customHeight="1" s="138">
      <c r="A27" s="248" t="inlineStr">
        <is>
          <t>tp değerinin MMO/697 ile ilişkisi</t>
        </is>
      </c>
      <c r="B27" s="248" t="inlineStr">
        <is>
          <t>Tablo-8 değerleri MMO/697'nin BASILI tablosu değildir; MMO/697 kendi örneğinde tp = 2,2 s kullanır (eski ISO 4190-6:1984 yaklaşımı 1,75 s idi). Çalışma kitabı güncel ISO 8100-32:2020 Tablo 6 değerlerini kullanır.</t>
        </is>
      </c>
      <c r="C27" s="248" t="inlineStr">
        <is>
          <t>ISO 8100-32:2020</t>
        </is>
      </c>
      <c r="D27" s="248" t="inlineStr">
        <is>
          <t>Sıkışık hesaplarda bu fark sonucu değiştirir. İtiraz gelirse dayanak ISO 8100-32:2020 Tablo 6'dır; muhafazakâr konut tasarımı için Barney/Peters +0,3 s konut düzeltmesi E29 hücresinden elle uygulanabilir.</t>
        </is>
      </c>
    </row>
    <row r="28" ht="43.5" customHeight="1" s="138">
      <c r="A28" s="248" t="inlineStr">
        <is>
          <t>Ondalık ayırıcı</t>
        </is>
      </c>
      <c r="B28" s="248" t="inlineStr">
        <is>
          <t>Ondalık yazarken NOKTA değil VİRGÜL kullanın</t>
        </is>
      </c>
      <c r="C28" s="248" t="inlineStr">
        <is>
          <t>Türkçe Excel</t>
        </is>
      </c>
      <c r="D28" s="248" t="inlineStr">
        <is>
          <t>"17.1" yazarsanız 17 Ocak tarihine (46039) dönüşür ve hesap sessizce bozulur.</t>
        </is>
      </c>
    </row>
    <row r="30" ht="34.5" customHeight="1" s="138">
      <c r="A30" s="248" t="inlineStr">
        <is>
          <t>Asansör adedinin boyutlandığı sınır</t>
        </is>
      </c>
      <c r="B30" s="248" t="inlineStr">
        <is>
          <t>Gereken adet, MMO/697 Tablo-10 STANDART sınırına (yüksek yapıda Yükseltilmiş) göre bulunur; Şartlı Kabul sınırına göre değil.</t>
        </is>
      </c>
      <c r="C30" s="248" t="inlineStr">
        <is>
          <t>Tablo-10</t>
        </is>
      </c>
      <c r="D30" s="248" t="inlineStr">
        <is>
          <t>Şartlı Kabul yalnızca sonuç raporlanırken, daha az asansörle de geçilebileceğini göstermek için PAFTA satırında ayrıca yazılır ve taahhütname gerektirir.</t>
        </is>
      </c>
    </row>
    <row r="31" ht="23.25" customHeight="1" s="138">
      <c r="A31" s="248" t="inlineStr">
        <is>
          <t>Ara hız değerleri (1,75 / 3,00 m/s)</t>
        </is>
      </c>
      <c r="B31" s="248" t="inlineStr">
        <is>
          <t>Tablo-6 satır başlığı değildir; tg doğrusal enterpolasyonla bulunur.</t>
        </is>
      </c>
      <c r="C31" s="248" t="inlineStr">
        <is>
          <t>Tablo-6</t>
        </is>
      </c>
      <c r="D31" s="248" t="inlineStr">
        <is>
          <t>Paftada kaynak "Tablo-6 (ara değer — enterpolasyon)" olarak basılır.</t>
        </is>
      </c>
    </row>
    <row r="32" ht="34.5" customHeight="1" s="138">
      <c r="A32" s="248" t="inlineStr">
        <is>
          <t>Öneri bloğu kapı genişliği varsayımı</t>
        </is>
      </c>
      <c r="B32" s="248" t="inlineStr">
        <is>
          <t>ISO 8100-32:2020, Ek C, Tablo 8 — beyan yüküne göre varsayılan kapı genişlikleri</t>
        </is>
      </c>
      <c r="C32" s="248" t="inlineStr">
        <is>
          <t>HESAPLAMA 6) blok</t>
        </is>
      </c>
      <c r="D32" s="248" t="inlineStr">
        <is>
          <t>630 kg→800 mm, 800 kg→900 mm, 1000/1275/1600 kg→1100 mm, 2000 kg→1300 mm. Yalnız öneri tablosunda kullanılır; kesin hesap ⑨ girdinizle yapılır.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22:D22"/>
    <mergeCell ref="A1:D1"/>
    <mergeCell ref="A10:D10"/>
    <mergeCell ref="A16:D1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8" customWidth="1" style="136" min="1" max="1"/>
    <col width="40" customWidth="1" style="136" min="2" max="2"/>
    <col width="8" customWidth="1" style="136" min="3" max="3"/>
  </cols>
  <sheetData>
    <row r="1" ht="19.5" customHeight="1" s="138">
      <c r="A1" s="250" t="inlineStr">
        <is>
          <t>Bina Tipi *</t>
        </is>
      </c>
      <c r="B1" s="251" t="n"/>
      <c r="C1" s="252" t="inlineStr">
        <is>
          <t>b</t>
        </is>
      </c>
      <c r="D1" s="253" t="n"/>
      <c r="E1" s="253" t="n"/>
      <c r="F1" s="253" t="n"/>
    </row>
    <row r="2" ht="18" customHeight="1" s="138">
      <c r="A2" s="254" t="inlineStr">
        <is>
          <t>KONUT **</t>
        </is>
      </c>
      <c r="B2" s="255" t="inlineStr">
        <is>
          <t>her dairede ilk yatak odası için</t>
        </is>
      </c>
      <c r="C2" s="255" t="inlineStr">
        <is>
          <t>2</t>
        </is>
      </c>
      <c r="D2" s="253" t="n"/>
      <c r="E2" s="253" t="n"/>
      <c r="F2" s="253" t="n"/>
    </row>
    <row r="3" ht="18" customHeight="1" s="138">
      <c r="A3" s="256" t="n"/>
      <c r="B3" s="255" t="inlineStr">
        <is>
          <t>diğer odaların her biri için</t>
        </is>
      </c>
      <c r="C3" s="255" t="inlineStr">
        <is>
          <t>1</t>
        </is>
      </c>
      <c r="D3" s="253" t="n"/>
      <c r="E3" s="253" t="n"/>
      <c r="F3" s="253" t="n"/>
    </row>
    <row r="4" ht="18" customHeight="1" s="138">
      <c r="A4" s="255" t="inlineStr">
        <is>
          <t>OTEL</t>
        </is>
      </c>
      <c r="B4" s="255" t="inlineStr">
        <is>
          <t>Her yatak için</t>
        </is>
      </c>
      <c r="C4" s="255" t="inlineStr">
        <is>
          <t>1</t>
        </is>
      </c>
      <c r="D4" s="253" t="n"/>
      <c r="E4" s="253" t="n"/>
      <c r="F4" s="253" t="n"/>
    </row>
    <row r="5" ht="18" customHeight="1" s="138">
      <c r="A5" s="255" t="inlineStr">
        <is>
          <t>İŞ MERKEZİ</t>
        </is>
      </c>
      <c r="B5" s="255" t="inlineStr">
        <is>
          <t>çalışma alanının her 12 m²si için</t>
        </is>
      </c>
      <c r="C5" s="255" t="inlineStr">
        <is>
          <t>1</t>
        </is>
      </c>
      <c r="D5" s="253" t="n"/>
      <c r="E5" s="253" t="n"/>
      <c r="F5" s="253" t="n"/>
    </row>
    <row r="6" ht="18" customHeight="1" s="138">
      <c r="A6" s="255" t="inlineStr">
        <is>
          <t>HASTANE</t>
        </is>
      </c>
      <c r="B6" s="255" t="inlineStr">
        <is>
          <t>her yatak için</t>
        </is>
      </c>
      <c r="C6" s="255" t="inlineStr">
        <is>
          <t>3</t>
        </is>
      </c>
      <c r="D6" s="253" t="n"/>
      <c r="E6" s="253" t="n"/>
      <c r="F6" s="253" t="n"/>
    </row>
    <row r="7" ht="18" customHeight="1" s="138">
      <c r="A7" s="255" t="inlineStr">
        <is>
          <t>RESMİ BİNALAR</t>
        </is>
      </c>
      <c r="B7" s="255" t="inlineStr">
        <is>
          <t>çalışma alanının 12 m²si için</t>
        </is>
      </c>
      <c r="C7" s="255" t="inlineStr">
        <is>
          <t>1</t>
        </is>
      </c>
      <c r="D7" s="253" t="n"/>
      <c r="E7" s="253" t="n"/>
      <c r="F7" s="253" t="n"/>
    </row>
    <row r="8" ht="18" customHeight="1" s="138">
      <c r="A8" s="255" t="inlineStr">
        <is>
          <t>OTOPARK</t>
        </is>
      </c>
      <c r="B8" s="255" t="inlineStr">
        <is>
          <t>ticari amaçlı araç adedi başına</t>
        </is>
      </c>
      <c r="C8" s="255" t="inlineStr">
        <is>
          <t>1,5</t>
        </is>
      </c>
      <c r="D8" s="253" t="n"/>
      <c r="E8" s="253" t="n"/>
      <c r="F8" s="253" t="n"/>
    </row>
    <row r="9" ht="18" customHeight="1" s="138">
      <c r="A9" s="254" t="n"/>
      <c r="B9" s="255" t="inlineStr">
        <is>
          <t>özel amaçlı araç adedi başına</t>
        </is>
      </c>
      <c r="C9" s="255" t="inlineStr">
        <is>
          <t>1</t>
        </is>
      </c>
      <c r="D9" s="253" t="n"/>
      <c r="E9" s="253" t="n"/>
      <c r="F9" s="253" t="n"/>
    </row>
    <row r="10" ht="24" customHeight="1" s="138">
      <c r="A10" s="257" t="inlineStr">
        <is>
          <t>* Servis asansörleri bu değerlerin dışındadır.</t>
        </is>
      </c>
      <c r="D10" s="253" t="n"/>
      <c r="E10" s="253" t="n"/>
      <c r="F10" s="253" t="n"/>
    </row>
    <row r="11" ht="24" customHeight="1" s="138">
      <c r="A11" s="258" t="inlineStr">
        <is>
          <t>** Diğer bölümler ve mutfak hesaba katılmayacaktır.</t>
        </is>
      </c>
      <c r="D11" s="253" t="n"/>
      <c r="E11" s="253" t="n"/>
      <c r="F11" s="253" t="n"/>
    </row>
    <row r="12" ht="24" customHeight="1" s="138">
      <c r="A12" s="258" t="inlineStr">
        <is>
          <t>*** Engelliler için ayrıca hesap yapılmayacaktır.</t>
        </is>
      </c>
      <c r="D12" s="253" t="n"/>
      <c r="E12" s="253" t="n"/>
      <c r="F12" s="253" t="n"/>
    </row>
    <row r="13" ht="30" customHeight="1" s="138">
      <c r="A13" s="259" t="inlineStr">
        <is>
          <t>Tablo –1 Binada sürekli bulunan insan sayısı</t>
        </is>
      </c>
      <c r="D13" s="253" t="n"/>
      <c r="E13" s="253" t="n"/>
      <c r="F13" s="253" t="n"/>
    </row>
    <row r="14" ht="24" customHeight="1" s="138">
      <c r="A14" s="260" t="inlineStr">
        <is>
          <t>Kaynak: MMO/697 "Asansör Avan Projesi Hazırlama Teknik Esasları", 2. Baskı, Ocak 2020, s.13</t>
        </is>
      </c>
      <c r="D14" s="253" t="n"/>
      <c r="E14" s="253" t="n"/>
      <c r="F14" s="253" t="n"/>
    </row>
    <row r="15" ht="15" customHeight="1" s="138">
      <c r="A15" s="253" t="n"/>
      <c r="B15" s="253" t="n"/>
      <c r="C15" s="253" t="n"/>
      <c r="D15" s="253" t="n"/>
      <c r="E15" s="253" t="n"/>
      <c r="F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</row>
    <row r="17" ht="15" customHeight="1" s="138">
      <c r="A17" s="253" t="n"/>
      <c r="B17" s="253" t="n"/>
      <c r="C17" s="253" t="n"/>
      <c r="D17" s="253" t="n"/>
      <c r="E17" s="253" t="n"/>
      <c r="F17" s="253" t="n"/>
    </row>
    <row r="18" ht="15" customHeight="1" s="138">
      <c r="A18" s="253" t="n"/>
      <c r="B18" s="253" t="n"/>
      <c r="C18" s="253" t="n"/>
      <c r="D18" s="253" t="n"/>
      <c r="E18" s="253" t="n"/>
      <c r="F18" s="253" t="n"/>
    </row>
    <row r="19" ht="15" customHeight="1" s="138">
      <c r="A19" s="253" t="n"/>
      <c r="B19" s="253" t="n"/>
      <c r="C19" s="253" t="n"/>
      <c r="D19" s="253" t="n"/>
      <c r="E19" s="253" t="n"/>
      <c r="F19" s="253" t="n"/>
    </row>
    <row r="20" ht="15" customHeight="1" s="138">
      <c r="A20" s="253" t="n"/>
      <c r="B20" s="253" t="n"/>
      <c r="C20" s="253" t="n"/>
      <c r="D20" s="253" t="n"/>
      <c r="E20" s="253" t="n"/>
      <c r="F2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5">
    <mergeCell ref="A10:C10"/>
    <mergeCell ref="A13:C13"/>
    <mergeCell ref="A11:C11"/>
    <mergeCell ref="A14:C14"/>
    <mergeCell ref="A12:C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" customWidth="1" style="136" min="1" max="2"/>
    <col width="10" customWidth="1" style="136" min="3" max="3"/>
  </cols>
  <sheetData>
    <row r="1" ht="18" customHeight="1" s="138">
      <c r="A1" s="252" t="inlineStr">
        <is>
          <t>Bina Tipi</t>
        </is>
      </c>
      <c r="B1" s="252" t="inlineStr">
        <is>
          <t>Durak Adedi</t>
        </is>
      </c>
      <c r="C1" s="252" t="inlineStr">
        <is>
          <t>Hız [m/s]</t>
        </is>
      </c>
      <c r="D1" s="253" t="n"/>
      <c r="E1" s="253" t="n"/>
      <c r="F1" s="253" t="n"/>
    </row>
    <row r="2" ht="15.75" customHeight="1" s="138">
      <c r="A2" s="254" t="inlineStr">
        <is>
          <t>Konut</t>
        </is>
      </c>
      <c r="B2" s="255" t="inlineStr">
        <is>
          <t>2-9 Durak</t>
        </is>
      </c>
      <c r="C2" s="255" t="inlineStr">
        <is>
          <t>1</t>
        </is>
      </c>
      <c r="D2" s="253" t="n"/>
      <c r="E2" s="253" t="n"/>
      <c r="F2" s="253" t="n"/>
    </row>
    <row r="3" ht="15.75" customHeight="1" s="138">
      <c r="A3" s="256" t="n"/>
      <c r="B3" s="255" t="inlineStr">
        <is>
          <t>10-14 Durak</t>
        </is>
      </c>
      <c r="C3" s="255" t="inlineStr">
        <is>
          <t>1.6</t>
        </is>
      </c>
      <c r="D3" s="253" t="n"/>
      <c r="E3" s="253" t="n"/>
      <c r="F3" s="253" t="n"/>
    </row>
    <row r="4" ht="15.75" customHeight="1" s="138">
      <c r="A4" s="256" t="n"/>
      <c r="B4" s="255" t="inlineStr">
        <is>
          <t>15-19 Durak</t>
        </is>
      </c>
      <c r="C4" s="255" t="inlineStr">
        <is>
          <t>2.0</t>
        </is>
      </c>
      <c r="D4" s="253" t="n"/>
      <c r="E4" s="253" t="n"/>
      <c r="F4" s="253" t="n"/>
    </row>
    <row r="5" ht="15.75" customHeight="1" s="138">
      <c r="A5" s="256" t="n"/>
      <c r="B5" s="255" t="inlineStr">
        <is>
          <t>20 Durak ve üzeri</t>
        </is>
      </c>
      <c r="C5" s="255" t="inlineStr">
        <is>
          <t>≥ 2.5</t>
        </is>
      </c>
      <c r="D5" s="253" t="n"/>
      <c r="E5" s="253" t="n"/>
      <c r="F5" s="253" t="n"/>
    </row>
    <row r="6" ht="15.75" customHeight="1" s="138">
      <c r="A6" s="254" t="inlineStr">
        <is>
          <t>Büro ve İş Merkezi</t>
        </is>
      </c>
      <c r="B6" s="255" t="inlineStr">
        <is>
          <t>2-5 Durak</t>
        </is>
      </c>
      <c r="C6" s="255" t="inlineStr">
        <is>
          <t>1</t>
        </is>
      </c>
      <c r="D6" s="253" t="n"/>
      <c r="E6" s="253" t="n"/>
      <c r="F6" s="253" t="n"/>
    </row>
    <row r="7" ht="15.75" customHeight="1" s="138">
      <c r="A7" s="256" t="n"/>
      <c r="B7" s="255" t="inlineStr">
        <is>
          <t>6-10 Durak</t>
        </is>
      </c>
      <c r="C7" s="255" t="inlineStr">
        <is>
          <t>1.6</t>
        </is>
      </c>
      <c r="D7" s="253" t="n"/>
      <c r="E7" s="253" t="n"/>
      <c r="F7" s="253" t="n"/>
    </row>
    <row r="8" ht="15.75" customHeight="1" s="138">
      <c r="A8" s="256" t="n"/>
      <c r="B8" s="255" t="inlineStr">
        <is>
          <t>11-15 Durak</t>
        </is>
      </c>
      <c r="C8" s="255" t="inlineStr">
        <is>
          <t>2.0</t>
        </is>
      </c>
      <c r="D8" s="253" t="n"/>
      <c r="E8" s="253" t="n"/>
      <c r="F8" s="253" t="n"/>
    </row>
    <row r="9" ht="15.75" customHeight="1" s="138">
      <c r="A9" s="256" t="n"/>
      <c r="B9" s="255" t="inlineStr">
        <is>
          <t>16-19 Durak</t>
        </is>
      </c>
      <c r="C9" s="255" t="inlineStr">
        <is>
          <t>2.5</t>
        </is>
      </c>
      <c r="D9" s="253" t="n"/>
      <c r="E9" s="253" t="n"/>
      <c r="F9" s="253" t="n"/>
    </row>
    <row r="10" ht="15.75" customHeight="1" s="138">
      <c r="A10" s="254" t="n"/>
      <c r="B10" s="255" t="inlineStr">
        <is>
          <t>20 Durak ve üzeri</t>
        </is>
      </c>
      <c r="C10" s="255" t="inlineStr">
        <is>
          <t>&gt; 2.5</t>
        </is>
      </c>
      <c r="D10" s="253" t="n"/>
      <c r="E10" s="253" t="n"/>
      <c r="F10" s="253" t="n"/>
    </row>
    <row r="11" ht="15.75" customHeight="1" s="138">
      <c r="A11" s="256" t="inlineStr">
        <is>
          <t>Otel</t>
        </is>
      </c>
      <c r="B11" s="255" t="inlineStr">
        <is>
          <t>2-6 Durak</t>
        </is>
      </c>
      <c r="C11" s="255" t="inlineStr">
        <is>
          <t>1</t>
        </is>
      </c>
      <c r="D11" s="253" t="n"/>
      <c r="E11" s="253" t="n"/>
      <c r="F11" s="253" t="n"/>
    </row>
    <row r="12" ht="15.75" customHeight="1" s="138">
      <c r="A12" s="256" t="n"/>
      <c r="B12" s="255" t="inlineStr">
        <is>
          <t>7-10 Durak</t>
        </is>
      </c>
      <c r="C12" s="255" t="inlineStr">
        <is>
          <t>1.6</t>
        </is>
      </c>
      <c r="D12" s="253" t="n"/>
      <c r="E12" s="253" t="n"/>
      <c r="F12" s="253" t="n"/>
    </row>
    <row r="13" ht="15.75" customHeight="1" s="138">
      <c r="A13" s="256" t="n"/>
      <c r="B13" s="255" t="inlineStr">
        <is>
          <t>11-15 Durak</t>
        </is>
      </c>
      <c r="C13" s="255" t="inlineStr">
        <is>
          <t>2.0</t>
        </is>
      </c>
      <c r="D13" s="253" t="n"/>
      <c r="E13" s="253" t="n"/>
      <c r="F13" s="253" t="n"/>
    </row>
    <row r="14" ht="15.75" customHeight="1" s="138">
      <c r="A14" s="256" t="n"/>
      <c r="B14" s="255" t="inlineStr">
        <is>
          <t>16-19 Durak</t>
        </is>
      </c>
      <c r="C14" s="255" t="inlineStr">
        <is>
          <t>2.5</t>
        </is>
      </c>
      <c r="D14" s="253" t="n"/>
      <c r="E14" s="253" t="n"/>
      <c r="F14" s="253" t="n"/>
    </row>
    <row r="15" ht="21.75" customHeight="1" s="138">
      <c r="A15" s="254" t="n"/>
      <c r="B15" s="256" t="inlineStr">
        <is>
          <t>20 Durak ve üzeri</t>
        </is>
      </c>
      <c r="C15" s="256" t="inlineStr">
        <is>
          <t>&gt; 2.5</t>
        </is>
      </c>
      <c r="D15" s="253" t="n"/>
      <c r="E15" s="253" t="n"/>
      <c r="F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</row>
    <row r="17" ht="15" customHeight="1" s="138">
      <c r="A17" s="159" t="inlineStr">
        <is>
          <t>Tablo –2 Kabin hızları</t>
        </is>
      </c>
      <c r="D17" s="253" t="n"/>
      <c r="E17" s="253" t="n"/>
      <c r="F17" s="253" t="n"/>
    </row>
    <row r="18" ht="15" customHeight="1" s="138">
      <c r="A18" s="143" t="inlineStr">
        <is>
          <t>Kaynak: MMO/697, 2. Baskı, Ocak 2020, s.13</t>
        </is>
      </c>
      <c r="D18" s="253" t="n"/>
      <c r="E18" s="253" t="n"/>
      <c r="F18" s="253" t="n"/>
    </row>
    <row r="19" ht="15" customHeight="1" s="138">
      <c r="A19" s="253" t="n"/>
      <c r="B19" s="253" t="n"/>
      <c r="C19" s="253" t="n"/>
      <c r="D19" s="253" t="n"/>
      <c r="E19" s="253" t="n"/>
      <c r="F19" s="253" t="n"/>
    </row>
    <row r="20" ht="15" customHeight="1" s="138">
      <c r="A20" s="253" t="n"/>
      <c r="B20" s="253" t="n"/>
      <c r="C20" s="253" t="n"/>
      <c r="D20" s="253" t="n"/>
      <c r="E20" s="253" t="n"/>
      <c r="F20" s="253" t="n"/>
    </row>
    <row r="21" ht="15" customHeight="1" s="138">
      <c r="A21" s="253" t="n"/>
      <c r="B21" s="253" t="n"/>
      <c r="C21" s="253" t="n"/>
      <c r="D21" s="253" t="n"/>
      <c r="E21" s="253" t="n"/>
      <c r="F21" s="253" t="n"/>
    </row>
    <row r="22" ht="15" customHeight="1" s="138">
      <c r="A22" s="253" t="n"/>
      <c r="B22" s="253" t="n"/>
      <c r="C22" s="253" t="n"/>
      <c r="D22" s="253" t="n"/>
      <c r="E22" s="253" t="n"/>
      <c r="F22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">
    <mergeCell ref="A17:C17"/>
    <mergeCell ref="A18:C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36" min="1" max="1"/>
    <col width="7.42" customWidth="1" style="136" min="2" max="2"/>
    <col hidden="1" width="4" customWidth="1" style="136" min="21" max="21"/>
  </cols>
  <sheetData>
    <row r="1" ht="30" customHeight="1" s="138">
      <c r="A1" s="261" t="inlineStr">
        <is>
          <t>Ana giriş üstündeki kat sayısı (N)</t>
        </is>
      </c>
      <c r="B1" s="262" t="inlineStr">
        <is>
          <t>ASANSÖRÜN KAPASİTESİ (KİŞİ)</t>
        </is>
      </c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</row>
    <row r="2" ht="18" customHeight="1" s="138">
      <c r="A2" s="253" t="n"/>
      <c r="B2" s="252" t="n">
        <v>6</v>
      </c>
      <c r="C2" s="252" t="n">
        <v>7</v>
      </c>
      <c r="D2" s="252" t="n">
        <v>8</v>
      </c>
      <c r="E2" s="252" t="n">
        <v>9</v>
      </c>
      <c r="F2" s="252" t="n">
        <v>10</v>
      </c>
      <c r="G2" s="252" t="n">
        <v>11</v>
      </c>
      <c r="H2" s="252" t="n">
        <v>12</v>
      </c>
      <c r="I2" s="252" t="n">
        <v>13</v>
      </c>
      <c r="J2" s="252" t="n">
        <v>14</v>
      </c>
      <c r="K2" s="252" t="n">
        <v>15</v>
      </c>
      <c r="L2" s="252" t="n">
        <v>16</v>
      </c>
      <c r="M2" s="252" t="n">
        <v>17</v>
      </c>
      <c r="N2" s="252" t="n">
        <v>18</v>
      </c>
      <c r="O2" s="252" t="n">
        <v>19</v>
      </c>
      <c r="P2" s="252" t="n">
        <v>20</v>
      </c>
      <c r="Q2" s="252" t="n">
        <v>21</v>
      </c>
      <c r="R2" s="252" t="n">
        <v>22</v>
      </c>
      <c r="S2" s="251" t="n">
        <v>23</v>
      </c>
      <c r="T2" s="251" t="n">
        <v>24</v>
      </c>
      <c r="U2" s="251" t="n">
        <v>25</v>
      </c>
      <c r="V2" s="251" t="n">
        <v>26</v>
      </c>
      <c r="W2" s="251" t="n">
        <v>27</v>
      </c>
      <c r="X2" s="251" t="n">
        <v>28</v>
      </c>
      <c r="Y2" s="251" t="n">
        <v>29</v>
      </c>
      <c r="Z2" s="251" t="n">
        <v>30</v>
      </c>
      <c r="AA2" s="251" t="n">
        <v>31</v>
      </c>
      <c r="AB2" s="251" t="n">
        <v>32</v>
      </c>
      <c r="AC2" s="251" t="n">
        <v>33</v>
      </c>
      <c r="AD2" s="251" t="n">
        <v>34</v>
      </c>
      <c r="AE2" s="253" t="n"/>
      <c r="AF2" s="253" t="n"/>
      <c r="AG2" s="143" t="inlineStr">
        <is>
          <t>i (yardımcı)</t>
        </is>
      </c>
      <c r="AH2" s="253" t="n"/>
      <c r="AI2" s="253" t="n"/>
      <c r="AJ2" s="253" t="n"/>
      <c r="AK2" s="253" t="n"/>
      <c r="AL2" s="253" t="n"/>
      <c r="AM2" s="253" t="n"/>
      <c r="AN2" s="253" t="n"/>
    </row>
    <row r="3" ht="15" customHeight="1" s="138">
      <c r="A3" s="255" t="n">
        <v>1</v>
      </c>
      <c r="B3" s="263">
        <f>$A3 - SUMPRODUCT(($AG$3:$AG$31&lt;$A3)*(($AG$3:$AG$31/$A3)^B$2))</f>
        <v/>
      </c>
      <c r="C3" s="263">
        <f>$A3 - SUMPRODUCT(($AG$3:$AG$31&lt;$A3)*(($AG$3:$AG$31/$A3)^C$2))</f>
        <v/>
      </c>
      <c r="D3" s="263">
        <f>$A3 - SUMPRODUCT(($AG$3:$AG$31&lt;$A3)*(($AG$3:$AG$31/$A3)^D$2))</f>
        <v/>
      </c>
      <c r="E3" s="263">
        <f>$A3 - SUMPRODUCT(($AG$3:$AG$31&lt;$A3)*(($AG$3:$AG$31/$A3)^E$2))</f>
        <v/>
      </c>
      <c r="F3" s="263">
        <f>$A3 - SUMPRODUCT(($AG$3:$AG$31&lt;$A3)*(($AG$3:$AG$31/$A3)^F$2))</f>
        <v/>
      </c>
      <c r="G3" s="263">
        <f>$A3 - SUMPRODUCT(($AG$3:$AG$31&lt;$A3)*(($AG$3:$AG$31/$A3)^G$2))</f>
        <v/>
      </c>
      <c r="H3" s="263">
        <f>$A3 - SUMPRODUCT(($AG$3:$AG$31&lt;$A3)*(($AG$3:$AG$31/$A3)^H$2))</f>
        <v/>
      </c>
      <c r="I3" s="263">
        <f>$A3 - SUMPRODUCT(($AG$3:$AG$31&lt;$A3)*(($AG$3:$AG$31/$A3)^I$2))</f>
        <v/>
      </c>
      <c r="J3" s="263">
        <f>$A3 - SUMPRODUCT(($AG$3:$AG$31&lt;$A3)*(($AG$3:$AG$31/$A3)^J$2))</f>
        <v/>
      </c>
      <c r="K3" s="263">
        <f>$A3 - SUMPRODUCT(($AG$3:$AG$31&lt;$A3)*(($AG$3:$AG$31/$A3)^K$2))</f>
        <v/>
      </c>
      <c r="L3" s="263">
        <f>$A3 - SUMPRODUCT(($AG$3:$AG$31&lt;$A3)*(($AG$3:$AG$31/$A3)^L$2))</f>
        <v/>
      </c>
      <c r="M3" s="263">
        <f>$A3 - SUMPRODUCT(($AG$3:$AG$31&lt;$A3)*(($AG$3:$AG$31/$A3)^M$2))</f>
        <v/>
      </c>
      <c r="N3" s="263">
        <f>$A3 - SUMPRODUCT(($AG$3:$AG$31&lt;$A3)*(($AG$3:$AG$31/$A3)^N$2))</f>
        <v/>
      </c>
      <c r="O3" s="263">
        <f>$A3 - SUMPRODUCT(($AG$3:$AG$31&lt;$A3)*(($AG$3:$AG$31/$A3)^O$2))</f>
        <v/>
      </c>
      <c r="P3" s="263">
        <f>$A3 - SUMPRODUCT(($AG$3:$AG$31&lt;$A3)*(($AG$3:$AG$31/$A3)^P$2))</f>
        <v/>
      </c>
      <c r="Q3" s="263">
        <f>$A3 - SUMPRODUCT(($AG$3:$AG$31&lt;$A3)*(($AG$3:$AG$31/$A3)^Q$2))</f>
        <v/>
      </c>
      <c r="R3" s="263">
        <f>$A3 - SUMPRODUCT(($AG$3:$AG$31&lt;$A3)*(($AG$3:$AG$31/$A3)^R$2))</f>
        <v/>
      </c>
      <c r="S3" s="264">
        <f>$A3 - SUMPRODUCT(($AG$3:$AG$31&lt;$A3)*(($AG$3:$AG$31/$A3)^S$2))</f>
        <v/>
      </c>
      <c r="T3" s="264">
        <f>$A3 - SUMPRODUCT(($AG$3:$AG$31&lt;$A3)*(($AG$3:$AG$31/$A3)^T$2))</f>
        <v/>
      </c>
      <c r="U3" s="264">
        <f>$A3 - SUMPRODUCT(($AG$3:$AG$31&lt;$A3)*(($AG$3:$AG$31/$A3)^U$2))</f>
        <v/>
      </c>
      <c r="V3" s="264">
        <f>$A3 - SUMPRODUCT(($AG$3:$AG$31&lt;$A3)*(($AG$3:$AG$31/$A3)^V$2))</f>
        <v/>
      </c>
      <c r="W3" s="264">
        <f>$A3 - SUMPRODUCT(($AG$3:$AG$31&lt;$A3)*(($AG$3:$AG$31/$A3)^W$2))</f>
        <v/>
      </c>
      <c r="X3" s="264">
        <f>$A3 - SUMPRODUCT(($AG$3:$AG$31&lt;$A3)*(($AG$3:$AG$31/$A3)^X$2))</f>
        <v/>
      </c>
      <c r="Y3" s="264">
        <f>$A3 - SUMPRODUCT(($AG$3:$AG$31&lt;$A3)*(($AG$3:$AG$31/$A3)^Y$2))</f>
        <v/>
      </c>
      <c r="Z3" s="264">
        <f>$A3 - SUMPRODUCT(($AG$3:$AG$31&lt;$A3)*(($AG$3:$AG$31/$A3)^Z$2))</f>
        <v/>
      </c>
      <c r="AA3" s="264">
        <f>$A3 - SUMPRODUCT(($AG$3:$AG$31&lt;$A3)*(($AG$3:$AG$31/$A3)^AA$2))</f>
        <v/>
      </c>
      <c r="AB3" s="264">
        <f>$A3 - SUMPRODUCT(($AG$3:$AG$31&lt;$A3)*(($AG$3:$AG$31/$A3)^AB$2))</f>
        <v/>
      </c>
      <c r="AC3" s="264">
        <f>$A3 - SUMPRODUCT(($AG$3:$AG$31&lt;$A3)*(($AG$3:$AG$31/$A3)^AC$2))</f>
        <v/>
      </c>
      <c r="AD3" s="264">
        <f>$A3 - SUMPRODUCT(($AG$3:$AG$31&lt;$A3)*(($AG$3:$AG$31/$A3)^AD$2))</f>
        <v/>
      </c>
      <c r="AE3" s="253" t="n"/>
      <c r="AF3" s="253" t="n"/>
      <c r="AG3" s="253" t="n">
        <v>1</v>
      </c>
      <c r="AH3" s="253" t="n"/>
      <c r="AI3" s="253" t="n"/>
      <c r="AJ3" s="253" t="n"/>
      <c r="AK3" s="253" t="n"/>
      <c r="AL3" s="253" t="n"/>
      <c r="AM3" s="253" t="n"/>
      <c r="AN3" s="253" t="n"/>
    </row>
    <row r="4" ht="15" customHeight="1" s="138">
      <c r="A4" s="255" t="n">
        <v>2</v>
      </c>
      <c r="B4" s="263">
        <f>$A4 - SUMPRODUCT(($AG$3:$AG$31&lt;$A4)*(($AG$3:$AG$31/$A4)^B$2))</f>
        <v/>
      </c>
      <c r="C4" s="263">
        <f>$A4 - SUMPRODUCT(($AG$3:$AG$31&lt;$A4)*(($AG$3:$AG$31/$A4)^C$2))</f>
        <v/>
      </c>
      <c r="D4" s="263">
        <f>$A4 - SUMPRODUCT(($AG$3:$AG$31&lt;$A4)*(($AG$3:$AG$31/$A4)^D$2))</f>
        <v/>
      </c>
      <c r="E4" s="263">
        <f>$A4 - SUMPRODUCT(($AG$3:$AG$31&lt;$A4)*(($AG$3:$AG$31/$A4)^E$2))</f>
        <v/>
      </c>
      <c r="F4" s="263">
        <f>$A4 - SUMPRODUCT(($AG$3:$AG$31&lt;$A4)*(($AG$3:$AG$31/$A4)^F$2))</f>
        <v/>
      </c>
      <c r="G4" s="263">
        <f>$A4 - SUMPRODUCT(($AG$3:$AG$31&lt;$A4)*(($AG$3:$AG$31/$A4)^G$2))</f>
        <v/>
      </c>
      <c r="H4" s="263">
        <f>$A4 - SUMPRODUCT(($AG$3:$AG$31&lt;$A4)*(($AG$3:$AG$31/$A4)^H$2))</f>
        <v/>
      </c>
      <c r="I4" s="263">
        <f>$A4 - SUMPRODUCT(($AG$3:$AG$31&lt;$A4)*(($AG$3:$AG$31/$A4)^I$2))</f>
        <v/>
      </c>
      <c r="J4" s="263">
        <f>$A4 - SUMPRODUCT(($AG$3:$AG$31&lt;$A4)*(($AG$3:$AG$31/$A4)^J$2))</f>
        <v/>
      </c>
      <c r="K4" s="263">
        <f>$A4 - SUMPRODUCT(($AG$3:$AG$31&lt;$A4)*(($AG$3:$AG$31/$A4)^K$2))</f>
        <v/>
      </c>
      <c r="L4" s="263">
        <f>$A4 - SUMPRODUCT(($AG$3:$AG$31&lt;$A4)*(($AG$3:$AG$31/$A4)^L$2))</f>
        <v/>
      </c>
      <c r="M4" s="263">
        <f>$A4 - SUMPRODUCT(($AG$3:$AG$31&lt;$A4)*(($AG$3:$AG$31/$A4)^M$2))</f>
        <v/>
      </c>
      <c r="N4" s="263">
        <f>$A4 - SUMPRODUCT(($AG$3:$AG$31&lt;$A4)*(($AG$3:$AG$31/$A4)^N$2))</f>
        <v/>
      </c>
      <c r="O4" s="263">
        <f>$A4 - SUMPRODUCT(($AG$3:$AG$31&lt;$A4)*(($AG$3:$AG$31/$A4)^O$2))</f>
        <v/>
      </c>
      <c r="P4" s="263">
        <f>$A4 - SUMPRODUCT(($AG$3:$AG$31&lt;$A4)*(($AG$3:$AG$31/$A4)^P$2))</f>
        <v/>
      </c>
      <c r="Q4" s="263">
        <f>$A4 - SUMPRODUCT(($AG$3:$AG$31&lt;$A4)*(($AG$3:$AG$31/$A4)^Q$2))</f>
        <v/>
      </c>
      <c r="R4" s="263">
        <f>$A4 - SUMPRODUCT(($AG$3:$AG$31&lt;$A4)*(($AG$3:$AG$31/$A4)^R$2))</f>
        <v/>
      </c>
      <c r="S4" s="264">
        <f>$A4 - SUMPRODUCT(($AG$3:$AG$31&lt;$A4)*(($AG$3:$AG$31/$A4)^S$2))</f>
        <v/>
      </c>
      <c r="T4" s="264">
        <f>$A4 - SUMPRODUCT(($AG$3:$AG$31&lt;$A4)*(($AG$3:$AG$31/$A4)^T$2))</f>
        <v/>
      </c>
      <c r="U4" s="264">
        <f>$A4 - SUMPRODUCT(($AG$3:$AG$31&lt;$A4)*(($AG$3:$AG$31/$A4)^U$2))</f>
        <v/>
      </c>
      <c r="V4" s="264">
        <f>$A4 - SUMPRODUCT(($AG$3:$AG$31&lt;$A4)*(($AG$3:$AG$31/$A4)^V$2))</f>
        <v/>
      </c>
      <c r="W4" s="264">
        <f>$A4 - SUMPRODUCT(($AG$3:$AG$31&lt;$A4)*(($AG$3:$AG$31/$A4)^W$2))</f>
        <v/>
      </c>
      <c r="X4" s="264">
        <f>$A4 - SUMPRODUCT(($AG$3:$AG$31&lt;$A4)*(($AG$3:$AG$31/$A4)^X$2))</f>
        <v/>
      </c>
      <c r="Y4" s="264">
        <f>$A4 - SUMPRODUCT(($AG$3:$AG$31&lt;$A4)*(($AG$3:$AG$31/$A4)^Y$2))</f>
        <v/>
      </c>
      <c r="Z4" s="264">
        <f>$A4 - SUMPRODUCT(($AG$3:$AG$31&lt;$A4)*(($AG$3:$AG$31/$A4)^Z$2))</f>
        <v/>
      </c>
      <c r="AA4" s="264">
        <f>$A4 - SUMPRODUCT(($AG$3:$AG$31&lt;$A4)*(($AG$3:$AG$31/$A4)^AA$2))</f>
        <v/>
      </c>
      <c r="AB4" s="264">
        <f>$A4 - SUMPRODUCT(($AG$3:$AG$31&lt;$A4)*(($AG$3:$AG$31/$A4)^AB$2))</f>
        <v/>
      </c>
      <c r="AC4" s="264">
        <f>$A4 - SUMPRODUCT(($AG$3:$AG$31&lt;$A4)*(($AG$3:$AG$31/$A4)^AC$2))</f>
        <v/>
      </c>
      <c r="AD4" s="264">
        <f>$A4 - SUMPRODUCT(($AG$3:$AG$31&lt;$A4)*(($AG$3:$AG$31/$A4)^AD$2))</f>
        <v/>
      </c>
      <c r="AE4" s="253" t="n"/>
      <c r="AF4" s="253" t="n"/>
      <c r="AG4" s="253" t="n">
        <v>2</v>
      </c>
      <c r="AH4" s="253" t="n"/>
      <c r="AI4" s="253" t="n"/>
      <c r="AJ4" s="253" t="n"/>
      <c r="AK4" s="253" t="n"/>
      <c r="AL4" s="253" t="n"/>
      <c r="AM4" s="253" t="n"/>
      <c r="AN4" s="253" t="n"/>
    </row>
    <row r="5" ht="15" customHeight="1" s="138">
      <c r="A5" s="255" t="n">
        <v>3</v>
      </c>
      <c r="B5" s="263">
        <f>$A5 - SUMPRODUCT(($AG$3:$AG$31&lt;$A5)*(($AG$3:$AG$31/$A5)^B$2))</f>
        <v/>
      </c>
      <c r="C5" s="263">
        <f>$A5 - SUMPRODUCT(($AG$3:$AG$31&lt;$A5)*(($AG$3:$AG$31/$A5)^C$2))</f>
        <v/>
      </c>
      <c r="D5" s="263">
        <f>$A5 - SUMPRODUCT(($AG$3:$AG$31&lt;$A5)*(($AG$3:$AG$31/$A5)^D$2))</f>
        <v/>
      </c>
      <c r="E5" s="263">
        <f>$A5 - SUMPRODUCT(($AG$3:$AG$31&lt;$A5)*(($AG$3:$AG$31/$A5)^E$2))</f>
        <v/>
      </c>
      <c r="F5" s="263">
        <f>$A5 - SUMPRODUCT(($AG$3:$AG$31&lt;$A5)*(($AG$3:$AG$31/$A5)^F$2))</f>
        <v/>
      </c>
      <c r="G5" s="263">
        <f>$A5 - SUMPRODUCT(($AG$3:$AG$31&lt;$A5)*(($AG$3:$AG$31/$A5)^G$2))</f>
        <v/>
      </c>
      <c r="H5" s="263">
        <f>$A5 - SUMPRODUCT(($AG$3:$AG$31&lt;$A5)*(($AG$3:$AG$31/$A5)^H$2))</f>
        <v/>
      </c>
      <c r="I5" s="263">
        <f>$A5 - SUMPRODUCT(($AG$3:$AG$31&lt;$A5)*(($AG$3:$AG$31/$A5)^I$2))</f>
        <v/>
      </c>
      <c r="J5" s="263">
        <f>$A5 - SUMPRODUCT(($AG$3:$AG$31&lt;$A5)*(($AG$3:$AG$31/$A5)^J$2))</f>
        <v/>
      </c>
      <c r="K5" s="263">
        <f>$A5 - SUMPRODUCT(($AG$3:$AG$31&lt;$A5)*(($AG$3:$AG$31/$A5)^K$2))</f>
        <v/>
      </c>
      <c r="L5" s="263">
        <f>$A5 - SUMPRODUCT(($AG$3:$AG$31&lt;$A5)*(($AG$3:$AG$31/$A5)^L$2))</f>
        <v/>
      </c>
      <c r="M5" s="263">
        <f>$A5 - SUMPRODUCT(($AG$3:$AG$31&lt;$A5)*(($AG$3:$AG$31/$A5)^M$2))</f>
        <v/>
      </c>
      <c r="N5" s="263">
        <f>$A5 - SUMPRODUCT(($AG$3:$AG$31&lt;$A5)*(($AG$3:$AG$31/$A5)^N$2))</f>
        <v/>
      </c>
      <c r="O5" s="263">
        <f>$A5 - SUMPRODUCT(($AG$3:$AG$31&lt;$A5)*(($AG$3:$AG$31/$A5)^O$2))</f>
        <v/>
      </c>
      <c r="P5" s="263">
        <f>$A5 - SUMPRODUCT(($AG$3:$AG$31&lt;$A5)*(($AG$3:$AG$31/$A5)^P$2))</f>
        <v/>
      </c>
      <c r="Q5" s="263">
        <f>$A5 - SUMPRODUCT(($AG$3:$AG$31&lt;$A5)*(($AG$3:$AG$31/$A5)^Q$2))</f>
        <v/>
      </c>
      <c r="R5" s="263">
        <f>$A5 - SUMPRODUCT(($AG$3:$AG$31&lt;$A5)*(($AG$3:$AG$31/$A5)^R$2))</f>
        <v/>
      </c>
      <c r="S5" s="264">
        <f>$A5 - SUMPRODUCT(($AG$3:$AG$31&lt;$A5)*(($AG$3:$AG$31/$A5)^S$2))</f>
        <v/>
      </c>
      <c r="T5" s="264">
        <f>$A5 - SUMPRODUCT(($AG$3:$AG$31&lt;$A5)*(($AG$3:$AG$31/$A5)^T$2))</f>
        <v/>
      </c>
      <c r="U5" s="264">
        <f>$A5 - SUMPRODUCT(($AG$3:$AG$31&lt;$A5)*(($AG$3:$AG$31/$A5)^U$2))</f>
        <v/>
      </c>
      <c r="V5" s="264">
        <f>$A5 - SUMPRODUCT(($AG$3:$AG$31&lt;$A5)*(($AG$3:$AG$31/$A5)^V$2))</f>
        <v/>
      </c>
      <c r="W5" s="264">
        <f>$A5 - SUMPRODUCT(($AG$3:$AG$31&lt;$A5)*(($AG$3:$AG$31/$A5)^W$2))</f>
        <v/>
      </c>
      <c r="X5" s="264">
        <f>$A5 - SUMPRODUCT(($AG$3:$AG$31&lt;$A5)*(($AG$3:$AG$31/$A5)^X$2))</f>
        <v/>
      </c>
      <c r="Y5" s="264">
        <f>$A5 - SUMPRODUCT(($AG$3:$AG$31&lt;$A5)*(($AG$3:$AG$31/$A5)^Y$2))</f>
        <v/>
      </c>
      <c r="Z5" s="264">
        <f>$A5 - SUMPRODUCT(($AG$3:$AG$31&lt;$A5)*(($AG$3:$AG$31/$A5)^Z$2))</f>
        <v/>
      </c>
      <c r="AA5" s="264">
        <f>$A5 - SUMPRODUCT(($AG$3:$AG$31&lt;$A5)*(($AG$3:$AG$31/$A5)^AA$2))</f>
        <v/>
      </c>
      <c r="AB5" s="264">
        <f>$A5 - SUMPRODUCT(($AG$3:$AG$31&lt;$A5)*(($AG$3:$AG$31/$A5)^AB$2))</f>
        <v/>
      </c>
      <c r="AC5" s="264">
        <f>$A5 - SUMPRODUCT(($AG$3:$AG$31&lt;$A5)*(($AG$3:$AG$31/$A5)^AC$2))</f>
        <v/>
      </c>
      <c r="AD5" s="264">
        <f>$A5 - SUMPRODUCT(($AG$3:$AG$31&lt;$A5)*(($AG$3:$AG$31/$A5)^AD$2))</f>
        <v/>
      </c>
      <c r="AE5" s="253" t="n"/>
      <c r="AF5" s="253" t="n"/>
      <c r="AG5" s="253" t="n">
        <v>3</v>
      </c>
      <c r="AH5" s="253" t="n"/>
      <c r="AI5" s="253" t="n"/>
      <c r="AJ5" s="253" t="n"/>
      <c r="AK5" s="253" t="n"/>
      <c r="AL5" s="253" t="n"/>
      <c r="AM5" s="253" t="n"/>
      <c r="AN5" s="253" t="n"/>
    </row>
    <row r="6" ht="15" customHeight="1" s="138">
      <c r="A6" s="255" t="n">
        <v>4</v>
      </c>
      <c r="B6" s="263">
        <f>$A6 - SUMPRODUCT(($AG$3:$AG$31&lt;$A6)*(($AG$3:$AG$31/$A6)^B$2))</f>
        <v/>
      </c>
      <c r="C6" s="263">
        <f>$A6 - SUMPRODUCT(($AG$3:$AG$31&lt;$A6)*(($AG$3:$AG$31/$A6)^C$2))</f>
        <v/>
      </c>
      <c r="D6" s="263">
        <f>$A6 - SUMPRODUCT(($AG$3:$AG$31&lt;$A6)*(($AG$3:$AG$31/$A6)^D$2))</f>
        <v/>
      </c>
      <c r="E6" s="263">
        <f>$A6 - SUMPRODUCT(($AG$3:$AG$31&lt;$A6)*(($AG$3:$AG$31/$A6)^E$2))</f>
        <v/>
      </c>
      <c r="F6" s="263">
        <f>$A6 - SUMPRODUCT(($AG$3:$AG$31&lt;$A6)*(($AG$3:$AG$31/$A6)^F$2))</f>
        <v/>
      </c>
      <c r="G6" s="263">
        <f>$A6 - SUMPRODUCT(($AG$3:$AG$31&lt;$A6)*(($AG$3:$AG$31/$A6)^G$2))</f>
        <v/>
      </c>
      <c r="H6" s="263">
        <f>$A6 - SUMPRODUCT(($AG$3:$AG$31&lt;$A6)*(($AG$3:$AG$31/$A6)^H$2))</f>
        <v/>
      </c>
      <c r="I6" s="263">
        <f>$A6 - SUMPRODUCT(($AG$3:$AG$31&lt;$A6)*(($AG$3:$AG$31/$A6)^I$2))</f>
        <v/>
      </c>
      <c r="J6" s="263">
        <f>$A6 - SUMPRODUCT(($AG$3:$AG$31&lt;$A6)*(($AG$3:$AG$31/$A6)^J$2))</f>
        <v/>
      </c>
      <c r="K6" s="263">
        <f>$A6 - SUMPRODUCT(($AG$3:$AG$31&lt;$A6)*(($AG$3:$AG$31/$A6)^K$2))</f>
        <v/>
      </c>
      <c r="L6" s="263">
        <f>$A6 - SUMPRODUCT(($AG$3:$AG$31&lt;$A6)*(($AG$3:$AG$31/$A6)^L$2))</f>
        <v/>
      </c>
      <c r="M6" s="263">
        <f>$A6 - SUMPRODUCT(($AG$3:$AG$31&lt;$A6)*(($AG$3:$AG$31/$A6)^M$2))</f>
        <v/>
      </c>
      <c r="N6" s="263">
        <f>$A6 - SUMPRODUCT(($AG$3:$AG$31&lt;$A6)*(($AG$3:$AG$31/$A6)^N$2))</f>
        <v/>
      </c>
      <c r="O6" s="263">
        <f>$A6 - SUMPRODUCT(($AG$3:$AG$31&lt;$A6)*(($AG$3:$AG$31/$A6)^O$2))</f>
        <v/>
      </c>
      <c r="P6" s="263">
        <f>$A6 - SUMPRODUCT(($AG$3:$AG$31&lt;$A6)*(($AG$3:$AG$31/$A6)^P$2))</f>
        <v/>
      </c>
      <c r="Q6" s="263">
        <f>$A6 - SUMPRODUCT(($AG$3:$AG$31&lt;$A6)*(($AG$3:$AG$31/$A6)^Q$2))</f>
        <v/>
      </c>
      <c r="R6" s="263">
        <f>$A6 - SUMPRODUCT(($AG$3:$AG$31&lt;$A6)*(($AG$3:$AG$31/$A6)^R$2))</f>
        <v/>
      </c>
      <c r="S6" s="264">
        <f>$A6 - SUMPRODUCT(($AG$3:$AG$31&lt;$A6)*(($AG$3:$AG$31/$A6)^S$2))</f>
        <v/>
      </c>
      <c r="T6" s="264">
        <f>$A6 - SUMPRODUCT(($AG$3:$AG$31&lt;$A6)*(($AG$3:$AG$31/$A6)^T$2))</f>
        <v/>
      </c>
      <c r="U6" s="264">
        <f>$A6 - SUMPRODUCT(($AG$3:$AG$31&lt;$A6)*(($AG$3:$AG$31/$A6)^U$2))</f>
        <v/>
      </c>
      <c r="V6" s="264">
        <f>$A6 - SUMPRODUCT(($AG$3:$AG$31&lt;$A6)*(($AG$3:$AG$31/$A6)^V$2))</f>
        <v/>
      </c>
      <c r="W6" s="264">
        <f>$A6 - SUMPRODUCT(($AG$3:$AG$31&lt;$A6)*(($AG$3:$AG$31/$A6)^W$2))</f>
        <v/>
      </c>
      <c r="X6" s="264">
        <f>$A6 - SUMPRODUCT(($AG$3:$AG$31&lt;$A6)*(($AG$3:$AG$31/$A6)^X$2))</f>
        <v/>
      </c>
      <c r="Y6" s="264">
        <f>$A6 - SUMPRODUCT(($AG$3:$AG$31&lt;$A6)*(($AG$3:$AG$31/$A6)^Y$2))</f>
        <v/>
      </c>
      <c r="Z6" s="264">
        <f>$A6 - SUMPRODUCT(($AG$3:$AG$31&lt;$A6)*(($AG$3:$AG$31/$A6)^Z$2))</f>
        <v/>
      </c>
      <c r="AA6" s="264">
        <f>$A6 - SUMPRODUCT(($AG$3:$AG$31&lt;$A6)*(($AG$3:$AG$31/$A6)^AA$2))</f>
        <v/>
      </c>
      <c r="AB6" s="264">
        <f>$A6 - SUMPRODUCT(($AG$3:$AG$31&lt;$A6)*(($AG$3:$AG$31/$A6)^AB$2))</f>
        <v/>
      </c>
      <c r="AC6" s="264">
        <f>$A6 - SUMPRODUCT(($AG$3:$AG$31&lt;$A6)*(($AG$3:$AG$31/$A6)^AC$2))</f>
        <v/>
      </c>
      <c r="AD6" s="264">
        <f>$A6 - SUMPRODUCT(($AG$3:$AG$31&lt;$A6)*(($AG$3:$AG$31/$A6)^AD$2))</f>
        <v/>
      </c>
      <c r="AE6" s="253" t="n"/>
      <c r="AF6" s="253" t="n"/>
      <c r="AG6" s="253" t="n">
        <v>4</v>
      </c>
      <c r="AH6" s="253" t="n"/>
      <c r="AI6" s="253" t="n"/>
      <c r="AJ6" s="253" t="n"/>
      <c r="AK6" s="253" t="n"/>
      <c r="AL6" s="253" t="n"/>
      <c r="AM6" s="253" t="n"/>
      <c r="AN6" s="253" t="n"/>
    </row>
    <row r="7" ht="15" customHeight="1" s="138">
      <c r="A7" s="255" t="n">
        <v>5</v>
      </c>
      <c r="B7" s="263">
        <f>$A7 - SUMPRODUCT(($AG$3:$AG$31&lt;$A7)*(($AG$3:$AG$31/$A7)^B$2))</f>
        <v/>
      </c>
      <c r="C7" s="263">
        <f>$A7 - SUMPRODUCT(($AG$3:$AG$31&lt;$A7)*(($AG$3:$AG$31/$A7)^C$2))</f>
        <v/>
      </c>
      <c r="D7" s="263">
        <f>$A7 - SUMPRODUCT(($AG$3:$AG$31&lt;$A7)*(($AG$3:$AG$31/$A7)^D$2))</f>
        <v/>
      </c>
      <c r="E7" s="263">
        <f>$A7 - SUMPRODUCT(($AG$3:$AG$31&lt;$A7)*(($AG$3:$AG$31/$A7)^E$2))</f>
        <v/>
      </c>
      <c r="F7" s="263">
        <f>$A7 - SUMPRODUCT(($AG$3:$AG$31&lt;$A7)*(($AG$3:$AG$31/$A7)^F$2))</f>
        <v/>
      </c>
      <c r="G7" s="263">
        <f>$A7 - SUMPRODUCT(($AG$3:$AG$31&lt;$A7)*(($AG$3:$AG$31/$A7)^G$2))</f>
        <v/>
      </c>
      <c r="H7" s="263">
        <f>$A7 - SUMPRODUCT(($AG$3:$AG$31&lt;$A7)*(($AG$3:$AG$31/$A7)^H$2))</f>
        <v/>
      </c>
      <c r="I7" s="263">
        <f>$A7 - SUMPRODUCT(($AG$3:$AG$31&lt;$A7)*(($AG$3:$AG$31/$A7)^I$2))</f>
        <v/>
      </c>
      <c r="J7" s="263">
        <f>$A7 - SUMPRODUCT(($AG$3:$AG$31&lt;$A7)*(($AG$3:$AG$31/$A7)^J$2))</f>
        <v/>
      </c>
      <c r="K7" s="263">
        <f>$A7 - SUMPRODUCT(($AG$3:$AG$31&lt;$A7)*(($AG$3:$AG$31/$A7)^K$2))</f>
        <v/>
      </c>
      <c r="L7" s="263">
        <f>$A7 - SUMPRODUCT(($AG$3:$AG$31&lt;$A7)*(($AG$3:$AG$31/$A7)^L$2))</f>
        <v/>
      </c>
      <c r="M7" s="263">
        <f>$A7 - SUMPRODUCT(($AG$3:$AG$31&lt;$A7)*(($AG$3:$AG$31/$A7)^M$2))</f>
        <v/>
      </c>
      <c r="N7" s="263">
        <f>$A7 - SUMPRODUCT(($AG$3:$AG$31&lt;$A7)*(($AG$3:$AG$31/$A7)^N$2))</f>
        <v/>
      </c>
      <c r="O7" s="263">
        <f>$A7 - SUMPRODUCT(($AG$3:$AG$31&lt;$A7)*(($AG$3:$AG$31/$A7)^O$2))</f>
        <v/>
      </c>
      <c r="P7" s="263">
        <f>$A7 - SUMPRODUCT(($AG$3:$AG$31&lt;$A7)*(($AG$3:$AG$31/$A7)^P$2))</f>
        <v/>
      </c>
      <c r="Q7" s="263">
        <f>$A7 - SUMPRODUCT(($AG$3:$AG$31&lt;$A7)*(($AG$3:$AG$31/$A7)^Q$2))</f>
        <v/>
      </c>
      <c r="R7" s="263">
        <f>$A7 - SUMPRODUCT(($AG$3:$AG$31&lt;$A7)*(($AG$3:$AG$31/$A7)^R$2))</f>
        <v/>
      </c>
      <c r="S7" s="264">
        <f>$A7 - SUMPRODUCT(($AG$3:$AG$31&lt;$A7)*(($AG$3:$AG$31/$A7)^S$2))</f>
        <v/>
      </c>
      <c r="T7" s="264">
        <f>$A7 - SUMPRODUCT(($AG$3:$AG$31&lt;$A7)*(($AG$3:$AG$31/$A7)^T$2))</f>
        <v/>
      </c>
      <c r="U7" s="264">
        <f>$A7 - SUMPRODUCT(($AG$3:$AG$31&lt;$A7)*(($AG$3:$AG$31/$A7)^U$2))</f>
        <v/>
      </c>
      <c r="V7" s="264">
        <f>$A7 - SUMPRODUCT(($AG$3:$AG$31&lt;$A7)*(($AG$3:$AG$31/$A7)^V$2))</f>
        <v/>
      </c>
      <c r="W7" s="264">
        <f>$A7 - SUMPRODUCT(($AG$3:$AG$31&lt;$A7)*(($AG$3:$AG$31/$A7)^W$2))</f>
        <v/>
      </c>
      <c r="X7" s="264">
        <f>$A7 - SUMPRODUCT(($AG$3:$AG$31&lt;$A7)*(($AG$3:$AG$31/$A7)^X$2))</f>
        <v/>
      </c>
      <c r="Y7" s="264">
        <f>$A7 - SUMPRODUCT(($AG$3:$AG$31&lt;$A7)*(($AG$3:$AG$31/$A7)^Y$2))</f>
        <v/>
      </c>
      <c r="Z7" s="264">
        <f>$A7 - SUMPRODUCT(($AG$3:$AG$31&lt;$A7)*(($AG$3:$AG$31/$A7)^Z$2))</f>
        <v/>
      </c>
      <c r="AA7" s="264">
        <f>$A7 - SUMPRODUCT(($AG$3:$AG$31&lt;$A7)*(($AG$3:$AG$31/$A7)^AA$2))</f>
        <v/>
      </c>
      <c r="AB7" s="264">
        <f>$A7 - SUMPRODUCT(($AG$3:$AG$31&lt;$A7)*(($AG$3:$AG$31/$A7)^AB$2))</f>
        <v/>
      </c>
      <c r="AC7" s="264">
        <f>$A7 - SUMPRODUCT(($AG$3:$AG$31&lt;$A7)*(($AG$3:$AG$31/$A7)^AC$2))</f>
        <v/>
      </c>
      <c r="AD7" s="264">
        <f>$A7 - SUMPRODUCT(($AG$3:$AG$31&lt;$A7)*(($AG$3:$AG$31/$A7)^AD$2))</f>
        <v/>
      </c>
      <c r="AE7" s="253" t="n"/>
      <c r="AF7" s="253" t="n"/>
      <c r="AG7" s="253" t="n">
        <v>5</v>
      </c>
      <c r="AH7" s="253" t="n"/>
      <c r="AI7" s="253" t="n"/>
      <c r="AJ7" s="253" t="n"/>
      <c r="AK7" s="253" t="n"/>
      <c r="AL7" s="253" t="n"/>
      <c r="AM7" s="253" t="n"/>
      <c r="AN7" s="253" t="n"/>
    </row>
    <row r="8" ht="15" customHeight="1" s="138">
      <c r="A8" s="255" t="n">
        <v>6</v>
      </c>
      <c r="B8" s="263">
        <f>$A8 - SUMPRODUCT(($AG$3:$AG$31&lt;$A8)*(($AG$3:$AG$31/$A8)^B$2))</f>
        <v/>
      </c>
      <c r="C8" s="263">
        <f>$A8 - SUMPRODUCT(($AG$3:$AG$31&lt;$A8)*(($AG$3:$AG$31/$A8)^C$2))</f>
        <v/>
      </c>
      <c r="D8" s="263">
        <f>$A8 - SUMPRODUCT(($AG$3:$AG$31&lt;$A8)*(($AG$3:$AG$31/$A8)^D$2))</f>
        <v/>
      </c>
      <c r="E8" s="263">
        <f>$A8 - SUMPRODUCT(($AG$3:$AG$31&lt;$A8)*(($AG$3:$AG$31/$A8)^E$2))</f>
        <v/>
      </c>
      <c r="F8" s="263">
        <f>$A8 - SUMPRODUCT(($AG$3:$AG$31&lt;$A8)*(($AG$3:$AG$31/$A8)^F$2))</f>
        <v/>
      </c>
      <c r="G8" s="263">
        <f>$A8 - SUMPRODUCT(($AG$3:$AG$31&lt;$A8)*(($AG$3:$AG$31/$A8)^G$2))</f>
        <v/>
      </c>
      <c r="H8" s="263">
        <f>$A8 - SUMPRODUCT(($AG$3:$AG$31&lt;$A8)*(($AG$3:$AG$31/$A8)^H$2))</f>
        <v/>
      </c>
      <c r="I8" s="263">
        <f>$A8 - SUMPRODUCT(($AG$3:$AG$31&lt;$A8)*(($AG$3:$AG$31/$A8)^I$2))</f>
        <v/>
      </c>
      <c r="J8" s="263">
        <f>$A8 - SUMPRODUCT(($AG$3:$AG$31&lt;$A8)*(($AG$3:$AG$31/$A8)^J$2))</f>
        <v/>
      </c>
      <c r="K8" s="263">
        <f>$A8 - SUMPRODUCT(($AG$3:$AG$31&lt;$A8)*(($AG$3:$AG$31/$A8)^K$2))</f>
        <v/>
      </c>
      <c r="L8" s="263">
        <f>$A8 - SUMPRODUCT(($AG$3:$AG$31&lt;$A8)*(($AG$3:$AG$31/$A8)^L$2))</f>
        <v/>
      </c>
      <c r="M8" s="263">
        <f>$A8 - SUMPRODUCT(($AG$3:$AG$31&lt;$A8)*(($AG$3:$AG$31/$A8)^M$2))</f>
        <v/>
      </c>
      <c r="N8" s="263">
        <f>$A8 - SUMPRODUCT(($AG$3:$AG$31&lt;$A8)*(($AG$3:$AG$31/$A8)^N$2))</f>
        <v/>
      </c>
      <c r="O8" s="263">
        <f>$A8 - SUMPRODUCT(($AG$3:$AG$31&lt;$A8)*(($AG$3:$AG$31/$A8)^O$2))</f>
        <v/>
      </c>
      <c r="P8" s="263">
        <f>$A8 - SUMPRODUCT(($AG$3:$AG$31&lt;$A8)*(($AG$3:$AG$31/$A8)^P$2))</f>
        <v/>
      </c>
      <c r="Q8" s="263">
        <f>$A8 - SUMPRODUCT(($AG$3:$AG$31&lt;$A8)*(($AG$3:$AG$31/$A8)^Q$2))</f>
        <v/>
      </c>
      <c r="R8" s="263">
        <f>$A8 - SUMPRODUCT(($AG$3:$AG$31&lt;$A8)*(($AG$3:$AG$31/$A8)^R$2))</f>
        <v/>
      </c>
      <c r="S8" s="264">
        <f>$A8 - SUMPRODUCT(($AG$3:$AG$31&lt;$A8)*(($AG$3:$AG$31/$A8)^S$2))</f>
        <v/>
      </c>
      <c r="T8" s="264">
        <f>$A8 - SUMPRODUCT(($AG$3:$AG$31&lt;$A8)*(($AG$3:$AG$31/$A8)^T$2))</f>
        <v/>
      </c>
      <c r="U8" s="264">
        <f>$A8 - SUMPRODUCT(($AG$3:$AG$31&lt;$A8)*(($AG$3:$AG$31/$A8)^U$2))</f>
        <v/>
      </c>
      <c r="V8" s="264">
        <f>$A8 - SUMPRODUCT(($AG$3:$AG$31&lt;$A8)*(($AG$3:$AG$31/$A8)^V$2))</f>
        <v/>
      </c>
      <c r="W8" s="264">
        <f>$A8 - SUMPRODUCT(($AG$3:$AG$31&lt;$A8)*(($AG$3:$AG$31/$A8)^W$2))</f>
        <v/>
      </c>
      <c r="X8" s="264">
        <f>$A8 - SUMPRODUCT(($AG$3:$AG$31&lt;$A8)*(($AG$3:$AG$31/$A8)^X$2))</f>
        <v/>
      </c>
      <c r="Y8" s="264">
        <f>$A8 - SUMPRODUCT(($AG$3:$AG$31&lt;$A8)*(($AG$3:$AG$31/$A8)^Y$2))</f>
        <v/>
      </c>
      <c r="Z8" s="264">
        <f>$A8 - SUMPRODUCT(($AG$3:$AG$31&lt;$A8)*(($AG$3:$AG$31/$A8)^Z$2))</f>
        <v/>
      </c>
      <c r="AA8" s="264">
        <f>$A8 - SUMPRODUCT(($AG$3:$AG$31&lt;$A8)*(($AG$3:$AG$31/$A8)^AA$2))</f>
        <v/>
      </c>
      <c r="AB8" s="264">
        <f>$A8 - SUMPRODUCT(($AG$3:$AG$31&lt;$A8)*(($AG$3:$AG$31/$A8)^AB$2))</f>
        <v/>
      </c>
      <c r="AC8" s="264">
        <f>$A8 - SUMPRODUCT(($AG$3:$AG$31&lt;$A8)*(($AG$3:$AG$31/$A8)^AC$2))</f>
        <v/>
      </c>
      <c r="AD8" s="264">
        <f>$A8 - SUMPRODUCT(($AG$3:$AG$31&lt;$A8)*(($AG$3:$AG$31/$A8)^AD$2))</f>
        <v/>
      </c>
      <c r="AE8" s="253" t="n"/>
      <c r="AF8" s="253" t="n"/>
      <c r="AG8" s="253" t="n">
        <v>6</v>
      </c>
      <c r="AH8" s="253" t="n"/>
      <c r="AI8" s="253" t="n"/>
      <c r="AJ8" s="253" t="n"/>
      <c r="AK8" s="253" t="n"/>
      <c r="AL8" s="253" t="n"/>
      <c r="AM8" s="253" t="n"/>
      <c r="AN8" s="253" t="n"/>
    </row>
    <row r="9" ht="15" customHeight="1" s="138">
      <c r="A9" s="255" t="n">
        <v>7</v>
      </c>
      <c r="B9" s="263">
        <f>$A9 - SUMPRODUCT(($AG$3:$AG$31&lt;$A9)*(($AG$3:$AG$31/$A9)^B$2))</f>
        <v/>
      </c>
      <c r="C9" s="263">
        <f>$A9 - SUMPRODUCT(($AG$3:$AG$31&lt;$A9)*(($AG$3:$AG$31/$A9)^C$2))</f>
        <v/>
      </c>
      <c r="D9" s="263">
        <f>$A9 - SUMPRODUCT(($AG$3:$AG$31&lt;$A9)*(($AG$3:$AG$31/$A9)^D$2))</f>
        <v/>
      </c>
      <c r="E9" s="263">
        <f>$A9 - SUMPRODUCT(($AG$3:$AG$31&lt;$A9)*(($AG$3:$AG$31/$A9)^E$2))</f>
        <v/>
      </c>
      <c r="F9" s="263">
        <f>$A9 - SUMPRODUCT(($AG$3:$AG$31&lt;$A9)*(($AG$3:$AG$31/$A9)^F$2))</f>
        <v/>
      </c>
      <c r="G9" s="263">
        <f>$A9 - SUMPRODUCT(($AG$3:$AG$31&lt;$A9)*(($AG$3:$AG$31/$A9)^G$2))</f>
        <v/>
      </c>
      <c r="H9" s="263">
        <f>$A9 - SUMPRODUCT(($AG$3:$AG$31&lt;$A9)*(($AG$3:$AG$31/$A9)^H$2))</f>
        <v/>
      </c>
      <c r="I9" s="263">
        <f>$A9 - SUMPRODUCT(($AG$3:$AG$31&lt;$A9)*(($AG$3:$AG$31/$A9)^I$2))</f>
        <v/>
      </c>
      <c r="J9" s="263">
        <f>$A9 - SUMPRODUCT(($AG$3:$AG$31&lt;$A9)*(($AG$3:$AG$31/$A9)^J$2))</f>
        <v/>
      </c>
      <c r="K9" s="263">
        <f>$A9 - SUMPRODUCT(($AG$3:$AG$31&lt;$A9)*(($AG$3:$AG$31/$A9)^K$2))</f>
        <v/>
      </c>
      <c r="L9" s="263">
        <f>$A9 - SUMPRODUCT(($AG$3:$AG$31&lt;$A9)*(($AG$3:$AG$31/$A9)^L$2))</f>
        <v/>
      </c>
      <c r="M9" s="263">
        <f>$A9 - SUMPRODUCT(($AG$3:$AG$31&lt;$A9)*(($AG$3:$AG$31/$A9)^M$2))</f>
        <v/>
      </c>
      <c r="N9" s="263">
        <f>$A9 - SUMPRODUCT(($AG$3:$AG$31&lt;$A9)*(($AG$3:$AG$31/$A9)^N$2))</f>
        <v/>
      </c>
      <c r="O9" s="263">
        <f>$A9 - SUMPRODUCT(($AG$3:$AG$31&lt;$A9)*(($AG$3:$AG$31/$A9)^O$2))</f>
        <v/>
      </c>
      <c r="P9" s="263">
        <f>$A9 - SUMPRODUCT(($AG$3:$AG$31&lt;$A9)*(($AG$3:$AG$31/$A9)^P$2))</f>
        <v/>
      </c>
      <c r="Q9" s="263">
        <f>$A9 - SUMPRODUCT(($AG$3:$AG$31&lt;$A9)*(($AG$3:$AG$31/$A9)^Q$2))</f>
        <v/>
      </c>
      <c r="R9" s="263">
        <f>$A9 - SUMPRODUCT(($AG$3:$AG$31&lt;$A9)*(($AG$3:$AG$31/$A9)^R$2))</f>
        <v/>
      </c>
      <c r="S9" s="264">
        <f>$A9 - SUMPRODUCT(($AG$3:$AG$31&lt;$A9)*(($AG$3:$AG$31/$A9)^S$2))</f>
        <v/>
      </c>
      <c r="T9" s="264">
        <f>$A9 - SUMPRODUCT(($AG$3:$AG$31&lt;$A9)*(($AG$3:$AG$31/$A9)^T$2))</f>
        <v/>
      </c>
      <c r="U9" s="264">
        <f>$A9 - SUMPRODUCT(($AG$3:$AG$31&lt;$A9)*(($AG$3:$AG$31/$A9)^U$2))</f>
        <v/>
      </c>
      <c r="V9" s="264">
        <f>$A9 - SUMPRODUCT(($AG$3:$AG$31&lt;$A9)*(($AG$3:$AG$31/$A9)^V$2))</f>
        <v/>
      </c>
      <c r="W9" s="264">
        <f>$A9 - SUMPRODUCT(($AG$3:$AG$31&lt;$A9)*(($AG$3:$AG$31/$A9)^W$2))</f>
        <v/>
      </c>
      <c r="X9" s="264">
        <f>$A9 - SUMPRODUCT(($AG$3:$AG$31&lt;$A9)*(($AG$3:$AG$31/$A9)^X$2))</f>
        <v/>
      </c>
      <c r="Y9" s="264">
        <f>$A9 - SUMPRODUCT(($AG$3:$AG$31&lt;$A9)*(($AG$3:$AG$31/$A9)^Y$2))</f>
        <v/>
      </c>
      <c r="Z9" s="264">
        <f>$A9 - SUMPRODUCT(($AG$3:$AG$31&lt;$A9)*(($AG$3:$AG$31/$A9)^Z$2))</f>
        <v/>
      </c>
      <c r="AA9" s="264">
        <f>$A9 - SUMPRODUCT(($AG$3:$AG$31&lt;$A9)*(($AG$3:$AG$31/$A9)^AA$2))</f>
        <v/>
      </c>
      <c r="AB9" s="264">
        <f>$A9 - SUMPRODUCT(($AG$3:$AG$31&lt;$A9)*(($AG$3:$AG$31/$A9)^AB$2))</f>
        <v/>
      </c>
      <c r="AC9" s="264">
        <f>$A9 - SUMPRODUCT(($AG$3:$AG$31&lt;$A9)*(($AG$3:$AG$31/$A9)^AC$2))</f>
        <v/>
      </c>
      <c r="AD9" s="264">
        <f>$A9 - SUMPRODUCT(($AG$3:$AG$31&lt;$A9)*(($AG$3:$AG$31/$A9)^AD$2))</f>
        <v/>
      </c>
      <c r="AE9" s="253" t="n"/>
      <c r="AF9" s="253" t="n"/>
      <c r="AG9" s="253" t="n">
        <v>7</v>
      </c>
      <c r="AH9" s="253" t="n"/>
      <c r="AI9" s="253" t="n"/>
      <c r="AJ9" s="253" t="n"/>
      <c r="AK9" s="253" t="n"/>
      <c r="AL9" s="253" t="n"/>
      <c r="AM9" s="253" t="n"/>
      <c r="AN9" s="253" t="n"/>
    </row>
    <row r="10" ht="15" customHeight="1" s="138">
      <c r="A10" s="255" t="n">
        <v>8</v>
      </c>
      <c r="B10" s="263">
        <f>$A10 - SUMPRODUCT(($AG$3:$AG$31&lt;$A10)*(($AG$3:$AG$31/$A10)^B$2))</f>
        <v/>
      </c>
      <c r="C10" s="263">
        <f>$A10 - SUMPRODUCT(($AG$3:$AG$31&lt;$A10)*(($AG$3:$AG$31/$A10)^C$2))</f>
        <v/>
      </c>
      <c r="D10" s="263">
        <f>$A10 - SUMPRODUCT(($AG$3:$AG$31&lt;$A10)*(($AG$3:$AG$31/$A10)^D$2))</f>
        <v/>
      </c>
      <c r="E10" s="263">
        <f>$A10 - SUMPRODUCT(($AG$3:$AG$31&lt;$A10)*(($AG$3:$AG$31/$A10)^E$2))</f>
        <v/>
      </c>
      <c r="F10" s="263">
        <f>$A10 - SUMPRODUCT(($AG$3:$AG$31&lt;$A10)*(($AG$3:$AG$31/$A10)^F$2))</f>
        <v/>
      </c>
      <c r="G10" s="263">
        <f>$A10 - SUMPRODUCT(($AG$3:$AG$31&lt;$A10)*(($AG$3:$AG$31/$A10)^G$2))</f>
        <v/>
      </c>
      <c r="H10" s="263">
        <f>$A10 - SUMPRODUCT(($AG$3:$AG$31&lt;$A10)*(($AG$3:$AG$31/$A10)^H$2))</f>
        <v/>
      </c>
      <c r="I10" s="263">
        <f>$A10 - SUMPRODUCT(($AG$3:$AG$31&lt;$A10)*(($AG$3:$AG$31/$A10)^I$2))</f>
        <v/>
      </c>
      <c r="J10" s="263">
        <f>$A10 - SUMPRODUCT(($AG$3:$AG$31&lt;$A10)*(($AG$3:$AG$31/$A10)^J$2))</f>
        <v/>
      </c>
      <c r="K10" s="263">
        <f>$A10 - SUMPRODUCT(($AG$3:$AG$31&lt;$A10)*(($AG$3:$AG$31/$A10)^K$2))</f>
        <v/>
      </c>
      <c r="L10" s="263">
        <f>$A10 - SUMPRODUCT(($AG$3:$AG$31&lt;$A10)*(($AG$3:$AG$31/$A10)^L$2))</f>
        <v/>
      </c>
      <c r="M10" s="263">
        <f>$A10 - SUMPRODUCT(($AG$3:$AG$31&lt;$A10)*(($AG$3:$AG$31/$A10)^M$2))</f>
        <v/>
      </c>
      <c r="N10" s="263">
        <f>$A10 - SUMPRODUCT(($AG$3:$AG$31&lt;$A10)*(($AG$3:$AG$31/$A10)^N$2))</f>
        <v/>
      </c>
      <c r="O10" s="263">
        <f>$A10 - SUMPRODUCT(($AG$3:$AG$31&lt;$A10)*(($AG$3:$AG$31/$A10)^O$2))</f>
        <v/>
      </c>
      <c r="P10" s="263">
        <f>$A10 - SUMPRODUCT(($AG$3:$AG$31&lt;$A10)*(($AG$3:$AG$31/$A10)^P$2))</f>
        <v/>
      </c>
      <c r="Q10" s="263">
        <f>$A10 - SUMPRODUCT(($AG$3:$AG$31&lt;$A10)*(($AG$3:$AG$31/$A10)^Q$2))</f>
        <v/>
      </c>
      <c r="R10" s="263">
        <f>$A10 - SUMPRODUCT(($AG$3:$AG$31&lt;$A10)*(($AG$3:$AG$31/$A10)^R$2))</f>
        <v/>
      </c>
      <c r="S10" s="264">
        <f>$A10 - SUMPRODUCT(($AG$3:$AG$31&lt;$A10)*(($AG$3:$AG$31/$A10)^S$2))</f>
        <v/>
      </c>
      <c r="T10" s="264">
        <f>$A10 - SUMPRODUCT(($AG$3:$AG$31&lt;$A10)*(($AG$3:$AG$31/$A10)^T$2))</f>
        <v/>
      </c>
      <c r="U10" s="264">
        <f>$A10 - SUMPRODUCT(($AG$3:$AG$31&lt;$A10)*(($AG$3:$AG$31/$A10)^U$2))</f>
        <v/>
      </c>
      <c r="V10" s="264">
        <f>$A10 - SUMPRODUCT(($AG$3:$AG$31&lt;$A10)*(($AG$3:$AG$31/$A10)^V$2))</f>
        <v/>
      </c>
      <c r="W10" s="264">
        <f>$A10 - SUMPRODUCT(($AG$3:$AG$31&lt;$A10)*(($AG$3:$AG$31/$A10)^W$2))</f>
        <v/>
      </c>
      <c r="X10" s="264">
        <f>$A10 - SUMPRODUCT(($AG$3:$AG$31&lt;$A10)*(($AG$3:$AG$31/$A10)^X$2))</f>
        <v/>
      </c>
      <c r="Y10" s="264">
        <f>$A10 - SUMPRODUCT(($AG$3:$AG$31&lt;$A10)*(($AG$3:$AG$31/$A10)^Y$2))</f>
        <v/>
      </c>
      <c r="Z10" s="264">
        <f>$A10 - SUMPRODUCT(($AG$3:$AG$31&lt;$A10)*(($AG$3:$AG$31/$A10)^Z$2))</f>
        <v/>
      </c>
      <c r="AA10" s="264">
        <f>$A10 - SUMPRODUCT(($AG$3:$AG$31&lt;$A10)*(($AG$3:$AG$31/$A10)^AA$2))</f>
        <v/>
      </c>
      <c r="AB10" s="264">
        <f>$A10 - SUMPRODUCT(($AG$3:$AG$31&lt;$A10)*(($AG$3:$AG$31/$A10)^AB$2))</f>
        <v/>
      </c>
      <c r="AC10" s="264">
        <f>$A10 - SUMPRODUCT(($AG$3:$AG$31&lt;$A10)*(($AG$3:$AG$31/$A10)^AC$2))</f>
        <v/>
      </c>
      <c r="AD10" s="264">
        <f>$A10 - SUMPRODUCT(($AG$3:$AG$31&lt;$A10)*(($AG$3:$AG$31/$A10)^AD$2))</f>
        <v/>
      </c>
      <c r="AE10" s="253" t="n"/>
      <c r="AF10" s="253" t="n"/>
      <c r="AG10" s="253" t="n">
        <v>8</v>
      </c>
      <c r="AH10" s="253" t="n"/>
      <c r="AI10" s="253" t="n"/>
      <c r="AJ10" s="253" t="n"/>
      <c r="AK10" s="253" t="n"/>
      <c r="AL10" s="253" t="n"/>
      <c r="AM10" s="253" t="n"/>
      <c r="AN10" s="253" t="n"/>
    </row>
    <row r="11" ht="15" customHeight="1" s="138">
      <c r="A11" s="255" t="n">
        <v>9</v>
      </c>
      <c r="B11" s="263">
        <f>$A11 - SUMPRODUCT(($AG$3:$AG$31&lt;$A11)*(($AG$3:$AG$31/$A11)^B$2))</f>
        <v/>
      </c>
      <c r="C11" s="263">
        <f>$A11 - SUMPRODUCT(($AG$3:$AG$31&lt;$A11)*(($AG$3:$AG$31/$A11)^C$2))</f>
        <v/>
      </c>
      <c r="D11" s="263">
        <f>$A11 - SUMPRODUCT(($AG$3:$AG$31&lt;$A11)*(($AG$3:$AG$31/$A11)^D$2))</f>
        <v/>
      </c>
      <c r="E11" s="263">
        <f>$A11 - SUMPRODUCT(($AG$3:$AG$31&lt;$A11)*(($AG$3:$AG$31/$A11)^E$2))</f>
        <v/>
      </c>
      <c r="F11" s="263">
        <f>$A11 - SUMPRODUCT(($AG$3:$AG$31&lt;$A11)*(($AG$3:$AG$31/$A11)^F$2))</f>
        <v/>
      </c>
      <c r="G11" s="263">
        <f>$A11 - SUMPRODUCT(($AG$3:$AG$31&lt;$A11)*(($AG$3:$AG$31/$A11)^G$2))</f>
        <v/>
      </c>
      <c r="H11" s="263">
        <f>$A11 - SUMPRODUCT(($AG$3:$AG$31&lt;$A11)*(($AG$3:$AG$31/$A11)^H$2))</f>
        <v/>
      </c>
      <c r="I11" s="263">
        <f>$A11 - SUMPRODUCT(($AG$3:$AG$31&lt;$A11)*(($AG$3:$AG$31/$A11)^I$2))</f>
        <v/>
      </c>
      <c r="J11" s="263">
        <f>$A11 - SUMPRODUCT(($AG$3:$AG$31&lt;$A11)*(($AG$3:$AG$31/$A11)^J$2))</f>
        <v/>
      </c>
      <c r="K11" s="263">
        <f>$A11 - SUMPRODUCT(($AG$3:$AG$31&lt;$A11)*(($AG$3:$AG$31/$A11)^K$2))</f>
        <v/>
      </c>
      <c r="L11" s="263">
        <f>$A11 - SUMPRODUCT(($AG$3:$AG$31&lt;$A11)*(($AG$3:$AG$31/$A11)^L$2))</f>
        <v/>
      </c>
      <c r="M11" s="263">
        <f>$A11 - SUMPRODUCT(($AG$3:$AG$31&lt;$A11)*(($AG$3:$AG$31/$A11)^M$2))</f>
        <v/>
      </c>
      <c r="N11" s="263">
        <f>$A11 - SUMPRODUCT(($AG$3:$AG$31&lt;$A11)*(($AG$3:$AG$31/$A11)^N$2))</f>
        <v/>
      </c>
      <c r="O11" s="263">
        <f>$A11 - SUMPRODUCT(($AG$3:$AG$31&lt;$A11)*(($AG$3:$AG$31/$A11)^O$2))</f>
        <v/>
      </c>
      <c r="P11" s="263">
        <f>$A11 - SUMPRODUCT(($AG$3:$AG$31&lt;$A11)*(($AG$3:$AG$31/$A11)^P$2))</f>
        <v/>
      </c>
      <c r="Q11" s="263">
        <f>$A11 - SUMPRODUCT(($AG$3:$AG$31&lt;$A11)*(($AG$3:$AG$31/$A11)^Q$2))</f>
        <v/>
      </c>
      <c r="R11" s="263">
        <f>$A11 - SUMPRODUCT(($AG$3:$AG$31&lt;$A11)*(($AG$3:$AG$31/$A11)^R$2))</f>
        <v/>
      </c>
      <c r="S11" s="264">
        <f>$A11 - SUMPRODUCT(($AG$3:$AG$31&lt;$A11)*(($AG$3:$AG$31/$A11)^S$2))</f>
        <v/>
      </c>
      <c r="T11" s="264">
        <f>$A11 - SUMPRODUCT(($AG$3:$AG$31&lt;$A11)*(($AG$3:$AG$31/$A11)^T$2))</f>
        <v/>
      </c>
      <c r="U11" s="264">
        <f>$A11 - SUMPRODUCT(($AG$3:$AG$31&lt;$A11)*(($AG$3:$AG$31/$A11)^U$2))</f>
        <v/>
      </c>
      <c r="V11" s="264">
        <f>$A11 - SUMPRODUCT(($AG$3:$AG$31&lt;$A11)*(($AG$3:$AG$31/$A11)^V$2))</f>
        <v/>
      </c>
      <c r="W11" s="264">
        <f>$A11 - SUMPRODUCT(($AG$3:$AG$31&lt;$A11)*(($AG$3:$AG$31/$A11)^W$2))</f>
        <v/>
      </c>
      <c r="X11" s="264">
        <f>$A11 - SUMPRODUCT(($AG$3:$AG$31&lt;$A11)*(($AG$3:$AG$31/$A11)^X$2))</f>
        <v/>
      </c>
      <c r="Y11" s="264">
        <f>$A11 - SUMPRODUCT(($AG$3:$AG$31&lt;$A11)*(($AG$3:$AG$31/$A11)^Y$2))</f>
        <v/>
      </c>
      <c r="Z11" s="264">
        <f>$A11 - SUMPRODUCT(($AG$3:$AG$31&lt;$A11)*(($AG$3:$AG$31/$A11)^Z$2))</f>
        <v/>
      </c>
      <c r="AA11" s="264">
        <f>$A11 - SUMPRODUCT(($AG$3:$AG$31&lt;$A11)*(($AG$3:$AG$31/$A11)^AA$2))</f>
        <v/>
      </c>
      <c r="AB11" s="264">
        <f>$A11 - SUMPRODUCT(($AG$3:$AG$31&lt;$A11)*(($AG$3:$AG$31/$A11)^AB$2))</f>
        <v/>
      </c>
      <c r="AC11" s="264">
        <f>$A11 - SUMPRODUCT(($AG$3:$AG$31&lt;$A11)*(($AG$3:$AG$31/$A11)^AC$2))</f>
        <v/>
      </c>
      <c r="AD11" s="264">
        <f>$A11 - SUMPRODUCT(($AG$3:$AG$31&lt;$A11)*(($AG$3:$AG$31/$A11)^AD$2))</f>
        <v/>
      </c>
      <c r="AE11" s="253" t="n"/>
      <c r="AF11" s="253" t="n"/>
      <c r="AG11" s="253" t="n">
        <v>9</v>
      </c>
      <c r="AH11" s="253" t="n"/>
      <c r="AI11" s="253" t="n"/>
      <c r="AJ11" s="253" t="n"/>
      <c r="AK11" s="253" t="n"/>
      <c r="AL11" s="253" t="n"/>
      <c r="AM11" s="253" t="n"/>
      <c r="AN11" s="253" t="n"/>
    </row>
    <row r="12" ht="15" customHeight="1" s="138">
      <c r="A12" s="255" t="n">
        <v>10</v>
      </c>
      <c r="B12" s="263">
        <f>$A12 - SUMPRODUCT(($AG$3:$AG$31&lt;$A12)*(($AG$3:$AG$31/$A12)^B$2))</f>
        <v/>
      </c>
      <c r="C12" s="263">
        <f>$A12 - SUMPRODUCT(($AG$3:$AG$31&lt;$A12)*(($AG$3:$AG$31/$A12)^C$2))</f>
        <v/>
      </c>
      <c r="D12" s="263">
        <f>$A12 - SUMPRODUCT(($AG$3:$AG$31&lt;$A12)*(($AG$3:$AG$31/$A12)^D$2))</f>
        <v/>
      </c>
      <c r="E12" s="263">
        <f>$A12 - SUMPRODUCT(($AG$3:$AG$31&lt;$A12)*(($AG$3:$AG$31/$A12)^E$2))</f>
        <v/>
      </c>
      <c r="F12" s="263">
        <f>$A12 - SUMPRODUCT(($AG$3:$AG$31&lt;$A12)*(($AG$3:$AG$31/$A12)^F$2))</f>
        <v/>
      </c>
      <c r="G12" s="263">
        <f>$A12 - SUMPRODUCT(($AG$3:$AG$31&lt;$A12)*(($AG$3:$AG$31/$A12)^G$2))</f>
        <v/>
      </c>
      <c r="H12" s="263">
        <f>$A12 - SUMPRODUCT(($AG$3:$AG$31&lt;$A12)*(($AG$3:$AG$31/$A12)^H$2))</f>
        <v/>
      </c>
      <c r="I12" s="263">
        <f>$A12 - SUMPRODUCT(($AG$3:$AG$31&lt;$A12)*(($AG$3:$AG$31/$A12)^I$2))</f>
        <v/>
      </c>
      <c r="J12" s="263">
        <f>$A12 - SUMPRODUCT(($AG$3:$AG$31&lt;$A12)*(($AG$3:$AG$31/$A12)^J$2))</f>
        <v/>
      </c>
      <c r="K12" s="263">
        <f>$A12 - SUMPRODUCT(($AG$3:$AG$31&lt;$A12)*(($AG$3:$AG$31/$A12)^K$2))</f>
        <v/>
      </c>
      <c r="L12" s="263">
        <f>$A12 - SUMPRODUCT(($AG$3:$AG$31&lt;$A12)*(($AG$3:$AG$31/$A12)^L$2))</f>
        <v/>
      </c>
      <c r="M12" s="263">
        <f>$A12 - SUMPRODUCT(($AG$3:$AG$31&lt;$A12)*(($AG$3:$AG$31/$A12)^M$2))</f>
        <v/>
      </c>
      <c r="N12" s="263">
        <f>$A12 - SUMPRODUCT(($AG$3:$AG$31&lt;$A12)*(($AG$3:$AG$31/$A12)^N$2))</f>
        <v/>
      </c>
      <c r="O12" s="263">
        <f>$A12 - SUMPRODUCT(($AG$3:$AG$31&lt;$A12)*(($AG$3:$AG$31/$A12)^O$2))</f>
        <v/>
      </c>
      <c r="P12" s="263">
        <f>$A12 - SUMPRODUCT(($AG$3:$AG$31&lt;$A12)*(($AG$3:$AG$31/$A12)^P$2))</f>
        <v/>
      </c>
      <c r="Q12" s="263">
        <f>$A12 - SUMPRODUCT(($AG$3:$AG$31&lt;$A12)*(($AG$3:$AG$31/$A12)^Q$2))</f>
        <v/>
      </c>
      <c r="R12" s="263">
        <f>$A12 - SUMPRODUCT(($AG$3:$AG$31&lt;$A12)*(($AG$3:$AG$31/$A12)^R$2))</f>
        <v/>
      </c>
      <c r="S12" s="264">
        <f>$A12 - SUMPRODUCT(($AG$3:$AG$31&lt;$A12)*(($AG$3:$AG$31/$A12)^S$2))</f>
        <v/>
      </c>
      <c r="T12" s="264">
        <f>$A12 - SUMPRODUCT(($AG$3:$AG$31&lt;$A12)*(($AG$3:$AG$31/$A12)^T$2))</f>
        <v/>
      </c>
      <c r="U12" s="264">
        <f>$A12 - SUMPRODUCT(($AG$3:$AG$31&lt;$A12)*(($AG$3:$AG$31/$A12)^U$2))</f>
        <v/>
      </c>
      <c r="V12" s="264">
        <f>$A12 - SUMPRODUCT(($AG$3:$AG$31&lt;$A12)*(($AG$3:$AG$31/$A12)^V$2))</f>
        <v/>
      </c>
      <c r="W12" s="264">
        <f>$A12 - SUMPRODUCT(($AG$3:$AG$31&lt;$A12)*(($AG$3:$AG$31/$A12)^W$2))</f>
        <v/>
      </c>
      <c r="X12" s="264">
        <f>$A12 - SUMPRODUCT(($AG$3:$AG$31&lt;$A12)*(($AG$3:$AG$31/$A12)^X$2))</f>
        <v/>
      </c>
      <c r="Y12" s="264">
        <f>$A12 - SUMPRODUCT(($AG$3:$AG$31&lt;$A12)*(($AG$3:$AG$31/$A12)^Y$2))</f>
        <v/>
      </c>
      <c r="Z12" s="264">
        <f>$A12 - SUMPRODUCT(($AG$3:$AG$31&lt;$A12)*(($AG$3:$AG$31/$A12)^Z$2))</f>
        <v/>
      </c>
      <c r="AA12" s="264">
        <f>$A12 - SUMPRODUCT(($AG$3:$AG$31&lt;$A12)*(($AG$3:$AG$31/$A12)^AA$2))</f>
        <v/>
      </c>
      <c r="AB12" s="264">
        <f>$A12 - SUMPRODUCT(($AG$3:$AG$31&lt;$A12)*(($AG$3:$AG$31/$A12)^AB$2))</f>
        <v/>
      </c>
      <c r="AC12" s="264">
        <f>$A12 - SUMPRODUCT(($AG$3:$AG$31&lt;$A12)*(($AG$3:$AG$31/$A12)^AC$2))</f>
        <v/>
      </c>
      <c r="AD12" s="264">
        <f>$A12 - SUMPRODUCT(($AG$3:$AG$31&lt;$A12)*(($AG$3:$AG$31/$A12)^AD$2))</f>
        <v/>
      </c>
      <c r="AE12" s="253" t="n"/>
      <c r="AF12" s="253" t="n"/>
      <c r="AG12" s="253" t="n">
        <v>10</v>
      </c>
      <c r="AH12" s="253" t="n"/>
      <c r="AI12" s="253" t="n"/>
      <c r="AJ12" s="253" t="n"/>
      <c r="AK12" s="253" t="n"/>
      <c r="AL12" s="253" t="n"/>
      <c r="AM12" s="253" t="n"/>
      <c r="AN12" s="253" t="n"/>
    </row>
    <row r="13" ht="15" customHeight="1" s="138">
      <c r="A13" s="255" t="n">
        <v>11</v>
      </c>
      <c r="B13" s="263">
        <f>$A13 - SUMPRODUCT(($AG$3:$AG$31&lt;$A13)*(($AG$3:$AG$31/$A13)^B$2))</f>
        <v/>
      </c>
      <c r="C13" s="263">
        <f>$A13 - SUMPRODUCT(($AG$3:$AG$31&lt;$A13)*(($AG$3:$AG$31/$A13)^C$2))</f>
        <v/>
      </c>
      <c r="D13" s="263">
        <f>$A13 - SUMPRODUCT(($AG$3:$AG$31&lt;$A13)*(($AG$3:$AG$31/$A13)^D$2))</f>
        <v/>
      </c>
      <c r="E13" s="263">
        <f>$A13 - SUMPRODUCT(($AG$3:$AG$31&lt;$A13)*(($AG$3:$AG$31/$A13)^E$2))</f>
        <v/>
      </c>
      <c r="F13" s="263">
        <f>$A13 - SUMPRODUCT(($AG$3:$AG$31&lt;$A13)*(($AG$3:$AG$31/$A13)^F$2))</f>
        <v/>
      </c>
      <c r="G13" s="263">
        <f>$A13 - SUMPRODUCT(($AG$3:$AG$31&lt;$A13)*(($AG$3:$AG$31/$A13)^G$2))</f>
        <v/>
      </c>
      <c r="H13" s="263">
        <f>$A13 - SUMPRODUCT(($AG$3:$AG$31&lt;$A13)*(($AG$3:$AG$31/$A13)^H$2))</f>
        <v/>
      </c>
      <c r="I13" s="263">
        <f>$A13 - SUMPRODUCT(($AG$3:$AG$31&lt;$A13)*(($AG$3:$AG$31/$A13)^I$2))</f>
        <v/>
      </c>
      <c r="J13" s="263">
        <f>$A13 - SUMPRODUCT(($AG$3:$AG$31&lt;$A13)*(($AG$3:$AG$31/$A13)^J$2))</f>
        <v/>
      </c>
      <c r="K13" s="263">
        <f>$A13 - SUMPRODUCT(($AG$3:$AG$31&lt;$A13)*(($AG$3:$AG$31/$A13)^K$2))</f>
        <v/>
      </c>
      <c r="L13" s="263">
        <f>$A13 - SUMPRODUCT(($AG$3:$AG$31&lt;$A13)*(($AG$3:$AG$31/$A13)^L$2))</f>
        <v/>
      </c>
      <c r="M13" s="263">
        <f>$A13 - SUMPRODUCT(($AG$3:$AG$31&lt;$A13)*(($AG$3:$AG$31/$A13)^M$2))</f>
        <v/>
      </c>
      <c r="N13" s="263">
        <f>$A13 - SUMPRODUCT(($AG$3:$AG$31&lt;$A13)*(($AG$3:$AG$31/$A13)^N$2))</f>
        <v/>
      </c>
      <c r="O13" s="263">
        <f>$A13 - SUMPRODUCT(($AG$3:$AG$31&lt;$A13)*(($AG$3:$AG$31/$A13)^O$2))</f>
        <v/>
      </c>
      <c r="P13" s="263">
        <f>$A13 - SUMPRODUCT(($AG$3:$AG$31&lt;$A13)*(($AG$3:$AG$31/$A13)^P$2))</f>
        <v/>
      </c>
      <c r="Q13" s="263">
        <f>$A13 - SUMPRODUCT(($AG$3:$AG$31&lt;$A13)*(($AG$3:$AG$31/$A13)^Q$2))</f>
        <v/>
      </c>
      <c r="R13" s="263">
        <f>$A13 - SUMPRODUCT(($AG$3:$AG$31&lt;$A13)*(($AG$3:$AG$31/$A13)^R$2))</f>
        <v/>
      </c>
      <c r="S13" s="264">
        <f>$A13 - SUMPRODUCT(($AG$3:$AG$31&lt;$A13)*(($AG$3:$AG$31/$A13)^S$2))</f>
        <v/>
      </c>
      <c r="T13" s="264">
        <f>$A13 - SUMPRODUCT(($AG$3:$AG$31&lt;$A13)*(($AG$3:$AG$31/$A13)^T$2))</f>
        <v/>
      </c>
      <c r="U13" s="264">
        <f>$A13 - SUMPRODUCT(($AG$3:$AG$31&lt;$A13)*(($AG$3:$AG$31/$A13)^U$2))</f>
        <v/>
      </c>
      <c r="V13" s="264">
        <f>$A13 - SUMPRODUCT(($AG$3:$AG$31&lt;$A13)*(($AG$3:$AG$31/$A13)^V$2))</f>
        <v/>
      </c>
      <c r="W13" s="264">
        <f>$A13 - SUMPRODUCT(($AG$3:$AG$31&lt;$A13)*(($AG$3:$AG$31/$A13)^W$2))</f>
        <v/>
      </c>
      <c r="X13" s="264">
        <f>$A13 - SUMPRODUCT(($AG$3:$AG$31&lt;$A13)*(($AG$3:$AG$31/$A13)^X$2))</f>
        <v/>
      </c>
      <c r="Y13" s="264">
        <f>$A13 - SUMPRODUCT(($AG$3:$AG$31&lt;$A13)*(($AG$3:$AG$31/$A13)^Y$2))</f>
        <v/>
      </c>
      <c r="Z13" s="264">
        <f>$A13 - SUMPRODUCT(($AG$3:$AG$31&lt;$A13)*(($AG$3:$AG$31/$A13)^Z$2))</f>
        <v/>
      </c>
      <c r="AA13" s="264">
        <f>$A13 - SUMPRODUCT(($AG$3:$AG$31&lt;$A13)*(($AG$3:$AG$31/$A13)^AA$2))</f>
        <v/>
      </c>
      <c r="AB13" s="264">
        <f>$A13 - SUMPRODUCT(($AG$3:$AG$31&lt;$A13)*(($AG$3:$AG$31/$A13)^AB$2))</f>
        <v/>
      </c>
      <c r="AC13" s="264">
        <f>$A13 - SUMPRODUCT(($AG$3:$AG$31&lt;$A13)*(($AG$3:$AG$31/$A13)^AC$2))</f>
        <v/>
      </c>
      <c r="AD13" s="264">
        <f>$A13 - SUMPRODUCT(($AG$3:$AG$31&lt;$A13)*(($AG$3:$AG$31/$A13)^AD$2))</f>
        <v/>
      </c>
      <c r="AE13" s="253" t="n"/>
      <c r="AF13" s="253" t="n"/>
      <c r="AG13" s="253" t="n">
        <v>11</v>
      </c>
      <c r="AH13" s="253" t="n"/>
      <c r="AI13" s="253" t="n"/>
      <c r="AJ13" s="253" t="n"/>
      <c r="AK13" s="253" t="n"/>
      <c r="AL13" s="253" t="n"/>
      <c r="AM13" s="253" t="n"/>
      <c r="AN13" s="253" t="n"/>
    </row>
    <row r="14" ht="15" customHeight="1" s="138">
      <c r="A14" s="255" t="n">
        <v>12</v>
      </c>
      <c r="B14" s="263">
        <f>$A14 - SUMPRODUCT(($AG$3:$AG$31&lt;$A14)*(($AG$3:$AG$31/$A14)^B$2))</f>
        <v/>
      </c>
      <c r="C14" s="263">
        <f>$A14 - SUMPRODUCT(($AG$3:$AG$31&lt;$A14)*(($AG$3:$AG$31/$A14)^C$2))</f>
        <v/>
      </c>
      <c r="D14" s="263">
        <f>$A14 - SUMPRODUCT(($AG$3:$AG$31&lt;$A14)*(($AG$3:$AG$31/$A14)^D$2))</f>
        <v/>
      </c>
      <c r="E14" s="263">
        <f>$A14 - SUMPRODUCT(($AG$3:$AG$31&lt;$A14)*(($AG$3:$AG$31/$A14)^E$2))</f>
        <v/>
      </c>
      <c r="F14" s="263">
        <f>$A14 - SUMPRODUCT(($AG$3:$AG$31&lt;$A14)*(($AG$3:$AG$31/$A14)^F$2))</f>
        <v/>
      </c>
      <c r="G14" s="263">
        <f>$A14 - SUMPRODUCT(($AG$3:$AG$31&lt;$A14)*(($AG$3:$AG$31/$A14)^G$2))</f>
        <v/>
      </c>
      <c r="H14" s="263">
        <f>$A14 - SUMPRODUCT(($AG$3:$AG$31&lt;$A14)*(($AG$3:$AG$31/$A14)^H$2))</f>
        <v/>
      </c>
      <c r="I14" s="263">
        <f>$A14 - SUMPRODUCT(($AG$3:$AG$31&lt;$A14)*(($AG$3:$AG$31/$A14)^I$2))</f>
        <v/>
      </c>
      <c r="J14" s="263">
        <f>$A14 - SUMPRODUCT(($AG$3:$AG$31&lt;$A14)*(($AG$3:$AG$31/$A14)^J$2))</f>
        <v/>
      </c>
      <c r="K14" s="263">
        <f>$A14 - SUMPRODUCT(($AG$3:$AG$31&lt;$A14)*(($AG$3:$AG$31/$A14)^K$2))</f>
        <v/>
      </c>
      <c r="L14" s="263">
        <f>$A14 - SUMPRODUCT(($AG$3:$AG$31&lt;$A14)*(($AG$3:$AG$31/$A14)^L$2))</f>
        <v/>
      </c>
      <c r="M14" s="263">
        <f>$A14 - SUMPRODUCT(($AG$3:$AG$31&lt;$A14)*(($AG$3:$AG$31/$A14)^M$2))</f>
        <v/>
      </c>
      <c r="N14" s="263">
        <f>$A14 - SUMPRODUCT(($AG$3:$AG$31&lt;$A14)*(($AG$3:$AG$31/$A14)^N$2))</f>
        <v/>
      </c>
      <c r="O14" s="263">
        <f>$A14 - SUMPRODUCT(($AG$3:$AG$31&lt;$A14)*(($AG$3:$AG$31/$A14)^O$2))</f>
        <v/>
      </c>
      <c r="P14" s="263">
        <f>$A14 - SUMPRODUCT(($AG$3:$AG$31&lt;$A14)*(($AG$3:$AG$31/$A14)^P$2))</f>
        <v/>
      </c>
      <c r="Q14" s="263">
        <f>$A14 - SUMPRODUCT(($AG$3:$AG$31&lt;$A14)*(($AG$3:$AG$31/$A14)^Q$2))</f>
        <v/>
      </c>
      <c r="R14" s="263">
        <f>$A14 - SUMPRODUCT(($AG$3:$AG$31&lt;$A14)*(($AG$3:$AG$31/$A14)^R$2))</f>
        <v/>
      </c>
      <c r="S14" s="264">
        <f>$A14 - SUMPRODUCT(($AG$3:$AG$31&lt;$A14)*(($AG$3:$AG$31/$A14)^S$2))</f>
        <v/>
      </c>
      <c r="T14" s="264">
        <f>$A14 - SUMPRODUCT(($AG$3:$AG$31&lt;$A14)*(($AG$3:$AG$31/$A14)^T$2))</f>
        <v/>
      </c>
      <c r="U14" s="264">
        <f>$A14 - SUMPRODUCT(($AG$3:$AG$31&lt;$A14)*(($AG$3:$AG$31/$A14)^U$2))</f>
        <v/>
      </c>
      <c r="V14" s="264">
        <f>$A14 - SUMPRODUCT(($AG$3:$AG$31&lt;$A14)*(($AG$3:$AG$31/$A14)^V$2))</f>
        <v/>
      </c>
      <c r="W14" s="264">
        <f>$A14 - SUMPRODUCT(($AG$3:$AG$31&lt;$A14)*(($AG$3:$AG$31/$A14)^W$2))</f>
        <v/>
      </c>
      <c r="X14" s="264">
        <f>$A14 - SUMPRODUCT(($AG$3:$AG$31&lt;$A14)*(($AG$3:$AG$31/$A14)^X$2))</f>
        <v/>
      </c>
      <c r="Y14" s="264">
        <f>$A14 - SUMPRODUCT(($AG$3:$AG$31&lt;$A14)*(($AG$3:$AG$31/$A14)^Y$2))</f>
        <v/>
      </c>
      <c r="Z14" s="264">
        <f>$A14 - SUMPRODUCT(($AG$3:$AG$31&lt;$A14)*(($AG$3:$AG$31/$A14)^Z$2))</f>
        <v/>
      </c>
      <c r="AA14" s="264">
        <f>$A14 - SUMPRODUCT(($AG$3:$AG$31&lt;$A14)*(($AG$3:$AG$31/$A14)^AA$2))</f>
        <v/>
      </c>
      <c r="AB14" s="264">
        <f>$A14 - SUMPRODUCT(($AG$3:$AG$31&lt;$A14)*(($AG$3:$AG$31/$A14)^AB$2))</f>
        <v/>
      </c>
      <c r="AC14" s="264">
        <f>$A14 - SUMPRODUCT(($AG$3:$AG$31&lt;$A14)*(($AG$3:$AG$31/$A14)^AC$2))</f>
        <v/>
      </c>
      <c r="AD14" s="264">
        <f>$A14 - SUMPRODUCT(($AG$3:$AG$31&lt;$A14)*(($AG$3:$AG$31/$A14)^AD$2))</f>
        <v/>
      </c>
      <c r="AE14" s="253" t="n"/>
      <c r="AF14" s="253" t="n"/>
      <c r="AG14" s="253" t="n">
        <v>12</v>
      </c>
      <c r="AH14" s="253" t="n"/>
      <c r="AI14" s="253" t="n"/>
      <c r="AJ14" s="253" t="n"/>
      <c r="AK14" s="253" t="n"/>
      <c r="AL14" s="253" t="n"/>
      <c r="AM14" s="253" t="n"/>
      <c r="AN14" s="253" t="n"/>
    </row>
    <row r="15" ht="15" customHeight="1" s="138">
      <c r="A15" s="255" t="n">
        <v>13</v>
      </c>
      <c r="B15" s="263">
        <f>$A15 - SUMPRODUCT(($AG$3:$AG$31&lt;$A15)*(($AG$3:$AG$31/$A15)^B$2))</f>
        <v/>
      </c>
      <c r="C15" s="263">
        <f>$A15 - SUMPRODUCT(($AG$3:$AG$31&lt;$A15)*(($AG$3:$AG$31/$A15)^C$2))</f>
        <v/>
      </c>
      <c r="D15" s="263">
        <f>$A15 - SUMPRODUCT(($AG$3:$AG$31&lt;$A15)*(($AG$3:$AG$31/$A15)^D$2))</f>
        <v/>
      </c>
      <c r="E15" s="263">
        <f>$A15 - SUMPRODUCT(($AG$3:$AG$31&lt;$A15)*(($AG$3:$AG$31/$A15)^E$2))</f>
        <v/>
      </c>
      <c r="F15" s="263">
        <f>$A15 - SUMPRODUCT(($AG$3:$AG$31&lt;$A15)*(($AG$3:$AG$31/$A15)^F$2))</f>
        <v/>
      </c>
      <c r="G15" s="263">
        <f>$A15 - SUMPRODUCT(($AG$3:$AG$31&lt;$A15)*(($AG$3:$AG$31/$A15)^G$2))</f>
        <v/>
      </c>
      <c r="H15" s="263">
        <f>$A15 - SUMPRODUCT(($AG$3:$AG$31&lt;$A15)*(($AG$3:$AG$31/$A15)^H$2))</f>
        <v/>
      </c>
      <c r="I15" s="263">
        <f>$A15 - SUMPRODUCT(($AG$3:$AG$31&lt;$A15)*(($AG$3:$AG$31/$A15)^I$2))</f>
        <v/>
      </c>
      <c r="J15" s="263">
        <f>$A15 - SUMPRODUCT(($AG$3:$AG$31&lt;$A15)*(($AG$3:$AG$31/$A15)^J$2))</f>
        <v/>
      </c>
      <c r="K15" s="263">
        <f>$A15 - SUMPRODUCT(($AG$3:$AG$31&lt;$A15)*(($AG$3:$AG$31/$A15)^K$2))</f>
        <v/>
      </c>
      <c r="L15" s="263">
        <f>$A15 - SUMPRODUCT(($AG$3:$AG$31&lt;$A15)*(($AG$3:$AG$31/$A15)^L$2))</f>
        <v/>
      </c>
      <c r="M15" s="263">
        <f>$A15 - SUMPRODUCT(($AG$3:$AG$31&lt;$A15)*(($AG$3:$AG$31/$A15)^M$2))</f>
        <v/>
      </c>
      <c r="N15" s="263">
        <f>$A15 - SUMPRODUCT(($AG$3:$AG$31&lt;$A15)*(($AG$3:$AG$31/$A15)^N$2))</f>
        <v/>
      </c>
      <c r="O15" s="263">
        <f>$A15 - SUMPRODUCT(($AG$3:$AG$31&lt;$A15)*(($AG$3:$AG$31/$A15)^O$2))</f>
        <v/>
      </c>
      <c r="P15" s="263">
        <f>$A15 - SUMPRODUCT(($AG$3:$AG$31&lt;$A15)*(($AG$3:$AG$31/$A15)^P$2))</f>
        <v/>
      </c>
      <c r="Q15" s="263">
        <f>$A15 - SUMPRODUCT(($AG$3:$AG$31&lt;$A15)*(($AG$3:$AG$31/$A15)^Q$2))</f>
        <v/>
      </c>
      <c r="R15" s="263">
        <f>$A15 - SUMPRODUCT(($AG$3:$AG$31&lt;$A15)*(($AG$3:$AG$31/$A15)^R$2))</f>
        <v/>
      </c>
      <c r="S15" s="264">
        <f>$A15 - SUMPRODUCT(($AG$3:$AG$31&lt;$A15)*(($AG$3:$AG$31/$A15)^S$2))</f>
        <v/>
      </c>
      <c r="T15" s="264">
        <f>$A15 - SUMPRODUCT(($AG$3:$AG$31&lt;$A15)*(($AG$3:$AG$31/$A15)^T$2))</f>
        <v/>
      </c>
      <c r="U15" s="264">
        <f>$A15 - SUMPRODUCT(($AG$3:$AG$31&lt;$A15)*(($AG$3:$AG$31/$A15)^U$2))</f>
        <v/>
      </c>
      <c r="V15" s="264">
        <f>$A15 - SUMPRODUCT(($AG$3:$AG$31&lt;$A15)*(($AG$3:$AG$31/$A15)^V$2))</f>
        <v/>
      </c>
      <c r="W15" s="264">
        <f>$A15 - SUMPRODUCT(($AG$3:$AG$31&lt;$A15)*(($AG$3:$AG$31/$A15)^W$2))</f>
        <v/>
      </c>
      <c r="X15" s="264">
        <f>$A15 - SUMPRODUCT(($AG$3:$AG$31&lt;$A15)*(($AG$3:$AG$31/$A15)^X$2))</f>
        <v/>
      </c>
      <c r="Y15" s="264">
        <f>$A15 - SUMPRODUCT(($AG$3:$AG$31&lt;$A15)*(($AG$3:$AG$31/$A15)^Y$2))</f>
        <v/>
      </c>
      <c r="Z15" s="264">
        <f>$A15 - SUMPRODUCT(($AG$3:$AG$31&lt;$A15)*(($AG$3:$AG$31/$A15)^Z$2))</f>
        <v/>
      </c>
      <c r="AA15" s="264">
        <f>$A15 - SUMPRODUCT(($AG$3:$AG$31&lt;$A15)*(($AG$3:$AG$31/$A15)^AA$2))</f>
        <v/>
      </c>
      <c r="AB15" s="264">
        <f>$A15 - SUMPRODUCT(($AG$3:$AG$31&lt;$A15)*(($AG$3:$AG$31/$A15)^AB$2))</f>
        <v/>
      </c>
      <c r="AC15" s="264">
        <f>$A15 - SUMPRODUCT(($AG$3:$AG$31&lt;$A15)*(($AG$3:$AG$31/$A15)^AC$2))</f>
        <v/>
      </c>
      <c r="AD15" s="264">
        <f>$A15 - SUMPRODUCT(($AG$3:$AG$31&lt;$A15)*(($AG$3:$AG$31/$A15)^AD$2))</f>
        <v/>
      </c>
      <c r="AE15" s="253" t="n"/>
      <c r="AF15" s="253" t="n"/>
      <c r="AG15" s="253" t="n">
        <v>13</v>
      </c>
      <c r="AH15" s="253" t="n"/>
      <c r="AI15" s="253" t="n"/>
      <c r="AJ15" s="253" t="n"/>
      <c r="AK15" s="253" t="n"/>
      <c r="AL15" s="253" t="n"/>
      <c r="AM15" s="253" t="n"/>
      <c r="AN15" s="253" t="n"/>
    </row>
    <row r="16" ht="15" customHeight="1" s="138">
      <c r="A16" s="255" t="n">
        <v>14</v>
      </c>
      <c r="B16" s="263">
        <f>$A16 - SUMPRODUCT(($AG$3:$AG$31&lt;$A16)*(($AG$3:$AG$31/$A16)^B$2))</f>
        <v/>
      </c>
      <c r="C16" s="263">
        <f>$A16 - SUMPRODUCT(($AG$3:$AG$31&lt;$A16)*(($AG$3:$AG$31/$A16)^C$2))</f>
        <v/>
      </c>
      <c r="D16" s="263">
        <f>$A16 - SUMPRODUCT(($AG$3:$AG$31&lt;$A16)*(($AG$3:$AG$31/$A16)^D$2))</f>
        <v/>
      </c>
      <c r="E16" s="263">
        <f>$A16 - SUMPRODUCT(($AG$3:$AG$31&lt;$A16)*(($AG$3:$AG$31/$A16)^E$2))</f>
        <v/>
      </c>
      <c r="F16" s="263">
        <f>$A16 - SUMPRODUCT(($AG$3:$AG$31&lt;$A16)*(($AG$3:$AG$31/$A16)^F$2))</f>
        <v/>
      </c>
      <c r="G16" s="263">
        <f>$A16 - SUMPRODUCT(($AG$3:$AG$31&lt;$A16)*(($AG$3:$AG$31/$A16)^G$2))</f>
        <v/>
      </c>
      <c r="H16" s="263">
        <f>$A16 - SUMPRODUCT(($AG$3:$AG$31&lt;$A16)*(($AG$3:$AG$31/$A16)^H$2))</f>
        <v/>
      </c>
      <c r="I16" s="263">
        <f>$A16 - SUMPRODUCT(($AG$3:$AG$31&lt;$A16)*(($AG$3:$AG$31/$A16)^I$2))</f>
        <v/>
      </c>
      <c r="J16" s="263">
        <f>$A16 - SUMPRODUCT(($AG$3:$AG$31&lt;$A16)*(($AG$3:$AG$31/$A16)^J$2))</f>
        <v/>
      </c>
      <c r="K16" s="263">
        <f>$A16 - SUMPRODUCT(($AG$3:$AG$31&lt;$A16)*(($AG$3:$AG$31/$A16)^K$2))</f>
        <v/>
      </c>
      <c r="L16" s="263">
        <f>$A16 - SUMPRODUCT(($AG$3:$AG$31&lt;$A16)*(($AG$3:$AG$31/$A16)^L$2))</f>
        <v/>
      </c>
      <c r="M16" s="263">
        <f>$A16 - SUMPRODUCT(($AG$3:$AG$31&lt;$A16)*(($AG$3:$AG$31/$A16)^M$2))</f>
        <v/>
      </c>
      <c r="N16" s="263">
        <f>$A16 - SUMPRODUCT(($AG$3:$AG$31&lt;$A16)*(($AG$3:$AG$31/$A16)^N$2))</f>
        <v/>
      </c>
      <c r="O16" s="263">
        <f>$A16 - SUMPRODUCT(($AG$3:$AG$31&lt;$A16)*(($AG$3:$AG$31/$A16)^O$2))</f>
        <v/>
      </c>
      <c r="P16" s="263">
        <f>$A16 - SUMPRODUCT(($AG$3:$AG$31&lt;$A16)*(($AG$3:$AG$31/$A16)^P$2))</f>
        <v/>
      </c>
      <c r="Q16" s="263">
        <f>$A16 - SUMPRODUCT(($AG$3:$AG$31&lt;$A16)*(($AG$3:$AG$31/$A16)^Q$2))</f>
        <v/>
      </c>
      <c r="R16" s="263">
        <f>$A16 - SUMPRODUCT(($AG$3:$AG$31&lt;$A16)*(($AG$3:$AG$31/$A16)^R$2))</f>
        <v/>
      </c>
      <c r="S16" s="264">
        <f>$A16 - SUMPRODUCT(($AG$3:$AG$31&lt;$A16)*(($AG$3:$AG$31/$A16)^S$2))</f>
        <v/>
      </c>
      <c r="T16" s="264">
        <f>$A16 - SUMPRODUCT(($AG$3:$AG$31&lt;$A16)*(($AG$3:$AG$31/$A16)^T$2))</f>
        <v/>
      </c>
      <c r="U16" s="264">
        <f>$A16 - SUMPRODUCT(($AG$3:$AG$31&lt;$A16)*(($AG$3:$AG$31/$A16)^U$2))</f>
        <v/>
      </c>
      <c r="V16" s="264">
        <f>$A16 - SUMPRODUCT(($AG$3:$AG$31&lt;$A16)*(($AG$3:$AG$31/$A16)^V$2))</f>
        <v/>
      </c>
      <c r="W16" s="264">
        <f>$A16 - SUMPRODUCT(($AG$3:$AG$31&lt;$A16)*(($AG$3:$AG$31/$A16)^W$2))</f>
        <v/>
      </c>
      <c r="X16" s="264">
        <f>$A16 - SUMPRODUCT(($AG$3:$AG$31&lt;$A16)*(($AG$3:$AG$31/$A16)^X$2))</f>
        <v/>
      </c>
      <c r="Y16" s="264">
        <f>$A16 - SUMPRODUCT(($AG$3:$AG$31&lt;$A16)*(($AG$3:$AG$31/$A16)^Y$2))</f>
        <v/>
      </c>
      <c r="Z16" s="264">
        <f>$A16 - SUMPRODUCT(($AG$3:$AG$31&lt;$A16)*(($AG$3:$AG$31/$A16)^Z$2))</f>
        <v/>
      </c>
      <c r="AA16" s="264">
        <f>$A16 - SUMPRODUCT(($AG$3:$AG$31&lt;$A16)*(($AG$3:$AG$31/$A16)^AA$2))</f>
        <v/>
      </c>
      <c r="AB16" s="264">
        <f>$A16 - SUMPRODUCT(($AG$3:$AG$31&lt;$A16)*(($AG$3:$AG$31/$A16)^AB$2))</f>
        <v/>
      </c>
      <c r="AC16" s="264">
        <f>$A16 - SUMPRODUCT(($AG$3:$AG$31&lt;$A16)*(($AG$3:$AG$31/$A16)^AC$2))</f>
        <v/>
      </c>
      <c r="AD16" s="264">
        <f>$A16 - SUMPRODUCT(($AG$3:$AG$31&lt;$A16)*(($AG$3:$AG$31/$A16)^AD$2))</f>
        <v/>
      </c>
      <c r="AE16" s="253" t="n"/>
      <c r="AF16" s="253" t="n"/>
      <c r="AG16" s="253" t="n">
        <v>14</v>
      </c>
      <c r="AH16" s="253" t="n"/>
      <c r="AI16" s="253" t="n"/>
      <c r="AJ16" s="253" t="n"/>
      <c r="AK16" s="253" t="n"/>
      <c r="AL16" s="253" t="n"/>
      <c r="AM16" s="253" t="n"/>
      <c r="AN16" s="253" t="n"/>
    </row>
    <row r="17" ht="15" customHeight="1" s="138">
      <c r="A17" s="255" t="n">
        <v>15</v>
      </c>
      <c r="B17" s="263">
        <f>$A17 - SUMPRODUCT(($AG$3:$AG$31&lt;$A17)*(($AG$3:$AG$31/$A17)^B$2))</f>
        <v/>
      </c>
      <c r="C17" s="263">
        <f>$A17 - SUMPRODUCT(($AG$3:$AG$31&lt;$A17)*(($AG$3:$AG$31/$A17)^C$2))</f>
        <v/>
      </c>
      <c r="D17" s="263">
        <f>$A17 - SUMPRODUCT(($AG$3:$AG$31&lt;$A17)*(($AG$3:$AG$31/$A17)^D$2))</f>
        <v/>
      </c>
      <c r="E17" s="263">
        <f>$A17 - SUMPRODUCT(($AG$3:$AG$31&lt;$A17)*(($AG$3:$AG$31/$A17)^E$2))</f>
        <v/>
      </c>
      <c r="F17" s="263">
        <f>$A17 - SUMPRODUCT(($AG$3:$AG$31&lt;$A17)*(($AG$3:$AG$31/$A17)^F$2))</f>
        <v/>
      </c>
      <c r="G17" s="263">
        <f>$A17 - SUMPRODUCT(($AG$3:$AG$31&lt;$A17)*(($AG$3:$AG$31/$A17)^G$2))</f>
        <v/>
      </c>
      <c r="H17" s="263">
        <f>$A17 - SUMPRODUCT(($AG$3:$AG$31&lt;$A17)*(($AG$3:$AG$31/$A17)^H$2))</f>
        <v/>
      </c>
      <c r="I17" s="263">
        <f>$A17 - SUMPRODUCT(($AG$3:$AG$31&lt;$A17)*(($AG$3:$AG$31/$A17)^I$2))</f>
        <v/>
      </c>
      <c r="J17" s="263">
        <f>$A17 - SUMPRODUCT(($AG$3:$AG$31&lt;$A17)*(($AG$3:$AG$31/$A17)^J$2))</f>
        <v/>
      </c>
      <c r="K17" s="263">
        <f>$A17 - SUMPRODUCT(($AG$3:$AG$31&lt;$A17)*(($AG$3:$AG$31/$A17)^K$2))</f>
        <v/>
      </c>
      <c r="L17" s="263">
        <f>$A17 - SUMPRODUCT(($AG$3:$AG$31&lt;$A17)*(($AG$3:$AG$31/$A17)^L$2))</f>
        <v/>
      </c>
      <c r="M17" s="263">
        <f>$A17 - SUMPRODUCT(($AG$3:$AG$31&lt;$A17)*(($AG$3:$AG$31/$A17)^M$2))</f>
        <v/>
      </c>
      <c r="N17" s="263">
        <f>$A17 - SUMPRODUCT(($AG$3:$AG$31&lt;$A17)*(($AG$3:$AG$31/$A17)^N$2))</f>
        <v/>
      </c>
      <c r="O17" s="263">
        <f>$A17 - SUMPRODUCT(($AG$3:$AG$31&lt;$A17)*(($AG$3:$AG$31/$A17)^O$2))</f>
        <v/>
      </c>
      <c r="P17" s="263">
        <f>$A17 - SUMPRODUCT(($AG$3:$AG$31&lt;$A17)*(($AG$3:$AG$31/$A17)^P$2))</f>
        <v/>
      </c>
      <c r="Q17" s="263">
        <f>$A17 - SUMPRODUCT(($AG$3:$AG$31&lt;$A17)*(($AG$3:$AG$31/$A17)^Q$2))</f>
        <v/>
      </c>
      <c r="R17" s="263">
        <f>$A17 - SUMPRODUCT(($AG$3:$AG$31&lt;$A17)*(($AG$3:$AG$31/$A17)^R$2))</f>
        <v/>
      </c>
      <c r="S17" s="264">
        <f>$A17 - SUMPRODUCT(($AG$3:$AG$31&lt;$A17)*(($AG$3:$AG$31/$A17)^S$2))</f>
        <v/>
      </c>
      <c r="T17" s="264">
        <f>$A17 - SUMPRODUCT(($AG$3:$AG$31&lt;$A17)*(($AG$3:$AG$31/$A17)^T$2))</f>
        <v/>
      </c>
      <c r="U17" s="264">
        <f>$A17 - SUMPRODUCT(($AG$3:$AG$31&lt;$A17)*(($AG$3:$AG$31/$A17)^U$2))</f>
        <v/>
      </c>
      <c r="V17" s="264">
        <f>$A17 - SUMPRODUCT(($AG$3:$AG$31&lt;$A17)*(($AG$3:$AG$31/$A17)^V$2))</f>
        <v/>
      </c>
      <c r="W17" s="264">
        <f>$A17 - SUMPRODUCT(($AG$3:$AG$31&lt;$A17)*(($AG$3:$AG$31/$A17)^W$2))</f>
        <v/>
      </c>
      <c r="X17" s="264">
        <f>$A17 - SUMPRODUCT(($AG$3:$AG$31&lt;$A17)*(($AG$3:$AG$31/$A17)^X$2))</f>
        <v/>
      </c>
      <c r="Y17" s="264">
        <f>$A17 - SUMPRODUCT(($AG$3:$AG$31&lt;$A17)*(($AG$3:$AG$31/$A17)^Y$2))</f>
        <v/>
      </c>
      <c r="Z17" s="264">
        <f>$A17 - SUMPRODUCT(($AG$3:$AG$31&lt;$A17)*(($AG$3:$AG$31/$A17)^Z$2))</f>
        <v/>
      </c>
      <c r="AA17" s="264">
        <f>$A17 - SUMPRODUCT(($AG$3:$AG$31&lt;$A17)*(($AG$3:$AG$31/$A17)^AA$2))</f>
        <v/>
      </c>
      <c r="AB17" s="264">
        <f>$A17 - SUMPRODUCT(($AG$3:$AG$31&lt;$A17)*(($AG$3:$AG$31/$A17)^AB$2))</f>
        <v/>
      </c>
      <c r="AC17" s="264">
        <f>$A17 - SUMPRODUCT(($AG$3:$AG$31&lt;$A17)*(($AG$3:$AG$31/$A17)^AC$2))</f>
        <v/>
      </c>
      <c r="AD17" s="264">
        <f>$A17 - SUMPRODUCT(($AG$3:$AG$31&lt;$A17)*(($AG$3:$AG$31/$A17)^AD$2))</f>
        <v/>
      </c>
      <c r="AE17" s="253" t="n"/>
      <c r="AF17" s="253" t="n"/>
      <c r="AG17" s="253" t="n">
        <v>15</v>
      </c>
      <c r="AH17" s="253" t="n"/>
      <c r="AI17" s="253" t="n"/>
      <c r="AJ17" s="253" t="n"/>
      <c r="AK17" s="253" t="n"/>
      <c r="AL17" s="253" t="n"/>
      <c r="AM17" s="253" t="n"/>
      <c r="AN17" s="253" t="n"/>
    </row>
    <row r="18" ht="15" customHeight="1" s="138">
      <c r="A18" s="255" t="n">
        <v>16</v>
      </c>
      <c r="B18" s="263">
        <f>$A18 - SUMPRODUCT(($AG$3:$AG$31&lt;$A18)*(($AG$3:$AG$31/$A18)^B$2))</f>
        <v/>
      </c>
      <c r="C18" s="263">
        <f>$A18 - SUMPRODUCT(($AG$3:$AG$31&lt;$A18)*(($AG$3:$AG$31/$A18)^C$2))</f>
        <v/>
      </c>
      <c r="D18" s="263">
        <f>$A18 - SUMPRODUCT(($AG$3:$AG$31&lt;$A18)*(($AG$3:$AG$31/$A18)^D$2))</f>
        <v/>
      </c>
      <c r="E18" s="263">
        <f>$A18 - SUMPRODUCT(($AG$3:$AG$31&lt;$A18)*(($AG$3:$AG$31/$A18)^E$2))</f>
        <v/>
      </c>
      <c r="F18" s="263">
        <f>$A18 - SUMPRODUCT(($AG$3:$AG$31&lt;$A18)*(($AG$3:$AG$31/$A18)^F$2))</f>
        <v/>
      </c>
      <c r="G18" s="263">
        <f>$A18 - SUMPRODUCT(($AG$3:$AG$31&lt;$A18)*(($AG$3:$AG$31/$A18)^G$2))</f>
        <v/>
      </c>
      <c r="H18" s="263">
        <f>$A18 - SUMPRODUCT(($AG$3:$AG$31&lt;$A18)*(($AG$3:$AG$31/$A18)^H$2))</f>
        <v/>
      </c>
      <c r="I18" s="263">
        <f>$A18 - SUMPRODUCT(($AG$3:$AG$31&lt;$A18)*(($AG$3:$AG$31/$A18)^I$2))</f>
        <v/>
      </c>
      <c r="J18" s="263">
        <f>$A18 - SUMPRODUCT(($AG$3:$AG$31&lt;$A18)*(($AG$3:$AG$31/$A18)^J$2))</f>
        <v/>
      </c>
      <c r="K18" s="263">
        <f>$A18 - SUMPRODUCT(($AG$3:$AG$31&lt;$A18)*(($AG$3:$AG$31/$A18)^K$2))</f>
        <v/>
      </c>
      <c r="L18" s="263">
        <f>$A18 - SUMPRODUCT(($AG$3:$AG$31&lt;$A18)*(($AG$3:$AG$31/$A18)^L$2))</f>
        <v/>
      </c>
      <c r="M18" s="263">
        <f>$A18 - SUMPRODUCT(($AG$3:$AG$31&lt;$A18)*(($AG$3:$AG$31/$A18)^M$2))</f>
        <v/>
      </c>
      <c r="N18" s="263">
        <f>$A18 - SUMPRODUCT(($AG$3:$AG$31&lt;$A18)*(($AG$3:$AG$31/$A18)^N$2))</f>
        <v/>
      </c>
      <c r="O18" s="263">
        <f>$A18 - SUMPRODUCT(($AG$3:$AG$31&lt;$A18)*(($AG$3:$AG$31/$A18)^O$2))</f>
        <v/>
      </c>
      <c r="P18" s="263">
        <f>$A18 - SUMPRODUCT(($AG$3:$AG$31&lt;$A18)*(($AG$3:$AG$31/$A18)^P$2))</f>
        <v/>
      </c>
      <c r="Q18" s="263">
        <f>$A18 - SUMPRODUCT(($AG$3:$AG$31&lt;$A18)*(($AG$3:$AG$31/$A18)^Q$2))</f>
        <v/>
      </c>
      <c r="R18" s="263">
        <f>$A18 - SUMPRODUCT(($AG$3:$AG$31&lt;$A18)*(($AG$3:$AG$31/$A18)^R$2))</f>
        <v/>
      </c>
      <c r="S18" s="264">
        <f>$A18 - SUMPRODUCT(($AG$3:$AG$31&lt;$A18)*(($AG$3:$AG$31/$A18)^S$2))</f>
        <v/>
      </c>
      <c r="T18" s="264">
        <f>$A18 - SUMPRODUCT(($AG$3:$AG$31&lt;$A18)*(($AG$3:$AG$31/$A18)^T$2))</f>
        <v/>
      </c>
      <c r="U18" s="264">
        <f>$A18 - SUMPRODUCT(($AG$3:$AG$31&lt;$A18)*(($AG$3:$AG$31/$A18)^U$2))</f>
        <v/>
      </c>
      <c r="V18" s="264">
        <f>$A18 - SUMPRODUCT(($AG$3:$AG$31&lt;$A18)*(($AG$3:$AG$31/$A18)^V$2))</f>
        <v/>
      </c>
      <c r="W18" s="264">
        <f>$A18 - SUMPRODUCT(($AG$3:$AG$31&lt;$A18)*(($AG$3:$AG$31/$A18)^W$2))</f>
        <v/>
      </c>
      <c r="X18" s="264">
        <f>$A18 - SUMPRODUCT(($AG$3:$AG$31&lt;$A18)*(($AG$3:$AG$31/$A18)^X$2))</f>
        <v/>
      </c>
      <c r="Y18" s="264">
        <f>$A18 - SUMPRODUCT(($AG$3:$AG$31&lt;$A18)*(($AG$3:$AG$31/$A18)^Y$2))</f>
        <v/>
      </c>
      <c r="Z18" s="264">
        <f>$A18 - SUMPRODUCT(($AG$3:$AG$31&lt;$A18)*(($AG$3:$AG$31/$A18)^Z$2))</f>
        <v/>
      </c>
      <c r="AA18" s="264">
        <f>$A18 - SUMPRODUCT(($AG$3:$AG$31&lt;$A18)*(($AG$3:$AG$31/$A18)^AA$2))</f>
        <v/>
      </c>
      <c r="AB18" s="264">
        <f>$A18 - SUMPRODUCT(($AG$3:$AG$31&lt;$A18)*(($AG$3:$AG$31/$A18)^AB$2))</f>
        <v/>
      </c>
      <c r="AC18" s="264">
        <f>$A18 - SUMPRODUCT(($AG$3:$AG$31&lt;$A18)*(($AG$3:$AG$31/$A18)^AC$2))</f>
        <v/>
      </c>
      <c r="AD18" s="264">
        <f>$A18 - SUMPRODUCT(($AG$3:$AG$31&lt;$A18)*(($AG$3:$AG$31/$A18)^AD$2))</f>
        <v/>
      </c>
      <c r="AE18" s="253" t="n"/>
      <c r="AF18" s="253" t="n"/>
      <c r="AG18" s="253" t="n">
        <v>16</v>
      </c>
      <c r="AH18" s="253" t="n"/>
      <c r="AI18" s="253" t="n"/>
      <c r="AJ18" s="253" t="n"/>
      <c r="AK18" s="253" t="n"/>
      <c r="AL18" s="253" t="n"/>
      <c r="AM18" s="253" t="n"/>
      <c r="AN18" s="253" t="n"/>
    </row>
    <row r="19" ht="15" customHeight="1" s="138">
      <c r="A19" s="255" t="n">
        <v>17</v>
      </c>
      <c r="B19" s="263">
        <f>$A19 - SUMPRODUCT(($AG$3:$AG$31&lt;$A19)*(($AG$3:$AG$31/$A19)^B$2))</f>
        <v/>
      </c>
      <c r="C19" s="263">
        <f>$A19 - SUMPRODUCT(($AG$3:$AG$31&lt;$A19)*(($AG$3:$AG$31/$A19)^C$2))</f>
        <v/>
      </c>
      <c r="D19" s="263">
        <f>$A19 - SUMPRODUCT(($AG$3:$AG$31&lt;$A19)*(($AG$3:$AG$31/$A19)^D$2))</f>
        <v/>
      </c>
      <c r="E19" s="263">
        <f>$A19 - SUMPRODUCT(($AG$3:$AG$31&lt;$A19)*(($AG$3:$AG$31/$A19)^E$2))</f>
        <v/>
      </c>
      <c r="F19" s="263">
        <f>$A19 - SUMPRODUCT(($AG$3:$AG$31&lt;$A19)*(($AG$3:$AG$31/$A19)^F$2))</f>
        <v/>
      </c>
      <c r="G19" s="263">
        <f>$A19 - SUMPRODUCT(($AG$3:$AG$31&lt;$A19)*(($AG$3:$AG$31/$A19)^G$2))</f>
        <v/>
      </c>
      <c r="H19" s="263">
        <f>$A19 - SUMPRODUCT(($AG$3:$AG$31&lt;$A19)*(($AG$3:$AG$31/$A19)^H$2))</f>
        <v/>
      </c>
      <c r="I19" s="263">
        <f>$A19 - SUMPRODUCT(($AG$3:$AG$31&lt;$A19)*(($AG$3:$AG$31/$A19)^I$2))</f>
        <v/>
      </c>
      <c r="J19" s="263">
        <f>$A19 - SUMPRODUCT(($AG$3:$AG$31&lt;$A19)*(($AG$3:$AG$31/$A19)^J$2))</f>
        <v/>
      </c>
      <c r="K19" s="263">
        <f>$A19 - SUMPRODUCT(($AG$3:$AG$31&lt;$A19)*(($AG$3:$AG$31/$A19)^K$2))</f>
        <v/>
      </c>
      <c r="L19" s="263">
        <f>$A19 - SUMPRODUCT(($AG$3:$AG$31&lt;$A19)*(($AG$3:$AG$31/$A19)^L$2))</f>
        <v/>
      </c>
      <c r="M19" s="263">
        <f>$A19 - SUMPRODUCT(($AG$3:$AG$31&lt;$A19)*(($AG$3:$AG$31/$A19)^M$2))</f>
        <v/>
      </c>
      <c r="N19" s="263">
        <f>$A19 - SUMPRODUCT(($AG$3:$AG$31&lt;$A19)*(($AG$3:$AG$31/$A19)^N$2))</f>
        <v/>
      </c>
      <c r="O19" s="263">
        <f>$A19 - SUMPRODUCT(($AG$3:$AG$31&lt;$A19)*(($AG$3:$AG$31/$A19)^O$2))</f>
        <v/>
      </c>
      <c r="P19" s="263">
        <f>$A19 - SUMPRODUCT(($AG$3:$AG$31&lt;$A19)*(($AG$3:$AG$31/$A19)^P$2))</f>
        <v/>
      </c>
      <c r="Q19" s="263">
        <f>$A19 - SUMPRODUCT(($AG$3:$AG$31&lt;$A19)*(($AG$3:$AG$31/$A19)^Q$2))</f>
        <v/>
      </c>
      <c r="R19" s="263">
        <f>$A19 - SUMPRODUCT(($AG$3:$AG$31&lt;$A19)*(($AG$3:$AG$31/$A19)^R$2))</f>
        <v/>
      </c>
      <c r="S19" s="264">
        <f>$A19 - SUMPRODUCT(($AG$3:$AG$31&lt;$A19)*(($AG$3:$AG$31/$A19)^S$2))</f>
        <v/>
      </c>
      <c r="T19" s="264">
        <f>$A19 - SUMPRODUCT(($AG$3:$AG$31&lt;$A19)*(($AG$3:$AG$31/$A19)^T$2))</f>
        <v/>
      </c>
      <c r="U19" s="264">
        <f>$A19 - SUMPRODUCT(($AG$3:$AG$31&lt;$A19)*(($AG$3:$AG$31/$A19)^U$2))</f>
        <v/>
      </c>
      <c r="V19" s="264">
        <f>$A19 - SUMPRODUCT(($AG$3:$AG$31&lt;$A19)*(($AG$3:$AG$31/$A19)^V$2))</f>
        <v/>
      </c>
      <c r="W19" s="264">
        <f>$A19 - SUMPRODUCT(($AG$3:$AG$31&lt;$A19)*(($AG$3:$AG$31/$A19)^W$2))</f>
        <v/>
      </c>
      <c r="X19" s="264">
        <f>$A19 - SUMPRODUCT(($AG$3:$AG$31&lt;$A19)*(($AG$3:$AG$31/$A19)^X$2))</f>
        <v/>
      </c>
      <c r="Y19" s="264">
        <f>$A19 - SUMPRODUCT(($AG$3:$AG$31&lt;$A19)*(($AG$3:$AG$31/$A19)^Y$2))</f>
        <v/>
      </c>
      <c r="Z19" s="264">
        <f>$A19 - SUMPRODUCT(($AG$3:$AG$31&lt;$A19)*(($AG$3:$AG$31/$A19)^Z$2))</f>
        <v/>
      </c>
      <c r="AA19" s="264">
        <f>$A19 - SUMPRODUCT(($AG$3:$AG$31&lt;$A19)*(($AG$3:$AG$31/$A19)^AA$2))</f>
        <v/>
      </c>
      <c r="AB19" s="264">
        <f>$A19 - SUMPRODUCT(($AG$3:$AG$31&lt;$A19)*(($AG$3:$AG$31/$A19)^AB$2))</f>
        <v/>
      </c>
      <c r="AC19" s="264">
        <f>$A19 - SUMPRODUCT(($AG$3:$AG$31&lt;$A19)*(($AG$3:$AG$31/$A19)^AC$2))</f>
        <v/>
      </c>
      <c r="AD19" s="264">
        <f>$A19 - SUMPRODUCT(($AG$3:$AG$31&lt;$A19)*(($AG$3:$AG$31/$A19)^AD$2))</f>
        <v/>
      </c>
      <c r="AE19" s="253" t="n"/>
      <c r="AF19" s="253" t="n"/>
      <c r="AG19" s="253" t="n">
        <v>17</v>
      </c>
      <c r="AH19" s="253" t="n"/>
      <c r="AI19" s="253" t="n"/>
      <c r="AJ19" s="253" t="n"/>
      <c r="AK19" s="253" t="n"/>
      <c r="AL19" s="253" t="n"/>
      <c r="AM19" s="253" t="n"/>
      <c r="AN19" s="253" t="n"/>
    </row>
    <row r="20" ht="15" customHeight="1" s="138">
      <c r="A20" s="255" t="n">
        <v>18</v>
      </c>
      <c r="B20" s="263">
        <f>$A20 - SUMPRODUCT(($AG$3:$AG$31&lt;$A20)*(($AG$3:$AG$31/$A20)^B$2))</f>
        <v/>
      </c>
      <c r="C20" s="263">
        <f>$A20 - SUMPRODUCT(($AG$3:$AG$31&lt;$A20)*(($AG$3:$AG$31/$A20)^C$2))</f>
        <v/>
      </c>
      <c r="D20" s="263">
        <f>$A20 - SUMPRODUCT(($AG$3:$AG$31&lt;$A20)*(($AG$3:$AG$31/$A20)^D$2))</f>
        <v/>
      </c>
      <c r="E20" s="263">
        <f>$A20 - SUMPRODUCT(($AG$3:$AG$31&lt;$A20)*(($AG$3:$AG$31/$A20)^E$2))</f>
        <v/>
      </c>
      <c r="F20" s="263">
        <f>$A20 - SUMPRODUCT(($AG$3:$AG$31&lt;$A20)*(($AG$3:$AG$31/$A20)^F$2))</f>
        <v/>
      </c>
      <c r="G20" s="263">
        <f>$A20 - SUMPRODUCT(($AG$3:$AG$31&lt;$A20)*(($AG$3:$AG$31/$A20)^G$2))</f>
        <v/>
      </c>
      <c r="H20" s="263">
        <f>$A20 - SUMPRODUCT(($AG$3:$AG$31&lt;$A20)*(($AG$3:$AG$31/$A20)^H$2))</f>
        <v/>
      </c>
      <c r="I20" s="263">
        <f>$A20 - SUMPRODUCT(($AG$3:$AG$31&lt;$A20)*(($AG$3:$AG$31/$A20)^I$2))</f>
        <v/>
      </c>
      <c r="J20" s="263">
        <f>$A20 - SUMPRODUCT(($AG$3:$AG$31&lt;$A20)*(($AG$3:$AG$31/$A20)^J$2))</f>
        <v/>
      </c>
      <c r="K20" s="263">
        <f>$A20 - SUMPRODUCT(($AG$3:$AG$31&lt;$A20)*(($AG$3:$AG$31/$A20)^K$2))</f>
        <v/>
      </c>
      <c r="L20" s="263">
        <f>$A20 - SUMPRODUCT(($AG$3:$AG$31&lt;$A20)*(($AG$3:$AG$31/$A20)^L$2))</f>
        <v/>
      </c>
      <c r="M20" s="263">
        <f>$A20 - SUMPRODUCT(($AG$3:$AG$31&lt;$A20)*(($AG$3:$AG$31/$A20)^M$2))</f>
        <v/>
      </c>
      <c r="N20" s="263">
        <f>$A20 - SUMPRODUCT(($AG$3:$AG$31&lt;$A20)*(($AG$3:$AG$31/$A20)^N$2))</f>
        <v/>
      </c>
      <c r="O20" s="263">
        <f>$A20 - SUMPRODUCT(($AG$3:$AG$31&lt;$A20)*(($AG$3:$AG$31/$A20)^O$2))</f>
        <v/>
      </c>
      <c r="P20" s="263">
        <f>$A20 - SUMPRODUCT(($AG$3:$AG$31&lt;$A20)*(($AG$3:$AG$31/$A20)^P$2))</f>
        <v/>
      </c>
      <c r="Q20" s="263">
        <f>$A20 - SUMPRODUCT(($AG$3:$AG$31&lt;$A20)*(($AG$3:$AG$31/$A20)^Q$2))</f>
        <v/>
      </c>
      <c r="R20" s="263">
        <f>$A20 - SUMPRODUCT(($AG$3:$AG$31&lt;$A20)*(($AG$3:$AG$31/$A20)^R$2))</f>
        <v/>
      </c>
      <c r="S20" s="264">
        <f>$A20 - SUMPRODUCT(($AG$3:$AG$31&lt;$A20)*(($AG$3:$AG$31/$A20)^S$2))</f>
        <v/>
      </c>
      <c r="T20" s="264">
        <f>$A20 - SUMPRODUCT(($AG$3:$AG$31&lt;$A20)*(($AG$3:$AG$31/$A20)^T$2))</f>
        <v/>
      </c>
      <c r="U20" s="264">
        <f>$A20 - SUMPRODUCT(($AG$3:$AG$31&lt;$A20)*(($AG$3:$AG$31/$A20)^U$2))</f>
        <v/>
      </c>
      <c r="V20" s="264">
        <f>$A20 - SUMPRODUCT(($AG$3:$AG$31&lt;$A20)*(($AG$3:$AG$31/$A20)^V$2))</f>
        <v/>
      </c>
      <c r="W20" s="264">
        <f>$A20 - SUMPRODUCT(($AG$3:$AG$31&lt;$A20)*(($AG$3:$AG$31/$A20)^W$2))</f>
        <v/>
      </c>
      <c r="X20" s="264">
        <f>$A20 - SUMPRODUCT(($AG$3:$AG$31&lt;$A20)*(($AG$3:$AG$31/$A20)^X$2))</f>
        <v/>
      </c>
      <c r="Y20" s="264">
        <f>$A20 - SUMPRODUCT(($AG$3:$AG$31&lt;$A20)*(($AG$3:$AG$31/$A20)^Y$2))</f>
        <v/>
      </c>
      <c r="Z20" s="264">
        <f>$A20 - SUMPRODUCT(($AG$3:$AG$31&lt;$A20)*(($AG$3:$AG$31/$A20)^Z$2))</f>
        <v/>
      </c>
      <c r="AA20" s="264">
        <f>$A20 - SUMPRODUCT(($AG$3:$AG$31&lt;$A20)*(($AG$3:$AG$31/$A20)^AA$2))</f>
        <v/>
      </c>
      <c r="AB20" s="264">
        <f>$A20 - SUMPRODUCT(($AG$3:$AG$31&lt;$A20)*(($AG$3:$AG$31/$A20)^AB$2))</f>
        <v/>
      </c>
      <c r="AC20" s="264">
        <f>$A20 - SUMPRODUCT(($AG$3:$AG$31&lt;$A20)*(($AG$3:$AG$31/$A20)^AC$2))</f>
        <v/>
      </c>
      <c r="AD20" s="264">
        <f>$A20 - SUMPRODUCT(($AG$3:$AG$31&lt;$A20)*(($AG$3:$AG$31/$A20)^AD$2))</f>
        <v/>
      </c>
      <c r="AE20" s="253" t="n"/>
      <c r="AF20" s="253" t="n"/>
      <c r="AG20" s="253" t="n">
        <v>18</v>
      </c>
      <c r="AH20" s="253" t="n"/>
      <c r="AI20" s="253" t="n"/>
      <c r="AJ20" s="253" t="n"/>
      <c r="AK20" s="253" t="n"/>
      <c r="AL20" s="253" t="n"/>
      <c r="AM20" s="253" t="n"/>
      <c r="AN20" s="253" t="n"/>
    </row>
    <row r="21" ht="15" customHeight="1" s="138">
      <c r="A21" s="255" t="n">
        <v>19</v>
      </c>
      <c r="B21" s="263">
        <f>$A21 - SUMPRODUCT(($AG$3:$AG$31&lt;$A21)*(($AG$3:$AG$31/$A21)^B$2))</f>
        <v/>
      </c>
      <c r="C21" s="263">
        <f>$A21 - SUMPRODUCT(($AG$3:$AG$31&lt;$A21)*(($AG$3:$AG$31/$A21)^C$2))</f>
        <v/>
      </c>
      <c r="D21" s="263">
        <f>$A21 - SUMPRODUCT(($AG$3:$AG$31&lt;$A21)*(($AG$3:$AG$31/$A21)^D$2))</f>
        <v/>
      </c>
      <c r="E21" s="263">
        <f>$A21 - SUMPRODUCT(($AG$3:$AG$31&lt;$A21)*(($AG$3:$AG$31/$A21)^E$2))</f>
        <v/>
      </c>
      <c r="F21" s="263">
        <f>$A21 - SUMPRODUCT(($AG$3:$AG$31&lt;$A21)*(($AG$3:$AG$31/$A21)^F$2))</f>
        <v/>
      </c>
      <c r="G21" s="263">
        <f>$A21 - SUMPRODUCT(($AG$3:$AG$31&lt;$A21)*(($AG$3:$AG$31/$A21)^G$2))</f>
        <v/>
      </c>
      <c r="H21" s="263">
        <f>$A21 - SUMPRODUCT(($AG$3:$AG$31&lt;$A21)*(($AG$3:$AG$31/$A21)^H$2))</f>
        <v/>
      </c>
      <c r="I21" s="263">
        <f>$A21 - SUMPRODUCT(($AG$3:$AG$31&lt;$A21)*(($AG$3:$AG$31/$A21)^I$2))</f>
        <v/>
      </c>
      <c r="J21" s="263">
        <f>$A21 - SUMPRODUCT(($AG$3:$AG$31&lt;$A21)*(($AG$3:$AG$31/$A21)^J$2))</f>
        <v/>
      </c>
      <c r="K21" s="263">
        <f>$A21 - SUMPRODUCT(($AG$3:$AG$31&lt;$A21)*(($AG$3:$AG$31/$A21)^K$2))</f>
        <v/>
      </c>
      <c r="L21" s="263">
        <f>$A21 - SUMPRODUCT(($AG$3:$AG$31&lt;$A21)*(($AG$3:$AG$31/$A21)^L$2))</f>
        <v/>
      </c>
      <c r="M21" s="263">
        <f>$A21 - SUMPRODUCT(($AG$3:$AG$31&lt;$A21)*(($AG$3:$AG$31/$A21)^M$2))</f>
        <v/>
      </c>
      <c r="N21" s="263">
        <f>$A21 - SUMPRODUCT(($AG$3:$AG$31&lt;$A21)*(($AG$3:$AG$31/$A21)^N$2))</f>
        <v/>
      </c>
      <c r="O21" s="263">
        <f>$A21 - SUMPRODUCT(($AG$3:$AG$31&lt;$A21)*(($AG$3:$AG$31/$A21)^O$2))</f>
        <v/>
      </c>
      <c r="P21" s="263">
        <f>$A21 - SUMPRODUCT(($AG$3:$AG$31&lt;$A21)*(($AG$3:$AG$31/$A21)^P$2))</f>
        <v/>
      </c>
      <c r="Q21" s="263">
        <f>$A21 - SUMPRODUCT(($AG$3:$AG$31&lt;$A21)*(($AG$3:$AG$31/$A21)^Q$2))</f>
        <v/>
      </c>
      <c r="R21" s="263">
        <f>$A21 - SUMPRODUCT(($AG$3:$AG$31&lt;$A21)*(($AG$3:$AG$31/$A21)^R$2))</f>
        <v/>
      </c>
      <c r="S21" s="264">
        <f>$A21 - SUMPRODUCT(($AG$3:$AG$31&lt;$A21)*(($AG$3:$AG$31/$A21)^S$2))</f>
        <v/>
      </c>
      <c r="T21" s="264">
        <f>$A21 - SUMPRODUCT(($AG$3:$AG$31&lt;$A21)*(($AG$3:$AG$31/$A21)^T$2))</f>
        <v/>
      </c>
      <c r="U21" s="264">
        <f>$A21 - SUMPRODUCT(($AG$3:$AG$31&lt;$A21)*(($AG$3:$AG$31/$A21)^U$2))</f>
        <v/>
      </c>
      <c r="V21" s="264">
        <f>$A21 - SUMPRODUCT(($AG$3:$AG$31&lt;$A21)*(($AG$3:$AG$31/$A21)^V$2))</f>
        <v/>
      </c>
      <c r="W21" s="264">
        <f>$A21 - SUMPRODUCT(($AG$3:$AG$31&lt;$A21)*(($AG$3:$AG$31/$A21)^W$2))</f>
        <v/>
      </c>
      <c r="X21" s="264">
        <f>$A21 - SUMPRODUCT(($AG$3:$AG$31&lt;$A21)*(($AG$3:$AG$31/$A21)^X$2))</f>
        <v/>
      </c>
      <c r="Y21" s="264">
        <f>$A21 - SUMPRODUCT(($AG$3:$AG$31&lt;$A21)*(($AG$3:$AG$31/$A21)^Y$2))</f>
        <v/>
      </c>
      <c r="Z21" s="264">
        <f>$A21 - SUMPRODUCT(($AG$3:$AG$31&lt;$A21)*(($AG$3:$AG$31/$A21)^Z$2))</f>
        <v/>
      </c>
      <c r="AA21" s="264">
        <f>$A21 - SUMPRODUCT(($AG$3:$AG$31&lt;$A21)*(($AG$3:$AG$31/$A21)^AA$2))</f>
        <v/>
      </c>
      <c r="AB21" s="264">
        <f>$A21 - SUMPRODUCT(($AG$3:$AG$31&lt;$A21)*(($AG$3:$AG$31/$A21)^AB$2))</f>
        <v/>
      </c>
      <c r="AC21" s="264">
        <f>$A21 - SUMPRODUCT(($AG$3:$AG$31&lt;$A21)*(($AG$3:$AG$31/$A21)^AC$2))</f>
        <v/>
      </c>
      <c r="AD21" s="264">
        <f>$A21 - SUMPRODUCT(($AG$3:$AG$31&lt;$A21)*(($AG$3:$AG$31/$A21)^AD$2))</f>
        <v/>
      </c>
      <c r="AE21" s="253" t="n"/>
      <c r="AF21" s="253" t="n"/>
      <c r="AG21" s="253" t="n">
        <v>19</v>
      </c>
      <c r="AH21" s="253" t="n"/>
      <c r="AI21" s="253" t="n"/>
      <c r="AJ21" s="253" t="n"/>
      <c r="AK21" s="253" t="n"/>
      <c r="AL21" s="253" t="n"/>
      <c r="AM21" s="253" t="n"/>
      <c r="AN21" s="253" t="n"/>
    </row>
    <row r="22" ht="15" customHeight="1" s="138">
      <c r="A22" s="255" t="n">
        <v>20</v>
      </c>
      <c r="B22" s="263">
        <f>$A22 - SUMPRODUCT(($AG$3:$AG$31&lt;$A22)*(($AG$3:$AG$31/$A22)^B$2))</f>
        <v/>
      </c>
      <c r="C22" s="263">
        <f>$A22 - SUMPRODUCT(($AG$3:$AG$31&lt;$A22)*(($AG$3:$AG$31/$A22)^C$2))</f>
        <v/>
      </c>
      <c r="D22" s="263">
        <f>$A22 - SUMPRODUCT(($AG$3:$AG$31&lt;$A22)*(($AG$3:$AG$31/$A22)^D$2))</f>
        <v/>
      </c>
      <c r="E22" s="263">
        <f>$A22 - SUMPRODUCT(($AG$3:$AG$31&lt;$A22)*(($AG$3:$AG$31/$A22)^E$2))</f>
        <v/>
      </c>
      <c r="F22" s="263">
        <f>$A22 - SUMPRODUCT(($AG$3:$AG$31&lt;$A22)*(($AG$3:$AG$31/$A22)^F$2))</f>
        <v/>
      </c>
      <c r="G22" s="263">
        <f>$A22 - SUMPRODUCT(($AG$3:$AG$31&lt;$A22)*(($AG$3:$AG$31/$A22)^G$2))</f>
        <v/>
      </c>
      <c r="H22" s="263">
        <f>$A22 - SUMPRODUCT(($AG$3:$AG$31&lt;$A22)*(($AG$3:$AG$31/$A22)^H$2))</f>
        <v/>
      </c>
      <c r="I22" s="263">
        <f>$A22 - SUMPRODUCT(($AG$3:$AG$31&lt;$A22)*(($AG$3:$AG$31/$A22)^I$2))</f>
        <v/>
      </c>
      <c r="J22" s="263">
        <f>$A22 - SUMPRODUCT(($AG$3:$AG$31&lt;$A22)*(($AG$3:$AG$31/$A22)^J$2))</f>
        <v/>
      </c>
      <c r="K22" s="263">
        <f>$A22 - SUMPRODUCT(($AG$3:$AG$31&lt;$A22)*(($AG$3:$AG$31/$A22)^K$2))</f>
        <v/>
      </c>
      <c r="L22" s="263">
        <f>$A22 - SUMPRODUCT(($AG$3:$AG$31&lt;$A22)*(($AG$3:$AG$31/$A22)^L$2))</f>
        <v/>
      </c>
      <c r="M22" s="263">
        <f>$A22 - SUMPRODUCT(($AG$3:$AG$31&lt;$A22)*(($AG$3:$AG$31/$A22)^M$2))</f>
        <v/>
      </c>
      <c r="N22" s="263">
        <f>$A22 - SUMPRODUCT(($AG$3:$AG$31&lt;$A22)*(($AG$3:$AG$31/$A22)^N$2))</f>
        <v/>
      </c>
      <c r="O22" s="263">
        <f>$A22 - SUMPRODUCT(($AG$3:$AG$31&lt;$A22)*(($AG$3:$AG$31/$A22)^O$2))</f>
        <v/>
      </c>
      <c r="P22" s="263">
        <f>$A22 - SUMPRODUCT(($AG$3:$AG$31&lt;$A22)*(($AG$3:$AG$31/$A22)^P$2))</f>
        <v/>
      </c>
      <c r="Q22" s="263">
        <f>$A22 - SUMPRODUCT(($AG$3:$AG$31&lt;$A22)*(($AG$3:$AG$31/$A22)^Q$2))</f>
        <v/>
      </c>
      <c r="R22" s="263">
        <f>$A22 - SUMPRODUCT(($AG$3:$AG$31&lt;$A22)*(($AG$3:$AG$31/$A22)^R$2))</f>
        <v/>
      </c>
      <c r="S22" s="264">
        <f>$A22 - SUMPRODUCT(($AG$3:$AG$31&lt;$A22)*(($AG$3:$AG$31/$A22)^S$2))</f>
        <v/>
      </c>
      <c r="T22" s="264">
        <f>$A22 - SUMPRODUCT(($AG$3:$AG$31&lt;$A22)*(($AG$3:$AG$31/$A22)^T$2))</f>
        <v/>
      </c>
      <c r="U22" s="264">
        <f>$A22 - SUMPRODUCT(($AG$3:$AG$31&lt;$A22)*(($AG$3:$AG$31/$A22)^U$2))</f>
        <v/>
      </c>
      <c r="V22" s="264">
        <f>$A22 - SUMPRODUCT(($AG$3:$AG$31&lt;$A22)*(($AG$3:$AG$31/$A22)^V$2))</f>
        <v/>
      </c>
      <c r="W22" s="264">
        <f>$A22 - SUMPRODUCT(($AG$3:$AG$31&lt;$A22)*(($AG$3:$AG$31/$A22)^W$2))</f>
        <v/>
      </c>
      <c r="X22" s="264">
        <f>$A22 - SUMPRODUCT(($AG$3:$AG$31&lt;$A22)*(($AG$3:$AG$31/$A22)^X$2))</f>
        <v/>
      </c>
      <c r="Y22" s="264">
        <f>$A22 - SUMPRODUCT(($AG$3:$AG$31&lt;$A22)*(($AG$3:$AG$31/$A22)^Y$2))</f>
        <v/>
      </c>
      <c r="Z22" s="264">
        <f>$A22 - SUMPRODUCT(($AG$3:$AG$31&lt;$A22)*(($AG$3:$AG$31/$A22)^Z$2))</f>
        <v/>
      </c>
      <c r="AA22" s="264">
        <f>$A22 - SUMPRODUCT(($AG$3:$AG$31&lt;$A22)*(($AG$3:$AG$31/$A22)^AA$2))</f>
        <v/>
      </c>
      <c r="AB22" s="264">
        <f>$A22 - SUMPRODUCT(($AG$3:$AG$31&lt;$A22)*(($AG$3:$AG$31/$A22)^AB$2))</f>
        <v/>
      </c>
      <c r="AC22" s="264">
        <f>$A22 - SUMPRODUCT(($AG$3:$AG$31&lt;$A22)*(($AG$3:$AG$31/$A22)^AC$2))</f>
        <v/>
      </c>
      <c r="AD22" s="264">
        <f>$A22 - SUMPRODUCT(($AG$3:$AG$31&lt;$A22)*(($AG$3:$AG$31/$A22)^AD$2))</f>
        <v/>
      </c>
      <c r="AE22" s="253" t="n"/>
      <c r="AF22" s="253" t="n"/>
      <c r="AG22" s="253" t="n">
        <v>20</v>
      </c>
      <c r="AH22" s="253" t="n"/>
      <c r="AI22" s="253" t="n"/>
      <c r="AJ22" s="253" t="n"/>
      <c r="AK22" s="253" t="n"/>
      <c r="AL22" s="253" t="n"/>
      <c r="AM22" s="253" t="n"/>
      <c r="AN22" s="253" t="n"/>
    </row>
    <row r="23" ht="15" customHeight="1" s="138">
      <c r="A23" s="255" t="n">
        <v>21</v>
      </c>
      <c r="B23" s="263">
        <f>$A23 - SUMPRODUCT(($AG$3:$AG$31&lt;$A23)*(($AG$3:$AG$31/$A23)^B$2))</f>
        <v/>
      </c>
      <c r="C23" s="263">
        <f>$A23 - SUMPRODUCT(($AG$3:$AG$31&lt;$A23)*(($AG$3:$AG$31/$A23)^C$2))</f>
        <v/>
      </c>
      <c r="D23" s="263">
        <f>$A23 - SUMPRODUCT(($AG$3:$AG$31&lt;$A23)*(($AG$3:$AG$31/$A23)^D$2))</f>
        <v/>
      </c>
      <c r="E23" s="263">
        <f>$A23 - SUMPRODUCT(($AG$3:$AG$31&lt;$A23)*(($AG$3:$AG$31/$A23)^E$2))</f>
        <v/>
      </c>
      <c r="F23" s="263">
        <f>$A23 - SUMPRODUCT(($AG$3:$AG$31&lt;$A23)*(($AG$3:$AG$31/$A23)^F$2))</f>
        <v/>
      </c>
      <c r="G23" s="263">
        <f>$A23 - SUMPRODUCT(($AG$3:$AG$31&lt;$A23)*(($AG$3:$AG$31/$A23)^G$2))</f>
        <v/>
      </c>
      <c r="H23" s="263">
        <f>$A23 - SUMPRODUCT(($AG$3:$AG$31&lt;$A23)*(($AG$3:$AG$31/$A23)^H$2))</f>
        <v/>
      </c>
      <c r="I23" s="263">
        <f>$A23 - SUMPRODUCT(($AG$3:$AG$31&lt;$A23)*(($AG$3:$AG$31/$A23)^I$2))</f>
        <v/>
      </c>
      <c r="J23" s="263">
        <f>$A23 - SUMPRODUCT(($AG$3:$AG$31&lt;$A23)*(($AG$3:$AG$31/$A23)^J$2))</f>
        <v/>
      </c>
      <c r="K23" s="263">
        <f>$A23 - SUMPRODUCT(($AG$3:$AG$31&lt;$A23)*(($AG$3:$AG$31/$A23)^K$2))</f>
        <v/>
      </c>
      <c r="L23" s="263">
        <f>$A23 - SUMPRODUCT(($AG$3:$AG$31&lt;$A23)*(($AG$3:$AG$31/$A23)^L$2))</f>
        <v/>
      </c>
      <c r="M23" s="263">
        <f>$A23 - SUMPRODUCT(($AG$3:$AG$31&lt;$A23)*(($AG$3:$AG$31/$A23)^M$2))</f>
        <v/>
      </c>
      <c r="N23" s="263">
        <f>$A23 - SUMPRODUCT(($AG$3:$AG$31&lt;$A23)*(($AG$3:$AG$31/$A23)^N$2))</f>
        <v/>
      </c>
      <c r="O23" s="263">
        <f>$A23 - SUMPRODUCT(($AG$3:$AG$31&lt;$A23)*(($AG$3:$AG$31/$A23)^O$2))</f>
        <v/>
      </c>
      <c r="P23" s="263">
        <f>$A23 - SUMPRODUCT(($AG$3:$AG$31&lt;$A23)*(($AG$3:$AG$31/$A23)^P$2))</f>
        <v/>
      </c>
      <c r="Q23" s="263">
        <f>$A23 - SUMPRODUCT(($AG$3:$AG$31&lt;$A23)*(($AG$3:$AG$31/$A23)^Q$2))</f>
        <v/>
      </c>
      <c r="R23" s="263">
        <f>$A23 - SUMPRODUCT(($AG$3:$AG$31&lt;$A23)*(($AG$3:$AG$31/$A23)^R$2))</f>
        <v/>
      </c>
      <c r="S23" s="264">
        <f>$A23 - SUMPRODUCT(($AG$3:$AG$31&lt;$A23)*(($AG$3:$AG$31/$A23)^S$2))</f>
        <v/>
      </c>
      <c r="T23" s="264">
        <f>$A23 - SUMPRODUCT(($AG$3:$AG$31&lt;$A23)*(($AG$3:$AG$31/$A23)^T$2))</f>
        <v/>
      </c>
      <c r="U23" s="264">
        <f>$A23 - SUMPRODUCT(($AG$3:$AG$31&lt;$A23)*(($AG$3:$AG$31/$A23)^U$2))</f>
        <v/>
      </c>
      <c r="V23" s="264">
        <f>$A23 - SUMPRODUCT(($AG$3:$AG$31&lt;$A23)*(($AG$3:$AG$31/$A23)^V$2))</f>
        <v/>
      </c>
      <c r="W23" s="264">
        <f>$A23 - SUMPRODUCT(($AG$3:$AG$31&lt;$A23)*(($AG$3:$AG$31/$A23)^W$2))</f>
        <v/>
      </c>
      <c r="X23" s="264">
        <f>$A23 - SUMPRODUCT(($AG$3:$AG$31&lt;$A23)*(($AG$3:$AG$31/$A23)^X$2))</f>
        <v/>
      </c>
      <c r="Y23" s="264">
        <f>$A23 - SUMPRODUCT(($AG$3:$AG$31&lt;$A23)*(($AG$3:$AG$31/$A23)^Y$2))</f>
        <v/>
      </c>
      <c r="Z23" s="264">
        <f>$A23 - SUMPRODUCT(($AG$3:$AG$31&lt;$A23)*(($AG$3:$AG$31/$A23)^Z$2))</f>
        <v/>
      </c>
      <c r="AA23" s="264">
        <f>$A23 - SUMPRODUCT(($AG$3:$AG$31&lt;$A23)*(($AG$3:$AG$31/$A23)^AA$2))</f>
        <v/>
      </c>
      <c r="AB23" s="264">
        <f>$A23 - SUMPRODUCT(($AG$3:$AG$31&lt;$A23)*(($AG$3:$AG$31/$A23)^AB$2))</f>
        <v/>
      </c>
      <c r="AC23" s="264">
        <f>$A23 - SUMPRODUCT(($AG$3:$AG$31&lt;$A23)*(($AG$3:$AG$31/$A23)^AC$2))</f>
        <v/>
      </c>
      <c r="AD23" s="264">
        <f>$A23 - SUMPRODUCT(($AG$3:$AG$31&lt;$A23)*(($AG$3:$AG$31/$A23)^AD$2))</f>
        <v/>
      </c>
      <c r="AE23" s="253" t="n"/>
      <c r="AF23" s="253" t="n"/>
      <c r="AG23" s="253" t="n">
        <v>21</v>
      </c>
      <c r="AH23" s="253" t="n"/>
      <c r="AI23" s="253" t="n"/>
      <c r="AJ23" s="253" t="n"/>
      <c r="AK23" s="253" t="n"/>
      <c r="AL23" s="253" t="n"/>
      <c r="AM23" s="253" t="n"/>
      <c r="AN23" s="253" t="n"/>
    </row>
    <row r="24" ht="15" customHeight="1" s="138">
      <c r="A24" s="255" t="n">
        <v>22</v>
      </c>
      <c r="B24" s="263">
        <f>$A24 - SUMPRODUCT(($AG$3:$AG$31&lt;$A24)*(($AG$3:$AG$31/$A24)^B$2))</f>
        <v/>
      </c>
      <c r="C24" s="263">
        <f>$A24 - SUMPRODUCT(($AG$3:$AG$31&lt;$A24)*(($AG$3:$AG$31/$A24)^C$2))</f>
        <v/>
      </c>
      <c r="D24" s="263">
        <f>$A24 - SUMPRODUCT(($AG$3:$AG$31&lt;$A24)*(($AG$3:$AG$31/$A24)^D$2))</f>
        <v/>
      </c>
      <c r="E24" s="263">
        <f>$A24 - SUMPRODUCT(($AG$3:$AG$31&lt;$A24)*(($AG$3:$AG$31/$A24)^E$2))</f>
        <v/>
      </c>
      <c r="F24" s="263">
        <f>$A24 - SUMPRODUCT(($AG$3:$AG$31&lt;$A24)*(($AG$3:$AG$31/$A24)^F$2))</f>
        <v/>
      </c>
      <c r="G24" s="263">
        <f>$A24 - SUMPRODUCT(($AG$3:$AG$31&lt;$A24)*(($AG$3:$AG$31/$A24)^G$2))</f>
        <v/>
      </c>
      <c r="H24" s="263">
        <f>$A24 - SUMPRODUCT(($AG$3:$AG$31&lt;$A24)*(($AG$3:$AG$31/$A24)^H$2))</f>
        <v/>
      </c>
      <c r="I24" s="263">
        <f>$A24 - SUMPRODUCT(($AG$3:$AG$31&lt;$A24)*(($AG$3:$AG$31/$A24)^I$2))</f>
        <v/>
      </c>
      <c r="J24" s="263">
        <f>$A24 - SUMPRODUCT(($AG$3:$AG$31&lt;$A24)*(($AG$3:$AG$31/$A24)^J$2))</f>
        <v/>
      </c>
      <c r="K24" s="263">
        <f>$A24 - SUMPRODUCT(($AG$3:$AG$31&lt;$A24)*(($AG$3:$AG$31/$A24)^K$2))</f>
        <v/>
      </c>
      <c r="L24" s="263">
        <f>$A24 - SUMPRODUCT(($AG$3:$AG$31&lt;$A24)*(($AG$3:$AG$31/$A24)^L$2))</f>
        <v/>
      </c>
      <c r="M24" s="263">
        <f>$A24 - SUMPRODUCT(($AG$3:$AG$31&lt;$A24)*(($AG$3:$AG$31/$A24)^M$2))</f>
        <v/>
      </c>
      <c r="N24" s="263">
        <f>$A24 - SUMPRODUCT(($AG$3:$AG$31&lt;$A24)*(($AG$3:$AG$31/$A24)^N$2))</f>
        <v/>
      </c>
      <c r="O24" s="263">
        <f>$A24 - SUMPRODUCT(($AG$3:$AG$31&lt;$A24)*(($AG$3:$AG$31/$A24)^O$2))</f>
        <v/>
      </c>
      <c r="P24" s="263">
        <f>$A24 - SUMPRODUCT(($AG$3:$AG$31&lt;$A24)*(($AG$3:$AG$31/$A24)^P$2))</f>
        <v/>
      </c>
      <c r="Q24" s="263">
        <f>$A24 - SUMPRODUCT(($AG$3:$AG$31&lt;$A24)*(($AG$3:$AG$31/$A24)^Q$2))</f>
        <v/>
      </c>
      <c r="R24" s="263">
        <f>$A24 - SUMPRODUCT(($AG$3:$AG$31&lt;$A24)*(($AG$3:$AG$31/$A24)^R$2))</f>
        <v/>
      </c>
      <c r="S24" s="264">
        <f>$A24 - SUMPRODUCT(($AG$3:$AG$31&lt;$A24)*(($AG$3:$AG$31/$A24)^S$2))</f>
        <v/>
      </c>
      <c r="T24" s="264">
        <f>$A24 - SUMPRODUCT(($AG$3:$AG$31&lt;$A24)*(($AG$3:$AG$31/$A24)^T$2))</f>
        <v/>
      </c>
      <c r="U24" s="264">
        <f>$A24 - SUMPRODUCT(($AG$3:$AG$31&lt;$A24)*(($AG$3:$AG$31/$A24)^U$2))</f>
        <v/>
      </c>
      <c r="V24" s="264">
        <f>$A24 - SUMPRODUCT(($AG$3:$AG$31&lt;$A24)*(($AG$3:$AG$31/$A24)^V$2))</f>
        <v/>
      </c>
      <c r="W24" s="264">
        <f>$A24 - SUMPRODUCT(($AG$3:$AG$31&lt;$A24)*(($AG$3:$AG$31/$A24)^W$2))</f>
        <v/>
      </c>
      <c r="X24" s="264">
        <f>$A24 - SUMPRODUCT(($AG$3:$AG$31&lt;$A24)*(($AG$3:$AG$31/$A24)^X$2))</f>
        <v/>
      </c>
      <c r="Y24" s="264">
        <f>$A24 - SUMPRODUCT(($AG$3:$AG$31&lt;$A24)*(($AG$3:$AG$31/$A24)^Y$2))</f>
        <v/>
      </c>
      <c r="Z24" s="264">
        <f>$A24 - SUMPRODUCT(($AG$3:$AG$31&lt;$A24)*(($AG$3:$AG$31/$A24)^Z$2))</f>
        <v/>
      </c>
      <c r="AA24" s="264">
        <f>$A24 - SUMPRODUCT(($AG$3:$AG$31&lt;$A24)*(($AG$3:$AG$31/$A24)^AA$2))</f>
        <v/>
      </c>
      <c r="AB24" s="264">
        <f>$A24 - SUMPRODUCT(($AG$3:$AG$31&lt;$A24)*(($AG$3:$AG$31/$A24)^AB$2))</f>
        <v/>
      </c>
      <c r="AC24" s="264">
        <f>$A24 - SUMPRODUCT(($AG$3:$AG$31&lt;$A24)*(($AG$3:$AG$31/$A24)^AC$2))</f>
        <v/>
      </c>
      <c r="AD24" s="264">
        <f>$A24 - SUMPRODUCT(($AG$3:$AG$31&lt;$A24)*(($AG$3:$AG$31/$A24)^AD$2))</f>
        <v/>
      </c>
      <c r="AE24" s="253" t="n"/>
      <c r="AF24" s="253" t="n"/>
      <c r="AG24" s="253" t="n">
        <v>22</v>
      </c>
      <c r="AH24" s="253" t="n"/>
      <c r="AI24" s="253" t="n"/>
      <c r="AJ24" s="253" t="n"/>
      <c r="AK24" s="253" t="n"/>
      <c r="AL24" s="253" t="n"/>
      <c r="AM24" s="253" t="n"/>
      <c r="AN24" s="253" t="n"/>
    </row>
    <row r="25" ht="15" customHeight="1" s="138">
      <c r="A25" s="255" t="n">
        <v>23</v>
      </c>
      <c r="B25" s="263">
        <f>$A25 - SUMPRODUCT(($AG$3:$AG$31&lt;$A25)*(($AG$3:$AG$31/$A25)^B$2))</f>
        <v/>
      </c>
      <c r="C25" s="263">
        <f>$A25 - SUMPRODUCT(($AG$3:$AG$31&lt;$A25)*(($AG$3:$AG$31/$A25)^C$2))</f>
        <v/>
      </c>
      <c r="D25" s="263">
        <f>$A25 - SUMPRODUCT(($AG$3:$AG$31&lt;$A25)*(($AG$3:$AG$31/$A25)^D$2))</f>
        <v/>
      </c>
      <c r="E25" s="263">
        <f>$A25 - SUMPRODUCT(($AG$3:$AG$31&lt;$A25)*(($AG$3:$AG$31/$A25)^E$2))</f>
        <v/>
      </c>
      <c r="F25" s="263">
        <f>$A25 - SUMPRODUCT(($AG$3:$AG$31&lt;$A25)*(($AG$3:$AG$31/$A25)^F$2))</f>
        <v/>
      </c>
      <c r="G25" s="263">
        <f>$A25 - SUMPRODUCT(($AG$3:$AG$31&lt;$A25)*(($AG$3:$AG$31/$A25)^G$2))</f>
        <v/>
      </c>
      <c r="H25" s="263">
        <f>$A25 - SUMPRODUCT(($AG$3:$AG$31&lt;$A25)*(($AG$3:$AG$31/$A25)^H$2))</f>
        <v/>
      </c>
      <c r="I25" s="263">
        <f>$A25 - SUMPRODUCT(($AG$3:$AG$31&lt;$A25)*(($AG$3:$AG$31/$A25)^I$2))</f>
        <v/>
      </c>
      <c r="J25" s="263">
        <f>$A25 - SUMPRODUCT(($AG$3:$AG$31&lt;$A25)*(($AG$3:$AG$31/$A25)^J$2))</f>
        <v/>
      </c>
      <c r="K25" s="263">
        <f>$A25 - SUMPRODUCT(($AG$3:$AG$31&lt;$A25)*(($AG$3:$AG$31/$A25)^K$2))</f>
        <v/>
      </c>
      <c r="L25" s="263">
        <f>$A25 - SUMPRODUCT(($AG$3:$AG$31&lt;$A25)*(($AG$3:$AG$31/$A25)^L$2))</f>
        <v/>
      </c>
      <c r="M25" s="263">
        <f>$A25 - SUMPRODUCT(($AG$3:$AG$31&lt;$A25)*(($AG$3:$AG$31/$A25)^M$2))</f>
        <v/>
      </c>
      <c r="N25" s="263">
        <f>$A25 - SUMPRODUCT(($AG$3:$AG$31&lt;$A25)*(($AG$3:$AG$31/$A25)^N$2))</f>
        <v/>
      </c>
      <c r="O25" s="263">
        <f>$A25 - SUMPRODUCT(($AG$3:$AG$31&lt;$A25)*(($AG$3:$AG$31/$A25)^O$2))</f>
        <v/>
      </c>
      <c r="P25" s="263">
        <f>$A25 - SUMPRODUCT(($AG$3:$AG$31&lt;$A25)*(($AG$3:$AG$31/$A25)^P$2))</f>
        <v/>
      </c>
      <c r="Q25" s="263">
        <f>$A25 - SUMPRODUCT(($AG$3:$AG$31&lt;$A25)*(($AG$3:$AG$31/$A25)^Q$2))</f>
        <v/>
      </c>
      <c r="R25" s="263">
        <f>$A25 - SUMPRODUCT(($AG$3:$AG$31&lt;$A25)*(($AG$3:$AG$31/$A25)^R$2))</f>
        <v/>
      </c>
      <c r="S25" s="264">
        <f>$A25 - SUMPRODUCT(($AG$3:$AG$31&lt;$A25)*(($AG$3:$AG$31/$A25)^S$2))</f>
        <v/>
      </c>
      <c r="T25" s="264">
        <f>$A25 - SUMPRODUCT(($AG$3:$AG$31&lt;$A25)*(($AG$3:$AG$31/$A25)^T$2))</f>
        <v/>
      </c>
      <c r="U25" s="264">
        <f>$A25 - SUMPRODUCT(($AG$3:$AG$31&lt;$A25)*(($AG$3:$AG$31/$A25)^U$2))</f>
        <v/>
      </c>
      <c r="V25" s="264">
        <f>$A25 - SUMPRODUCT(($AG$3:$AG$31&lt;$A25)*(($AG$3:$AG$31/$A25)^V$2))</f>
        <v/>
      </c>
      <c r="W25" s="264">
        <f>$A25 - SUMPRODUCT(($AG$3:$AG$31&lt;$A25)*(($AG$3:$AG$31/$A25)^W$2))</f>
        <v/>
      </c>
      <c r="X25" s="264">
        <f>$A25 - SUMPRODUCT(($AG$3:$AG$31&lt;$A25)*(($AG$3:$AG$31/$A25)^X$2))</f>
        <v/>
      </c>
      <c r="Y25" s="264">
        <f>$A25 - SUMPRODUCT(($AG$3:$AG$31&lt;$A25)*(($AG$3:$AG$31/$A25)^Y$2))</f>
        <v/>
      </c>
      <c r="Z25" s="264">
        <f>$A25 - SUMPRODUCT(($AG$3:$AG$31&lt;$A25)*(($AG$3:$AG$31/$A25)^Z$2))</f>
        <v/>
      </c>
      <c r="AA25" s="264">
        <f>$A25 - SUMPRODUCT(($AG$3:$AG$31&lt;$A25)*(($AG$3:$AG$31/$A25)^AA$2))</f>
        <v/>
      </c>
      <c r="AB25" s="264">
        <f>$A25 - SUMPRODUCT(($AG$3:$AG$31&lt;$A25)*(($AG$3:$AG$31/$A25)^AB$2))</f>
        <v/>
      </c>
      <c r="AC25" s="264">
        <f>$A25 - SUMPRODUCT(($AG$3:$AG$31&lt;$A25)*(($AG$3:$AG$31/$A25)^AC$2))</f>
        <v/>
      </c>
      <c r="AD25" s="264">
        <f>$A25 - SUMPRODUCT(($AG$3:$AG$31&lt;$A25)*(($AG$3:$AG$31/$A25)^AD$2))</f>
        <v/>
      </c>
      <c r="AE25" s="253" t="n"/>
      <c r="AF25" s="253" t="n"/>
      <c r="AG25" s="253" t="n">
        <v>23</v>
      </c>
      <c r="AH25" s="253" t="n"/>
      <c r="AI25" s="253" t="n"/>
      <c r="AJ25" s="253" t="n"/>
      <c r="AK25" s="253" t="n"/>
      <c r="AL25" s="253" t="n"/>
      <c r="AM25" s="253" t="n"/>
      <c r="AN25" s="253" t="n"/>
    </row>
    <row r="26" ht="15" customHeight="1" s="138">
      <c r="A26" s="255" t="n">
        <v>24</v>
      </c>
      <c r="B26" s="263">
        <f>$A26 - SUMPRODUCT(($AG$3:$AG$31&lt;$A26)*(($AG$3:$AG$31/$A26)^B$2))</f>
        <v/>
      </c>
      <c r="C26" s="263">
        <f>$A26 - SUMPRODUCT(($AG$3:$AG$31&lt;$A26)*(($AG$3:$AG$31/$A26)^C$2))</f>
        <v/>
      </c>
      <c r="D26" s="263">
        <f>$A26 - SUMPRODUCT(($AG$3:$AG$31&lt;$A26)*(($AG$3:$AG$31/$A26)^D$2))</f>
        <v/>
      </c>
      <c r="E26" s="263">
        <f>$A26 - SUMPRODUCT(($AG$3:$AG$31&lt;$A26)*(($AG$3:$AG$31/$A26)^E$2))</f>
        <v/>
      </c>
      <c r="F26" s="263">
        <f>$A26 - SUMPRODUCT(($AG$3:$AG$31&lt;$A26)*(($AG$3:$AG$31/$A26)^F$2))</f>
        <v/>
      </c>
      <c r="G26" s="263">
        <f>$A26 - SUMPRODUCT(($AG$3:$AG$31&lt;$A26)*(($AG$3:$AG$31/$A26)^G$2))</f>
        <v/>
      </c>
      <c r="H26" s="263">
        <f>$A26 - SUMPRODUCT(($AG$3:$AG$31&lt;$A26)*(($AG$3:$AG$31/$A26)^H$2))</f>
        <v/>
      </c>
      <c r="I26" s="263">
        <f>$A26 - SUMPRODUCT(($AG$3:$AG$31&lt;$A26)*(($AG$3:$AG$31/$A26)^I$2))</f>
        <v/>
      </c>
      <c r="J26" s="263">
        <f>$A26 - SUMPRODUCT(($AG$3:$AG$31&lt;$A26)*(($AG$3:$AG$31/$A26)^J$2))</f>
        <v/>
      </c>
      <c r="K26" s="263">
        <f>$A26 - SUMPRODUCT(($AG$3:$AG$31&lt;$A26)*(($AG$3:$AG$31/$A26)^K$2))</f>
        <v/>
      </c>
      <c r="L26" s="263">
        <f>$A26 - SUMPRODUCT(($AG$3:$AG$31&lt;$A26)*(($AG$3:$AG$31/$A26)^L$2))</f>
        <v/>
      </c>
      <c r="M26" s="263">
        <f>$A26 - SUMPRODUCT(($AG$3:$AG$31&lt;$A26)*(($AG$3:$AG$31/$A26)^M$2))</f>
        <v/>
      </c>
      <c r="N26" s="263">
        <f>$A26 - SUMPRODUCT(($AG$3:$AG$31&lt;$A26)*(($AG$3:$AG$31/$A26)^N$2))</f>
        <v/>
      </c>
      <c r="O26" s="263">
        <f>$A26 - SUMPRODUCT(($AG$3:$AG$31&lt;$A26)*(($AG$3:$AG$31/$A26)^O$2))</f>
        <v/>
      </c>
      <c r="P26" s="263">
        <f>$A26 - SUMPRODUCT(($AG$3:$AG$31&lt;$A26)*(($AG$3:$AG$31/$A26)^P$2))</f>
        <v/>
      </c>
      <c r="Q26" s="263">
        <f>$A26 - SUMPRODUCT(($AG$3:$AG$31&lt;$A26)*(($AG$3:$AG$31/$A26)^Q$2))</f>
        <v/>
      </c>
      <c r="R26" s="263">
        <f>$A26 - SUMPRODUCT(($AG$3:$AG$31&lt;$A26)*(($AG$3:$AG$31/$A26)^R$2))</f>
        <v/>
      </c>
      <c r="S26" s="264">
        <f>$A26 - SUMPRODUCT(($AG$3:$AG$31&lt;$A26)*(($AG$3:$AG$31/$A26)^S$2))</f>
        <v/>
      </c>
      <c r="T26" s="264">
        <f>$A26 - SUMPRODUCT(($AG$3:$AG$31&lt;$A26)*(($AG$3:$AG$31/$A26)^T$2))</f>
        <v/>
      </c>
      <c r="U26" s="264">
        <f>$A26 - SUMPRODUCT(($AG$3:$AG$31&lt;$A26)*(($AG$3:$AG$31/$A26)^U$2))</f>
        <v/>
      </c>
      <c r="V26" s="264">
        <f>$A26 - SUMPRODUCT(($AG$3:$AG$31&lt;$A26)*(($AG$3:$AG$31/$A26)^V$2))</f>
        <v/>
      </c>
      <c r="W26" s="264">
        <f>$A26 - SUMPRODUCT(($AG$3:$AG$31&lt;$A26)*(($AG$3:$AG$31/$A26)^W$2))</f>
        <v/>
      </c>
      <c r="X26" s="264">
        <f>$A26 - SUMPRODUCT(($AG$3:$AG$31&lt;$A26)*(($AG$3:$AG$31/$A26)^X$2))</f>
        <v/>
      </c>
      <c r="Y26" s="264">
        <f>$A26 - SUMPRODUCT(($AG$3:$AG$31&lt;$A26)*(($AG$3:$AG$31/$A26)^Y$2))</f>
        <v/>
      </c>
      <c r="Z26" s="264">
        <f>$A26 - SUMPRODUCT(($AG$3:$AG$31&lt;$A26)*(($AG$3:$AG$31/$A26)^Z$2))</f>
        <v/>
      </c>
      <c r="AA26" s="264">
        <f>$A26 - SUMPRODUCT(($AG$3:$AG$31&lt;$A26)*(($AG$3:$AG$31/$A26)^AA$2))</f>
        <v/>
      </c>
      <c r="AB26" s="264">
        <f>$A26 - SUMPRODUCT(($AG$3:$AG$31&lt;$A26)*(($AG$3:$AG$31/$A26)^AB$2))</f>
        <v/>
      </c>
      <c r="AC26" s="264">
        <f>$A26 - SUMPRODUCT(($AG$3:$AG$31&lt;$A26)*(($AG$3:$AG$31/$A26)^AC$2))</f>
        <v/>
      </c>
      <c r="AD26" s="264">
        <f>$A26 - SUMPRODUCT(($AG$3:$AG$31&lt;$A26)*(($AG$3:$AG$31/$A26)^AD$2))</f>
        <v/>
      </c>
      <c r="AE26" s="253" t="n"/>
      <c r="AF26" s="253" t="n"/>
      <c r="AG26" s="253" t="n">
        <v>24</v>
      </c>
      <c r="AH26" s="253" t="n"/>
      <c r="AI26" s="253" t="n"/>
      <c r="AJ26" s="253" t="n"/>
      <c r="AK26" s="253" t="n"/>
      <c r="AL26" s="253" t="n"/>
      <c r="AM26" s="253" t="n"/>
      <c r="AN26" s="253" t="n"/>
    </row>
    <row r="27" ht="15" customHeight="1" s="138">
      <c r="A27" s="255" t="n">
        <v>25</v>
      </c>
      <c r="B27" s="263">
        <f>$A27 - SUMPRODUCT(($AG$3:$AG$31&lt;$A27)*(($AG$3:$AG$31/$A27)^B$2))</f>
        <v/>
      </c>
      <c r="C27" s="263">
        <f>$A27 - SUMPRODUCT(($AG$3:$AG$31&lt;$A27)*(($AG$3:$AG$31/$A27)^C$2))</f>
        <v/>
      </c>
      <c r="D27" s="263">
        <f>$A27 - SUMPRODUCT(($AG$3:$AG$31&lt;$A27)*(($AG$3:$AG$31/$A27)^D$2))</f>
        <v/>
      </c>
      <c r="E27" s="263">
        <f>$A27 - SUMPRODUCT(($AG$3:$AG$31&lt;$A27)*(($AG$3:$AG$31/$A27)^E$2))</f>
        <v/>
      </c>
      <c r="F27" s="263">
        <f>$A27 - SUMPRODUCT(($AG$3:$AG$31&lt;$A27)*(($AG$3:$AG$31/$A27)^F$2))</f>
        <v/>
      </c>
      <c r="G27" s="263">
        <f>$A27 - SUMPRODUCT(($AG$3:$AG$31&lt;$A27)*(($AG$3:$AG$31/$A27)^G$2))</f>
        <v/>
      </c>
      <c r="H27" s="263">
        <f>$A27 - SUMPRODUCT(($AG$3:$AG$31&lt;$A27)*(($AG$3:$AG$31/$A27)^H$2))</f>
        <v/>
      </c>
      <c r="I27" s="263">
        <f>$A27 - SUMPRODUCT(($AG$3:$AG$31&lt;$A27)*(($AG$3:$AG$31/$A27)^I$2))</f>
        <v/>
      </c>
      <c r="J27" s="263">
        <f>$A27 - SUMPRODUCT(($AG$3:$AG$31&lt;$A27)*(($AG$3:$AG$31/$A27)^J$2))</f>
        <v/>
      </c>
      <c r="K27" s="263">
        <f>$A27 - SUMPRODUCT(($AG$3:$AG$31&lt;$A27)*(($AG$3:$AG$31/$A27)^K$2))</f>
        <v/>
      </c>
      <c r="L27" s="263">
        <f>$A27 - SUMPRODUCT(($AG$3:$AG$31&lt;$A27)*(($AG$3:$AG$31/$A27)^L$2))</f>
        <v/>
      </c>
      <c r="M27" s="263">
        <f>$A27 - SUMPRODUCT(($AG$3:$AG$31&lt;$A27)*(($AG$3:$AG$31/$A27)^M$2))</f>
        <v/>
      </c>
      <c r="N27" s="263">
        <f>$A27 - SUMPRODUCT(($AG$3:$AG$31&lt;$A27)*(($AG$3:$AG$31/$A27)^N$2))</f>
        <v/>
      </c>
      <c r="O27" s="263">
        <f>$A27 - SUMPRODUCT(($AG$3:$AG$31&lt;$A27)*(($AG$3:$AG$31/$A27)^O$2))</f>
        <v/>
      </c>
      <c r="P27" s="263">
        <f>$A27 - SUMPRODUCT(($AG$3:$AG$31&lt;$A27)*(($AG$3:$AG$31/$A27)^P$2))</f>
        <v/>
      </c>
      <c r="Q27" s="263">
        <f>$A27 - SUMPRODUCT(($AG$3:$AG$31&lt;$A27)*(($AG$3:$AG$31/$A27)^Q$2))</f>
        <v/>
      </c>
      <c r="R27" s="263">
        <f>$A27 - SUMPRODUCT(($AG$3:$AG$31&lt;$A27)*(($AG$3:$AG$31/$A27)^R$2))</f>
        <v/>
      </c>
      <c r="S27" s="264">
        <f>$A27 - SUMPRODUCT(($AG$3:$AG$31&lt;$A27)*(($AG$3:$AG$31/$A27)^S$2))</f>
        <v/>
      </c>
      <c r="T27" s="264">
        <f>$A27 - SUMPRODUCT(($AG$3:$AG$31&lt;$A27)*(($AG$3:$AG$31/$A27)^T$2))</f>
        <v/>
      </c>
      <c r="U27" s="264">
        <f>$A27 - SUMPRODUCT(($AG$3:$AG$31&lt;$A27)*(($AG$3:$AG$31/$A27)^U$2))</f>
        <v/>
      </c>
      <c r="V27" s="264">
        <f>$A27 - SUMPRODUCT(($AG$3:$AG$31&lt;$A27)*(($AG$3:$AG$31/$A27)^V$2))</f>
        <v/>
      </c>
      <c r="W27" s="264">
        <f>$A27 - SUMPRODUCT(($AG$3:$AG$31&lt;$A27)*(($AG$3:$AG$31/$A27)^W$2))</f>
        <v/>
      </c>
      <c r="X27" s="264">
        <f>$A27 - SUMPRODUCT(($AG$3:$AG$31&lt;$A27)*(($AG$3:$AG$31/$A27)^X$2))</f>
        <v/>
      </c>
      <c r="Y27" s="264">
        <f>$A27 - SUMPRODUCT(($AG$3:$AG$31&lt;$A27)*(($AG$3:$AG$31/$A27)^Y$2))</f>
        <v/>
      </c>
      <c r="Z27" s="264">
        <f>$A27 - SUMPRODUCT(($AG$3:$AG$31&lt;$A27)*(($AG$3:$AG$31/$A27)^Z$2))</f>
        <v/>
      </c>
      <c r="AA27" s="264">
        <f>$A27 - SUMPRODUCT(($AG$3:$AG$31&lt;$A27)*(($AG$3:$AG$31/$A27)^AA$2))</f>
        <v/>
      </c>
      <c r="AB27" s="264">
        <f>$A27 - SUMPRODUCT(($AG$3:$AG$31&lt;$A27)*(($AG$3:$AG$31/$A27)^AB$2))</f>
        <v/>
      </c>
      <c r="AC27" s="264">
        <f>$A27 - SUMPRODUCT(($AG$3:$AG$31&lt;$A27)*(($AG$3:$AG$31/$A27)^AC$2))</f>
        <v/>
      </c>
      <c r="AD27" s="264">
        <f>$A27 - SUMPRODUCT(($AG$3:$AG$31&lt;$A27)*(($AG$3:$AG$31/$A27)^AD$2))</f>
        <v/>
      </c>
      <c r="AE27" s="253" t="n"/>
      <c r="AF27" s="253" t="n"/>
      <c r="AG27" s="253" t="n">
        <v>25</v>
      </c>
      <c r="AH27" s="253" t="n"/>
      <c r="AI27" s="253" t="n"/>
      <c r="AJ27" s="253" t="n"/>
      <c r="AK27" s="253" t="n"/>
      <c r="AL27" s="253" t="n"/>
      <c r="AM27" s="253" t="n"/>
      <c r="AN27" s="253" t="n"/>
    </row>
    <row r="28" ht="15" customHeight="1" s="138">
      <c r="A28" s="255" t="n">
        <v>26</v>
      </c>
      <c r="B28" s="263">
        <f>$A28 - SUMPRODUCT(($AG$3:$AG$31&lt;$A28)*(($AG$3:$AG$31/$A28)^B$2))</f>
        <v/>
      </c>
      <c r="C28" s="263">
        <f>$A28 - SUMPRODUCT(($AG$3:$AG$31&lt;$A28)*(($AG$3:$AG$31/$A28)^C$2))</f>
        <v/>
      </c>
      <c r="D28" s="263">
        <f>$A28 - SUMPRODUCT(($AG$3:$AG$31&lt;$A28)*(($AG$3:$AG$31/$A28)^D$2))</f>
        <v/>
      </c>
      <c r="E28" s="263">
        <f>$A28 - SUMPRODUCT(($AG$3:$AG$31&lt;$A28)*(($AG$3:$AG$31/$A28)^E$2))</f>
        <v/>
      </c>
      <c r="F28" s="263">
        <f>$A28 - SUMPRODUCT(($AG$3:$AG$31&lt;$A28)*(($AG$3:$AG$31/$A28)^F$2))</f>
        <v/>
      </c>
      <c r="G28" s="263">
        <f>$A28 - SUMPRODUCT(($AG$3:$AG$31&lt;$A28)*(($AG$3:$AG$31/$A28)^G$2))</f>
        <v/>
      </c>
      <c r="H28" s="263">
        <f>$A28 - SUMPRODUCT(($AG$3:$AG$31&lt;$A28)*(($AG$3:$AG$31/$A28)^H$2))</f>
        <v/>
      </c>
      <c r="I28" s="263">
        <f>$A28 - SUMPRODUCT(($AG$3:$AG$31&lt;$A28)*(($AG$3:$AG$31/$A28)^I$2))</f>
        <v/>
      </c>
      <c r="J28" s="263">
        <f>$A28 - SUMPRODUCT(($AG$3:$AG$31&lt;$A28)*(($AG$3:$AG$31/$A28)^J$2))</f>
        <v/>
      </c>
      <c r="K28" s="263">
        <f>$A28 - SUMPRODUCT(($AG$3:$AG$31&lt;$A28)*(($AG$3:$AG$31/$A28)^K$2))</f>
        <v/>
      </c>
      <c r="L28" s="263">
        <f>$A28 - SUMPRODUCT(($AG$3:$AG$31&lt;$A28)*(($AG$3:$AG$31/$A28)^L$2))</f>
        <v/>
      </c>
      <c r="M28" s="263">
        <f>$A28 - SUMPRODUCT(($AG$3:$AG$31&lt;$A28)*(($AG$3:$AG$31/$A28)^M$2))</f>
        <v/>
      </c>
      <c r="N28" s="263">
        <f>$A28 - SUMPRODUCT(($AG$3:$AG$31&lt;$A28)*(($AG$3:$AG$31/$A28)^N$2))</f>
        <v/>
      </c>
      <c r="O28" s="263">
        <f>$A28 - SUMPRODUCT(($AG$3:$AG$31&lt;$A28)*(($AG$3:$AG$31/$A28)^O$2))</f>
        <v/>
      </c>
      <c r="P28" s="263">
        <f>$A28 - SUMPRODUCT(($AG$3:$AG$31&lt;$A28)*(($AG$3:$AG$31/$A28)^P$2))</f>
        <v/>
      </c>
      <c r="Q28" s="263">
        <f>$A28 - SUMPRODUCT(($AG$3:$AG$31&lt;$A28)*(($AG$3:$AG$31/$A28)^Q$2))</f>
        <v/>
      </c>
      <c r="R28" s="263">
        <f>$A28 - SUMPRODUCT(($AG$3:$AG$31&lt;$A28)*(($AG$3:$AG$31/$A28)^R$2))</f>
        <v/>
      </c>
      <c r="S28" s="264">
        <f>$A28 - SUMPRODUCT(($AG$3:$AG$31&lt;$A28)*(($AG$3:$AG$31/$A28)^S$2))</f>
        <v/>
      </c>
      <c r="T28" s="264">
        <f>$A28 - SUMPRODUCT(($AG$3:$AG$31&lt;$A28)*(($AG$3:$AG$31/$A28)^T$2))</f>
        <v/>
      </c>
      <c r="U28" s="264">
        <f>$A28 - SUMPRODUCT(($AG$3:$AG$31&lt;$A28)*(($AG$3:$AG$31/$A28)^U$2))</f>
        <v/>
      </c>
      <c r="V28" s="264">
        <f>$A28 - SUMPRODUCT(($AG$3:$AG$31&lt;$A28)*(($AG$3:$AG$31/$A28)^V$2))</f>
        <v/>
      </c>
      <c r="W28" s="264">
        <f>$A28 - SUMPRODUCT(($AG$3:$AG$31&lt;$A28)*(($AG$3:$AG$31/$A28)^W$2))</f>
        <v/>
      </c>
      <c r="X28" s="264">
        <f>$A28 - SUMPRODUCT(($AG$3:$AG$31&lt;$A28)*(($AG$3:$AG$31/$A28)^X$2))</f>
        <v/>
      </c>
      <c r="Y28" s="264">
        <f>$A28 - SUMPRODUCT(($AG$3:$AG$31&lt;$A28)*(($AG$3:$AG$31/$A28)^Y$2))</f>
        <v/>
      </c>
      <c r="Z28" s="264">
        <f>$A28 - SUMPRODUCT(($AG$3:$AG$31&lt;$A28)*(($AG$3:$AG$31/$A28)^Z$2))</f>
        <v/>
      </c>
      <c r="AA28" s="264">
        <f>$A28 - SUMPRODUCT(($AG$3:$AG$31&lt;$A28)*(($AG$3:$AG$31/$A28)^AA$2))</f>
        <v/>
      </c>
      <c r="AB28" s="264">
        <f>$A28 - SUMPRODUCT(($AG$3:$AG$31&lt;$A28)*(($AG$3:$AG$31/$A28)^AB$2))</f>
        <v/>
      </c>
      <c r="AC28" s="264">
        <f>$A28 - SUMPRODUCT(($AG$3:$AG$31&lt;$A28)*(($AG$3:$AG$31/$A28)^AC$2))</f>
        <v/>
      </c>
      <c r="AD28" s="264">
        <f>$A28 - SUMPRODUCT(($AG$3:$AG$31&lt;$A28)*(($AG$3:$AG$31/$A28)^AD$2))</f>
        <v/>
      </c>
      <c r="AE28" s="253" t="n"/>
      <c r="AF28" s="253" t="n"/>
      <c r="AG28" s="253" t="n">
        <v>26</v>
      </c>
      <c r="AH28" s="253" t="n"/>
      <c r="AI28" s="253" t="n"/>
      <c r="AJ28" s="253" t="n"/>
      <c r="AK28" s="253" t="n"/>
      <c r="AL28" s="253" t="n"/>
      <c r="AM28" s="253" t="n"/>
      <c r="AN28" s="253" t="n"/>
    </row>
    <row r="29" ht="15" customHeight="1" s="138">
      <c r="A29" s="255" t="n">
        <v>27</v>
      </c>
      <c r="B29" s="263">
        <f>$A29 - SUMPRODUCT(($AG$3:$AG$31&lt;$A29)*(($AG$3:$AG$31/$A29)^B$2))</f>
        <v/>
      </c>
      <c r="C29" s="263">
        <f>$A29 - SUMPRODUCT(($AG$3:$AG$31&lt;$A29)*(($AG$3:$AG$31/$A29)^C$2))</f>
        <v/>
      </c>
      <c r="D29" s="263">
        <f>$A29 - SUMPRODUCT(($AG$3:$AG$31&lt;$A29)*(($AG$3:$AG$31/$A29)^D$2))</f>
        <v/>
      </c>
      <c r="E29" s="263">
        <f>$A29 - SUMPRODUCT(($AG$3:$AG$31&lt;$A29)*(($AG$3:$AG$31/$A29)^E$2))</f>
        <v/>
      </c>
      <c r="F29" s="263">
        <f>$A29 - SUMPRODUCT(($AG$3:$AG$31&lt;$A29)*(($AG$3:$AG$31/$A29)^F$2))</f>
        <v/>
      </c>
      <c r="G29" s="263">
        <f>$A29 - SUMPRODUCT(($AG$3:$AG$31&lt;$A29)*(($AG$3:$AG$31/$A29)^G$2))</f>
        <v/>
      </c>
      <c r="H29" s="263">
        <f>$A29 - SUMPRODUCT(($AG$3:$AG$31&lt;$A29)*(($AG$3:$AG$31/$A29)^H$2))</f>
        <v/>
      </c>
      <c r="I29" s="263">
        <f>$A29 - SUMPRODUCT(($AG$3:$AG$31&lt;$A29)*(($AG$3:$AG$31/$A29)^I$2))</f>
        <v/>
      </c>
      <c r="J29" s="263">
        <f>$A29 - SUMPRODUCT(($AG$3:$AG$31&lt;$A29)*(($AG$3:$AG$31/$A29)^J$2))</f>
        <v/>
      </c>
      <c r="K29" s="263">
        <f>$A29 - SUMPRODUCT(($AG$3:$AG$31&lt;$A29)*(($AG$3:$AG$31/$A29)^K$2))</f>
        <v/>
      </c>
      <c r="L29" s="263">
        <f>$A29 - SUMPRODUCT(($AG$3:$AG$31&lt;$A29)*(($AG$3:$AG$31/$A29)^L$2))</f>
        <v/>
      </c>
      <c r="M29" s="263">
        <f>$A29 - SUMPRODUCT(($AG$3:$AG$31&lt;$A29)*(($AG$3:$AG$31/$A29)^M$2))</f>
        <v/>
      </c>
      <c r="N29" s="263">
        <f>$A29 - SUMPRODUCT(($AG$3:$AG$31&lt;$A29)*(($AG$3:$AG$31/$A29)^N$2))</f>
        <v/>
      </c>
      <c r="O29" s="263">
        <f>$A29 - SUMPRODUCT(($AG$3:$AG$31&lt;$A29)*(($AG$3:$AG$31/$A29)^O$2))</f>
        <v/>
      </c>
      <c r="P29" s="263">
        <f>$A29 - SUMPRODUCT(($AG$3:$AG$31&lt;$A29)*(($AG$3:$AG$31/$A29)^P$2))</f>
        <v/>
      </c>
      <c r="Q29" s="263">
        <f>$A29 - SUMPRODUCT(($AG$3:$AG$31&lt;$A29)*(($AG$3:$AG$31/$A29)^Q$2))</f>
        <v/>
      </c>
      <c r="R29" s="263">
        <f>$A29 - SUMPRODUCT(($AG$3:$AG$31&lt;$A29)*(($AG$3:$AG$31/$A29)^R$2))</f>
        <v/>
      </c>
      <c r="S29" s="264">
        <f>$A29 - SUMPRODUCT(($AG$3:$AG$31&lt;$A29)*(($AG$3:$AG$31/$A29)^S$2))</f>
        <v/>
      </c>
      <c r="T29" s="264">
        <f>$A29 - SUMPRODUCT(($AG$3:$AG$31&lt;$A29)*(($AG$3:$AG$31/$A29)^T$2))</f>
        <v/>
      </c>
      <c r="U29" s="264">
        <f>$A29 - SUMPRODUCT(($AG$3:$AG$31&lt;$A29)*(($AG$3:$AG$31/$A29)^U$2))</f>
        <v/>
      </c>
      <c r="V29" s="264">
        <f>$A29 - SUMPRODUCT(($AG$3:$AG$31&lt;$A29)*(($AG$3:$AG$31/$A29)^V$2))</f>
        <v/>
      </c>
      <c r="W29" s="264">
        <f>$A29 - SUMPRODUCT(($AG$3:$AG$31&lt;$A29)*(($AG$3:$AG$31/$A29)^W$2))</f>
        <v/>
      </c>
      <c r="X29" s="264">
        <f>$A29 - SUMPRODUCT(($AG$3:$AG$31&lt;$A29)*(($AG$3:$AG$31/$A29)^X$2))</f>
        <v/>
      </c>
      <c r="Y29" s="264">
        <f>$A29 - SUMPRODUCT(($AG$3:$AG$31&lt;$A29)*(($AG$3:$AG$31/$A29)^Y$2))</f>
        <v/>
      </c>
      <c r="Z29" s="264">
        <f>$A29 - SUMPRODUCT(($AG$3:$AG$31&lt;$A29)*(($AG$3:$AG$31/$A29)^Z$2))</f>
        <v/>
      </c>
      <c r="AA29" s="264">
        <f>$A29 - SUMPRODUCT(($AG$3:$AG$31&lt;$A29)*(($AG$3:$AG$31/$A29)^AA$2))</f>
        <v/>
      </c>
      <c r="AB29" s="264">
        <f>$A29 - SUMPRODUCT(($AG$3:$AG$31&lt;$A29)*(($AG$3:$AG$31/$A29)^AB$2))</f>
        <v/>
      </c>
      <c r="AC29" s="264">
        <f>$A29 - SUMPRODUCT(($AG$3:$AG$31&lt;$A29)*(($AG$3:$AG$31/$A29)^AC$2))</f>
        <v/>
      </c>
      <c r="AD29" s="264">
        <f>$A29 - SUMPRODUCT(($AG$3:$AG$31&lt;$A29)*(($AG$3:$AG$31/$A29)^AD$2))</f>
        <v/>
      </c>
      <c r="AE29" s="253" t="n"/>
      <c r="AF29" s="253" t="n"/>
      <c r="AG29" s="253" t="n">
        <v>27</v>
      </c>
      <c r="AH29" s="253" t="n"/>
      <c r="AI29" s="253" t="n"/>
      <c r="AJ29" s="253" t="n"/>
      <c r="AK29" s="253" t="n"/>
      <c r="AL29" s="253" t="n"/>
      <c r="AM29" s="253" t="n"/>
      <c r="AN29" s="253" t="n"/>
    </row>
    <row r="30" ht="15" customHeight="1" s="138">
      <c r="A30" s="255" t="n">
        <v>28</v>
      </c>
      <c r="B30" s="263">
        <f>$A30 - SUMPRODUCT(($AG$3:$AG$31&lt;$A30)*(($AG$3:$AG$31/$A30)^B$2))</f>
        <v/>
      </c>
      <c r="C30" s="263">
        <f>$A30 - SUMPRODUCT(($AG$3:$AG$31&lt;$A30)*(($AG$3:$AG$31/$A30)^C$2))</f>
        <v/>
      </c>
      <c r="D30" s="263">
        <f>$A30 - SUMPRODUCT(($AG$3:$AG$31&lt;$A30)*(($AG$3:$AG$31/$A30)^D$2))</f>
        <v/>
      </c>
      <c r="E30" s="263">
        <f>$A30 - SUMPRODUCT(($AG$3:$AG$31&lt;$A30)*(($AG$3:$AG$31/$A30)^E$2))</f>
        <v/>
      </c>
      <c r="F30" s="263">
        <f>$A30 - SUMPRODUCT(($AG$3:$AG$31&lt;$A30)*(($AG$3:$AG$31/$A30)^F$2))</f>
        <v/>
      </c>
      <c r="G30" s="263">
        <f>$A30 - SUMPRODUCT(($AG$3:$AG$31&lt;$A30)*(($AG$3:$AG$31/$A30)^G$2))</f>
        <v/>
      </c>
      <c r="H30" s="263">
        <f>$A30 - SUMPRODUCT(($AG$3:$AG$31&lt;$A30)*(($AG$3:$AG$31/$A30)^H$2))</f>
        <v/>
      </c>
      <c r="I30" s="263">
        <f>$A30 - SUMPRODUCT(($AG$3:$AG$31&lt;$A30)*(($AG$3:$AG$31/$A30)^I$2))</f>
        <v/>
      </c>
      <c r="J30" s="263">
        <f>$A30 - SUMPRODUCT(($AG$3:$AG$31&lt;$A30)*(($AG$3:$AG$31/$A30)^J$2))</f>
        <v/>
      </c>
      <c r="K30" s="263">
        <f>$A30 - SUMPRODUCT(($AG$3:$AG$31&lt;$A30)*(($AG$3:$AG$31/$A30)^K$2))</f>
        <v/>
      </c>
      <c r="L30" s="263">
        <f>$A30 - SUMPRODUCT(($AG$3:$AG$31&lt;$A30)*(($AG$3:$AG$31/$A30)^L$2))</f>
        <v/>
      </c>
      <c r="M30" s="263">
        <f>$A30 - SUMPRODUCT(($AG$3:$AG$31&lt;$A30)*(($AG$3:$AG$31/$A30)^M$2))</f>
        <v/>
      </c>
      <c r="N30" s="263">
        <f>$A30 - SUMPRODUCT(($AG$3:$AG$31&lt;$A30)*(($AG$3:$AG$31/$A30)^N$2))</f>
        <v/>
      </c>
      <c r="O30" s="263">
        <f>$A30 - SUMPRODUCT(($AG$3:$AG$31&lt;$A30)*(($AG$3:$AG$31/$A30)^O$2))</f>
        <v/>
      </c>
      <c r="P30" s="263">
        <f>$A30 - SUMPRODUCT(($AG$3:$AG$31&lt;$A30)*(($AG$3:$AG$31/$A30)^P$2))</f>
        <v/>
      </c>
      <c r="Q30" s="263">
        <f>$A30 - SUMPRODUCT(($AG$3:$AG$31&lt;$A30)*(($AG$3:$AG$31/$A30)^Q$2))</f>
        <v/>
      </c>
      <c r="R30" s="263">
        <f>$A30 - SUMPRODUCT(($AG$3:$AG$31&lt;$A30)*(($AG$3:$AG$31/$A30)^R$2))</f>
        <v/>
      </c>
      <c r="S30" s="264">
        <f>$A30 - SUMPRODUCT(($AG$3:$AG$31&lt;$A30)*(($AG$3:$AG$31/$A30)^S$2))</f>
        <v/>
      </c>
      <c r="T30" s="264">
        <f>$A30 - SUMPRODUCT(($AG$3:$AG$31&lt;$A30)*(($AG$3:$AG$31/$A30)^T$2))</f>
        <v/>
      </c>
      <c r="U30" s="264">
        <f>$A30 - SUMPRODUCT(($AG$3:$AG$31&lt;$A30)*(($AG$3:$AG$31/$A30)^U$2))</f>
        <v/>
      </c>
      <c r="V30" s="264">
        <f>$A30 - SUMPRODUCT(($AG$3:$AG$31&lt;$A30)*(($AG$3:$AG$31/$A30)^V$2))</f>
        <v/>
      </c>
      <c r="W30" s="264">
        <f>$A30 - SUMPRODUCT(($AG$3:$AG$31&lt;$A30)*(($AG$3:$AG$31/$A30)^W$2))</f>
        <v/>
      </c>
      <c r="X30" s="264">
        <f>$A30 - SUMPRODUCT(($AG$3:$AG$31&lt;$A30)*(($AG$3:$AG$31/$A30)^X$2))</f>
        <v/>
      </c>
      <c r="Y30" s="264">
        <f>$A30 - SUMPRODUCT(($AG$3:$AG$31&lt;$A30)*(($AG$3:$AG$31/$A30)^Y$2))</f>
        <v/>
      </c>
      <c r="Z30" s="264">
        <f>$A30 - SUMPRODUCT(($AG$3:$AG$31&lt;$A30)*(($AG$3:$AG$31/$A30)^Z$2))</f>
        <v/>
      </c>
      <c r="AA30" s="264">
        <f>$A30 - SUMPRODUCT(($AG$3:$AG$31&lt;$A30)*(($AG$3:$AG$31/$A30)^AA$2))</f>
        <v/>
      </c>
      <c r="AB30" s="264">
        <f>$A30 - SUMPRODUCT(($AG$3:$AG$31&lt;$A30)*(($AG$3:$AG$31/$A30)^AB$2))</f>
        <v/>
      </c>
      <c r="AC30" s="264">
        <f>$A30 - SUMPRODUCT(($AG$3:$AG$31&lt;$A30)*(($AG$3:$AG$31/$A30)^AC$2))</f>
        <v/>
      </c>
      <c r="AD30" s="264">
        <f>$A30 - SUMPRODUCT(($AG$3:$AG$31&lt;$A30)*(($AG$3:$AG$31/$A30)^AD$2))</f>
        <v/>
      </c>
      <c r="AE30" s="253" t="n"/>
      <c r="AF30" s="253" t="n"/>
      <c r="AG30" s="253" t="n">
        <v>28</v>
      </c>
      <c r="AH30" s="253" t="n"/>
      <c r="AI30" s="253" t="n"/>
      <c r="AJ30" s="253" t="n"/>
      <c r="AK30" s="253" t="n"/>
      <c r="AL30" s="253" t="n"/>
      <c r="AM30" s="253" t="n"/>
      <c r="AN30" s="253" t="n"/>
    </row>
    <row r="31" ht="15" customHeight="1" s="138">
      <c r="A31" s="255" t="n">
        <v>29</v>
      </c>
      <c r="B31" s="263">
        <f>$A31 - SUMPRODUCT(($AG$3:$AG$31&lt;$A31)*(($AG$3:$AG$31/$A31)^B$2))</f>
        <v/>
      </c>
      <c r="C31" s="263">
        <f>$A31 - SUMPRODUCT(($AG$3:$AG$31&lt;$A31)*(($AG$3:$AG$31/$A31)^C$2))</f>
        <v/>
      </c>
      <c r="D31" s="263">
        <f>$A31 - SUMPRODUCT(($AG$3:$AG$31&lt;$A31)*(($AG$3:$AG$31/$A31)^D$2))</f>
        <v/>
      </c>
      <c r="E31" s="263">
        <f>$A31 - SUMPRODUCT(($AG$3:$AG$31&lt;$A31)*(($AG$3:$AG$31/$A31)^E$2))</f>
        <v/>
      </c>
      <c r="F31" s="263">
        <f>$A31 - SUMPRODUCT(($AG$3:$AG$31&lt;$A31)*(($AG$3:$AG$31/$A31)^F$2))</f>
        <v/>
      </c>
      <c r="G31" s="263">
        <f>$A31 - SUMPRODUCT(($AG$3:$AG$31&lt;$A31)*(($AG$3:$AG$31/$A31)^G$2))</f>
        <v/>
      </c>
      <c r="H31" s="263">
        <f>$A31 - SUMPRODUCT(($AG$3:$AG$31&lt;$A31)*(($AG$3:$AG$31/$A31)^H$2))</f>
        <v/>
      </c>
      <c r="I31" s="263">
        <f>$A31 - SUMPRODUCT(($AG$3:$AG$31&lt;$A31)*(($AG$3:$AG$31/$A31)^I$2))</f>
        <v/>
      </c>
      <c r="J31" s="263">
        <f>$A31 - SUMPRODUCT(($AG$3:$AG$31&lt;$A31)*(($AG$3:$AG$31/$A31)^J$2))</f>
        <v/>
      </c>
      <c r="K31" s="263">
        <f>$A31 - SUMPRODUCT(($AG$3:$AG$31&lt;$A31)*(($AG$3:$AG$31/$A31)^K$2))</f>
        <v/>
      </c>
      <c r="L31" s="263">
        <f>$A31 - SUMPRODUCT(($AG$3:$AG$31&lt;$A31)*(($AG$3:$AG$31/$A31)^L$2))</f>
        <v/>
      </c>
      <c r="M31" s="263">
        <f>$A31 - SUMPRODUCT(($AG$3:$AG$31&lt;$A31)*(($AG$3:$AG$31/$A31)^M$2))</f>
        <v/>
      </c>
      <c r="N31" s="263">
        <f>$A31 - SUMPRODUCT(($AG$3:$AG$31&lt;$A31)*(($AG$3:$AG$31/$A31)^N$2))</f>
        <v/>
      </c>
      <c r="O31" s="263">
        <f>$A31 - SUMPRODUCT(($AG$3:$AG$31&lt;$A31)*(($AG$3:$AG$31/$A31)^O$2))</f>
        <v/>
      </c>
      <c r="P31" s="263">
        <f>$A31 - SUMPRODUCT(($AG$3:$AG$31&lt;$A31)*(($AG$3:$AG$31/$A31)^P$2))</f>
        <v/>
      </c>
      <c r="Q31" s="263">
        <f>$A31 - SUMPRODUCT(($AG$3:$AG$31&lt;$A31)*(($AG$3:$AG$31/$A31)^Q$2))</f>
        <v/>
      </c>
      <c r="R31" s="263">
        <f>$A31 - SUMPRODUCT(($AG$3:$AG$31&lt;$A31)*(($AG$3:$AG$31/$A31)^R$2))</f>
        <v/>
      </c>
      <c r="S31" s="264">
        <f>$A31 - SUMPRODUCT(($AG$3:$AG$31&lt;$A31)*(($AG$3:$AG$31/$A31)^S$2))</f>
        <v/>
      </c>
      <c r="T31" s="264">
        <f>$A31 - SUMPRODUCT(($AG$3:$AG$31&lt;$A31)*(($AG$3:$AG$31/$A31)^T$2))</f>
        <v/>
      </c>
      <c r="U31" s="264">
        <f>$A31 - SUMPRODUCT(($AG$3:$AG$31&lt;$A31)*(($AG$3:$AG$31/$A31)^U$2))</f>
        <v/>
      </c>
      <c r="V31" s="264">
        <f>$A31 - SUMPRODUCT(($AG$3:$AG$31&lt;$A31)*(($AG$3:$AG$31/$A31)^V$2))</f>
        <v/>
      </c>
      <c r="W31" s="264">
        <f>$A31 - SUMPRODUCT(($AG$3:$AG$31&lt;$A31)*(($AG$3:$AG$31/$A31)^W$2))</f>
        <v/>
      </c>
      <c r="X31" s="264">
        <f>$A31 - SUMPRODUCT(($AG$3:$AG$31&lt;$A31)*(($AG$3:$AG$31/$A31)^X$2))</f>
        <v/>
      </c>
      <c r="Y31" s="264">
        <f>$A31 - SUMPRODUCT(($AG$3:$AG$31&lt;$A31)*(($AG$3:$AG$31/$A31)^Y$2))</f>
        <v/>
      </c>
      <c r="Z31" s="264">
        <f>$A31 - SUMPRODUCT(($AG$3:$AG$31&lt;$A31)*(($AG$3:$AG$31/$A31)^Z$2))</f>
        <v/>
      </c>
      <c r="AA31" s="264">
        <f>$A31 - SUMPRODUCT(($AG$3:$AG$31&lt;$A31)*(($AG$3:$AG$31/$A31)^AA$2))</f>
        <v/>
      </c>
      <c r="AB31" s="264">
        <f>$A31 - SUMPRODUCT(($AG$3:$AG$31&lt;$A31)*(($AG$3:$AG$31/$A31)^AB$2))</f>
        <v/>
      </c>
      <c r="AC31" s="264">
        <f>$A31 - SUMPRODUCT(($AG$3:$AG$31&lt;$A31)*(($AG$3:$AG$31/$A31)^AC$2))</f>
        <v/>
      </c>
      <c r="AD31" s="264">
        <f>$A31 - SUMPRODUCT(($AG$3:$AG$31&lt;$A31)*(($AG$3:$AG$31/$A31)^AD$2))</f>
        <v/>
      </c>
      <c r="AE31" s="253" t="n"/>
      <c r="AF31" s="253" t="n"/>
      <c r="AG31" s="253" t="n">
        <v>29</v>
      </c>
      <c r="AH31" s="253" t="n"/>
      <c r="AI31" s="253" t="n"/>
      <c r="AJ31" s="253" t="n"/>
      <c r="AK31" s="253" t="n"/>
      <c r="AL31" s="253" t="n"/>
      <c r="AM31" s="253" t="n"/>
      <c r="AN31" s="253" t="n"/>
    </row>
    <row r="32" ht="15" customHeight="1" s="138">
      <c r="A32" s="255" t="n">
        <v>30</v>
      </c>
      <c r="B32" s="263">
        <f>$A32 - SUMPRODUCT(($AG$3:$AG$31&lt;$A32)*(($AG$3:$AG$31/$A32)^B$2))</f>
        <v/>
      </c>
      <c r="C32" s="263">
        <f>$A32 - SUMPRODUCT(($AG$3:$AG$31&lt;$A32)*(($AG$3:$AG$31/$A32)^C$2))</f>
        <v/>
      </c>
      <c r="D32" s="263">
        <f>$A32 - SUMPRODUCT(($AG$3:$AG$31&lt;$A32)*(($AG$3:$AG$31/$A32)^D$2))</f>
        <v/>
      </c>
      <c r="E32" s="263">
        <f>$A32 - SUMPRODUCT(($AG$3:$AG$31&lt;$A32)*(($AG$3:$AG$31/$A32)^E$2))</f>
        <v/>
      </c>
      <c r="F32" s="263">
        <f>$A32 - SUMPRODUCT(($AG$3:$AG$31&lt;$A32)*(($AG$3:$AG$31/$A32)^F$2))</f>
        <v/>
      </c>
      <c r="G32" s="263">
        <f>$A32 - SUMPRODUCT(($AG$3:$AG$31&lt;$A32)*(($AG$3:$AG$31/$A32)^G$2))</f>
        <v/>
      </c>
      <c r="H32" s="263">
        <f>$A32 - SUMPRODUCT(($AG$3:$AG$31&lt;$A32)*(($AG$3:$AG$31/$A32)^H$2))</f>
        <v/>
      </c>
      <c r="I32" s="263">
        <f>$A32 - SUMPRODUCT(($AG$3:$AG$31&lt;$A32)*(($AG$3:$AG$31/$A32)^I$2))</f>
        <v/>
      </c>
      <c r="J32" s="263">
        <f>$A32 - SUMPRODUCT(($AG$3:$AG$31&lt;$A32)*(($AG$3:$AG$31/$A32)^J$2))</f>
        <v/>
      </c>
      <c r="K32" s="263">
        <f>$A32 - SUMPRODUCT(($AG$3:$AG$31&lt;$A32)*(($AG$3:$AG$31/$A32)^K$2))</f>
        <v/>
      </c>
      <c r="L32" s="263">
        <f>$A32 - SUMPRODUCT(($AG$3:$AG$31&lt;$A32)*(($AG$3:$AG$31/$A32)^L$2))</f>
        <v/>
      </c>
      <c r="M32" s="263">
        <f>$A32 - SUMPRODUCT(($AG$3:$AG$31&lt;$A32)*(($AG$3:$AG$31/$A32)^M$2))</f>
        <v/>
      </c>
      <c r="N32" s="263">
        <f>$A32 - SUMPRODUCT(($AG$3:$AG$31&lt;$A32)*(($AG$3:$AG$31/$A32)^N$2))</f>
        <v/>
      </c>
      <c r="O32" s="263">
        <f>$A32 - SUMPRODUCT(($AG$3:$AG$31&lt;$A32)*(($AG$3:$AG$31/$A32)^O$2))</f>
        <v/>
      </c>
      <c r="P32" s="263">
        <f>$A32 - SUMPRODUCT(($AG$3:$AG$31&lt;$A32)*(($AG$3:$AG$31/$A32)^P$2))</f>
        <v/>
      </c>
      <c r="Q32" s="263">
        <f>$A32 - SUMPRODUCT(($AG$3:$AG$31&lt;$A32)*(($AG$3:$AG$31/$A32)^Q$2))</f>
        <v/>
      </c>
      <c r="R32" s="263">
        <f>$A32 - SUMPRODUCT(($AG$3:$AG$31&lt;$A32)*(($AG$3:$AG$31/$A32)^R$2))</f>
        <v/>
      </c>
      <c r="S32" s="264">
        <f>$A32 - SUMPRODUCT(($AG$3:$AG$31&lt;$A32)*(($AG$3:$AG$31/$A32)^S$2))</f>
        <v/>
      </c>
      <c r="T32" s="264">
        <f>$A32 - SUMPRODUCT(($AG$3:$AG$31&lt;$A32)*(($AG$3:$AG$31/$A32)^T$2))</f>
        <v/>
      </c>
      <c r="U32" s="264">
        <f>$A32 - SUMPRODUCT(($AG$3:$AG$31&lt;$A32)*(($AG$3:$AG$31/$A32)^U$2))</f>
        <v/>
      </c>
      <c r="V32" s="264">
        <f>$A32 - SUMPRODUCT(($AG$3:$AG$31&lt;$A32)*(($AG$3:$AG$31/$A32)^V$2))</f>
        <v/>
      </c>
      <c r="W32" s="264">
        <f>$A32 - SUMPRODUCT(($AG$3:$AG$31&lt;$A32)*(($AG$3:$AG$31/$A32)^W$2))</f>
        <v/>
      </c>
      <c r="X32" s="264">
        <f>$A32 - SUMPRODUCT(($AG$3:$AG$31&lt;$A32)*(($AG$3:$AG$31/$A32)^X$2))</f>
        <v/>
      </c>
      <c r="Y32" s="264">
        <f>$A32 - SUMPRODUCT(($AG$3:$AG$31&lt;$A32)*(($AG$3:$AG$31/$A32)^Y$2))</f>
        <v/>
      </c>
      <c r="Z32" s="264">
        <f>$A32 - SUMPRODUCT(($AG$3:$AG$31&lt;$A32)*(($AG$3:$AG$31/$A32)^Z$2))</f>
        <v/>
      </c>
      <c r="AA32" s="264">
        <f>$A32 - SUMPRODUCT(($AG$3:$AG$31&lt;$A32)*(($AG$3:$AG$31/$A32)^AA$2))</f>
        <v/>
      </c>
      <c r="AB32" s="264">
        <f>$A32 - SUMPRODUCT(($AG$3:$AG$31&lt;$A32)*(($AG$3:$AG$31/$A32)^AB$2))</f>
        <v/>
      </c>
      <c r="AC32" s="264">
        <f>$A32 - SUMPRODUCT(($AG$3:$AG$31&lt;$A32)*(($AG$3:$AG$31/$A32)^AC$2))</f>
        <v/>
      </c>
      <c r="AD32" s="264">
        <f>$A32 - SUMPRODUCT(($AG$3:$AG$31&lt;$A32)*(($AG$3:$AG$31/$A32)^AD$2))</f>
        <v/>
      </c>
      <c r="AE32" s="253" t="n"/>
      <c r="AF32" s="253" t="n"/>
      <c r="AG32" s="253" t="n"/>
      <c r="AH32" s="253" t="n"/>
      <c r="AI32" s="253" t="n"/>
      <c r="AJ32" s="253" t="n"/>
      <c r="AK32" s="253" t="n"/>
      <c r="AL32" s="253" t="n"/>
      <c r="AM32" s="253" t="n"/>
      <c r="AN32" s="253" t="n"/>
    </row>
    <row r="33" ht="15" customHeight="1" s="138">
      <c r="A33" s="265" t="n"/>
      <c r="B33" s="253" t="n"/>
      <c r="C33" s="253" t="n"/>
      <c r="D33" s="253" t="n"/>
      <c r="E33" s="253" t="n"/>
      <c r="F33" s="253" t="n"/>
      <c r="G33" s="253" t="n"/>
      <c r="H33" s="253" t="n"/>
      <c r="I33" s="253" t="n"/>
      <c r="J33" s="253" t="n"/>
      <c r="K33" s="253" t="n"/>
      <c r="L33" s="253" t="n"/>
      <c r="M33" s="253" t="n"/>
      <c r="N33" s="253" t="n"/>
      <c r="O33" s="253" t="n"/>
      <c r="P33" s="253" t="n"/>
      <c r="Q33" s="253" t="n"/>
      <c r="R33" s="253" t="n"/>
      <c r="S33" s="253" t="n"/>
      <c r="T33" s="253" t="n"/>
      <c r="U33" s="253" t="n"/>
      <c r="V33" s="253" t="n"/>
      <c r="W33" s="253" t="n"/>
      <c r="X33" s="253" t="n"/>
      <c r="Y33" s="253" t="n"/>
      <c r="Z33" s="253" t="n"/>
      <c r="AA33" s="253" t="n"/>
      <c r="AB33" s="253" t="n"/>
      <c r="AC33" s="253" t="n"/>
      <c r="AD33" s="253" t="n"/>
      <c r="AE33" s="253" t="n"/>
      <c r="AF33" s="253" t="n"/>
      <c r="AG33" s="253" t="n"/>
      <c r="AH33" s="253" t="n"/>
      <c r="AI33" s="253" t="n"/>
      <c r="AJ33" s="253" t="n"/>
      <c r="AK33" s="253" t="n"/>
      <c r="AL33" s="253" t="n"/>
      <c r="AM33" s="253" t="n"/>
      <c r="AN33" s="253" t="n"/>
    </row>
    <row r="34" ht="15" customHeight="1" s="138">
      <c r="A34" s="159" t="inlineStr">
        <is>
          <t>TABLO-3 ORTALAMA EN YÜKSEK DÖNÜŞ KATI  —  H = N − Σ(i/N)^P ,  i=1..N-1</t>
        </is>
      </c>
      <c r="B34" s="253" t="n"/>
      <c r="C34" s="253" t="n"/>
      <c r="D34" s="253" t="n"/>
      <c r="E34" s="253" t="n"/>
      <c r="F34" s="253" t="n"/>
      <c r="G34" s="253" t="n"/>
      <c r="H34" s="253" t="n"/>
      <c r="I34" s="253" t="n"/>
      <c r="J34" s="253" t="n"/>
      <c r="K34" s="253" t="n"/>
      <c r="L34" s="253" t="n"/>
      <c r="M34" s="253" t="n"/>
      <c r="N34" s="253" t="n"/>
      <c r="O34" s="253" t="n"/>
      <c r="P34" s="253" t="n"/>
      <c r="Q34" s="253" t="n"/>
      <c r="R34" s="253" t="n"/>
      <c r="S34" s="253" t="n"/>
      <c r="T34" s="253" t="n"/>
      <c r="U34" s="253" t="n"/>
      <c r="V34" s="253" t="n"/>
      <c r="W34" s="253" t="n"/>
      <c r="X34" s="253" t="n"/>
      <c r="Y34" s="253" t="n"/>
      <c r="Z34" s="253" t="n"/>
      <c r="AA34" s="253" t="n"/>
      <c r="AB34" s="253" t="n"/>
      <c r="AC34" s="253" t="n"/>
      <c r="AD34" s="253" t="n"/>
      <c r="AE34" s="253" t="n"/>
      <c r="AF34" s="253" t="n"/>
      <c r="AG34" s="253" t="n"/>
      <c r="AH34" s="253" t="n"/>
      <c r="AI34" s="253" t="n"/>
      <c r="AJ34" s="253" t="n"/>
      <c r="AK34" s="253" t="n"/>
      <c r="AL34" s="253" t="n"/>
      <c r="AM34" s="253" t="n"/>
      <c r="AN34" s="253" t="n"/>
    </row>
    <row r="35" ht="15" customHeight="1" s="138">
      <c r="A35" s="143" t="inlineStr">
        <is>
          <t>N = Ana Giriş Üzerindeki Kat Adedi. Kaynak: MMO/697, Ocak 2020, s.14 (Tablo-3, kapasite 6-34 kişi, N=1-30)</t>
        </is>
      </c>
      <c r="B35" s="253" t="n"/>
      <c r="C35" s="253" t="n"/>
      <c r="D35" s="253" t="n"/>
      <c r="E35" s="253" t="n"/>
      <c r="F35" s="253" t="n"/>
      <c r="G35" s="253" t="n"/>
      <c r="H35" s="253" t="n"/>
      <c r="I35" s="253" t="n"/>
      <c r="J35" s="253" t="n"/>
      <c r="K35" s="253" t="n"/>
      <c r="L35" s="253" t="n"/>
      <c r="M35" s="253" t="n"/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3" t="n"/>
      <c r="Y35" s="253" t="n"/>
      <c r="Z35" s="253" t="n"/>
      <c r="AA35" s="253" t="n"/>
      <c r="AB35" s="253" t="n"/>
      <c r="AC35" s="253" t="n"/>
      <c r="AD35" s="253" t="n"/>
      <c r="AE35" s="253" t="n"/>
      <c r="AF35" s="253" t="n"/>
      <c r="AG35" s="253" t="n"/>
      <c r="AH35" s="253" t="n"/>
      <c r="AI35" s="253" t="n"/>
      <c r="AJ35" s="253" t="n"/>
      <c r="AK35" s="253" t="n"/>
      <c r="AL35" s="253" t="n"/>
      <c r="AM35" s="253" t="n"/>
      <c r="AN35" s="253" t="n"/>
    </row>
    <row r="36" ht="15" customHeight="1" s="138">
      <c r="A36" s="253" t="n"/>
      <c r="B36" s="253" t="n"/>
      <c r="C36" s="253" t="n"/>
      <c r="D36" s="253" t="n"/>
      <c r="E36" s="253" t="n"/>
      <c r="F36" s="253" t="n"/>
      <c r="G36" s="253" t="n"/>
      <c r="H36" s="253" t="n"/>
      <c r="I36" s="253" t="n"/>
      <c r="J36" s="253" t="n"/>
      <c r="K36" s="253" t="n"/>
      <c r="L36" s="253" t="n"/>
      <c r="M36" s="253" t="n"/>
      <c r="N36" s="253" t="n"/>
      <c r="O36" s="253" t="n"/>
      <c r="P36" s="253" t="n"/>
      <c r="Q36" s="253" t="n"/>
      <c r="R36" s="253" t="n"/>
      <c r="S36" s="253" t="n"/>
      <c r="T36" s="253" t="n"/>
      <c r="U36" s="253" t="n"/>
      <c r="V36" s="253" t="n"/>
      <c r="W36" s="253" t="n"/>
      <c r="X36" s="253" t="n"/>
      <c r="Y36" s="253" t="n"/>
      <c r="Z36" s="253" t="n"/>
      <c r="AA36" s="253" t="n"/>
      <c r="AB36" s="253" t="n"/>
      <c r="AC36" s="253" t="n"/>
      <c r="AD36" s="253" t="n"/>
      <c r="AE36" s="253" t="n"/>
      <c r="AF36" s="253" t="n"/>
      <c r="AG36" s="253" t="n"/>
      <c r="AH36" s="253" t="n"/>
      <c r="AI36" s="253" t="n"/>
      <c r="AJ36" s="253" t="n"/>
      <c r="AK36" s="253" t="n"/>
      <c r="AL36" s="253" t="n"/>
      <c r="AM36" s="253" t="n"/>
      <c r="AN36" s="253" t="n"/>
    </row>
    <row r="37" ht="15" customHeight="1" s="138">
      <c r="A37" s="253" t="n"/>
      <c r="B37" s="253" t="n"/>
      <c r="C37" s="253" t="n"/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53" t="n"/>
      <c r="M37" s="253" t="n"/>
      <c r="N37" s="253" t="n"/>
      <c r="O37" s="253" t="n"/>
      <c r="P37" s="253" t="n"/>
      <c r="Q37" s="253" t="n"/>
      <c r="R37" s="253" t="n"/>
      <c r="S37" s="253" t="n"/>
      <c r="T37" s="253" t="n"/>
      <c r="U37" s="253" t="n"/>
      <c r="V37" s="253" t="n"/>
      <c r="W37" s="253" t="n"/>
      <c r="X37" s="253" t="n"/>
      <c r="Y37" s="253" t="n"/>
      <c r="Z37" s="253" t="n"/>
      <c r="AA37" s="253" t="n"/>
      <c r="AB37" s="253" t="n"/>
      <c r="AC37" s="253" t="n"/>
      <c r="AD37" s="253" t="n"/>
      <c r="AE37" s="253" t="n"/>
      <c r="AF37" s="253" t="n"/>
      <c r="AG37" s="253" t="n"/>
      <c r="AH37" s="253" t="n"/>
      <c r="AI37" s="253" t="n"/>
      <c r="AJ37" s="253" t="n"/>
      <c r="AK37" s="253" t="n"/>
      <c r="AL37" s="253" t="n"/>
      <c r="AM37" s="253" t="n"/>
      <c r="AN37" s="253" t="n"/>
    </row>
    <row r="38" ht="15" customHeight="1" s="138">
      <c r="A38" s="253" t="n"/>
      <c r="B38" s="253" t="n"/>
      <c r="C38" s="253" t="n"/>
      <c r="D38" s="253" t="n"/>
      <c r="E38" s="253" t="n"/>
      <c r="F38" s="253" t="n"/>
      <c r="G38" s="253" t="n"/>
      <c r="H38" s="253" t="n"/>
      <c r="I38" s="253" t="n"/>
      <c r="J38" s="253" t="n"/>
      <c r="K38" s="253" t="n"/>
      <c r="L38" s="25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3" t="n"/>
      <c r="AK38" s="253" t="n"/>
      <c r="AL38" s="253" t="n"/>
      <c r="AM38" s="253" t="n"/>
      <c r="AN38" s="253" t="n"/>
    </row>
    <row r="39" ht="15" customHeight="1" s="138">
      <c r="A39" s="253" t="n"/>
      <c r="B39" s="253" t="n"/>
      <c r="C39" s="253" t="n"/>
      <c r="D39" s="253" t="n"/>
      <c r="E39" s="253" t="n"/>
      <c r="F39" s="253" t="n"/>
      <c r="G39" s="253" t="n"/>
      <c r="H39" s="253" t="n"/>
      <c r="I39" s="253" t="n"/>
      <c r="J39" s="253" t="n"/>
      <c r="K39" s="253" t="n"/>
      <c r="L39" s="253" t="n"/>
      <c r="M39" s="253" t="n"/>
      <c r="N39" s="253" t="n"/>
      <c r="O39" s="253" t="n"/>
      <c r="P39" s="253" t="n"/>
      <c r="Q39" s="253" t="n"/>
      <c r="R39" s="253" t="n"/>
      <c r="S39" s="253" t="n"/>
      <c r="T39" s="253" t="n"/>
      <c r="U39" s="253" t="n"/>
      <c r="V39" s="253" t="n"/>
      <c r="W39" s="253" t="n"/>
      <c r="X39" s="253" t="n"/>
      <c r="Y39" s="253" t="n"/>
      <c r="Z39" s="253" t="n"/>
      <c r="AA39" s="253" t="n"/>
      <c r="AB39" s="253" t="n"/>
      <c r="AC39" s="253" t="n"/>
      <c r="AD39" s="253" t="n"/>
      <c r="AE39" s="253" t="n"/>
      <c r="AF39" s="253" t="n"/>
      <c r="AG39" s="253" t="n"/>
      <c r="AH39" s="253" t="n"/>
      <c r="AI39" s="253" t="n"/>
      <c r="AJ39" s="253" t="n"/>
      <c r="AK39" s="253" t="n"/>
      <c r="AL39" s="253" t="n"/>
      <c r="AM39" s="253" t="n"/>
      <c r="AN39" s="253" t="n"/>
    </row>
    <row r="40" ht="15" customHeight="1" s="138">
      <c r="A40" s="253" t="n"/>
      <c r="B40" s="253" t="n"/>
      <c r="C40" s="253" t="n"/>
      <c r="D40" s="253" t="n"/>
      <c r="E40" s="253" t="n"/>
      <c r="F40" s="253" t="n"/>
      <c r="G40" s="253" t="n"/>
      <c r="H40" s="253" t="n"/>
      <c r="I40" s="253" t="n"/>
      <c r="J40" s="253" t="n"/>
      <c r="K40" s="253" t="n"/>
      <c r="L40" s="253" t="n"/>
      <c r="M40" s="253" t="n"/>
      <c r="N40" s="253" t="n"/>
      <c r="O40" s="253" t="n"/>
      <c r="P40" s="253" t="n"/>
      <c r="Q40" s="253" t="n"/>
      <c r="R40" s="253" t="n"/>
      <c r="S40" s="253" t="n"/>
      <c r="T40" s="253" t="n"/>
      <c r="U40" s="253" t="n"/>
      <c r="V40" s="253" t="n"/>
      <c r="W40" s="253" t="n"/>
      <c r="X40" s="253" t="n"/>
      <c r="Y40" s="253" t="n"/>
      <c r="Z40" s="253" t="n"/>
      <c r="AA40" s="253" t="n"/>
      <c r="AB40" s="253" t="n"/>
      <c r="AC40" s="253" t="n"/>
      <c r="AD40" s="253" t="n"/>
      <c r="AE40" s="253" t="n"/>
      <c r="AF40" s="253" t="n"/>
      <c r="AG40" s="253" t="n"/>
      <c r="AH40" s="253" t="n"/>
      <c r="AI40" s="253" t="n"/>
      <c r="AJ40" s="253" t="n"/>
      <c r="AK40" s="253" t="n"/>
      <c r="AL40" s="253" t="n"/>
      <c r="AM40" s="253" t="n"/>
      <c r="AN4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N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136" min="1" max="1"/>
    <col width="9" customWidth="1" style="136" min="2" max="7"/>
    <col hidden="1" width="9" customWidth="1" style="136" min="9" max="14"/>
  </cols>
  <sheetData>
    <row r="1" ht="18" customHeight="1" s="138">
      <c r="A1" s="266" t="n"/>
      <c r="B1" s="267" t="inlineStr">
        <is>
          <t>Kapı Tipi</t>
        </is>
      </c>
      <c r="C1" s="140" t="n"/>
      <c r="D1" s="140" t="n"/>
      <c r="E1" s="140" t="n"/>
      <c r="F1" s="140" t="n"/>
      <c r="G1" s="141" t="n"/>
    </row>
    <row r="2" ht="25.5" customHeight="1" s="138">
      <c r="A2" s="267" t="inlineStr">
        <is>
          <t>Kapı Genişliği (mm)</t>
        </is>
      </c>
      <c r="B2" s="267" t="inlineStr">
        <is>
          <t>Teleskopik Otomatik</t>
        </is>
      </c>
      <c r="C2" s="141" t="n"/>
      <c r="D2" s="267" t="inlineStr">
        <is>
          <t>Merkezden Açılan Oto.</t>
        </is>
      </c>
      <c r="E2" s="141" t="n"/>
      <c r="F2" s="267" t="inlineStr">
        <is>
          <t>Kabin İçi Oto. Kat K.Ç.</t>
        </is>
      </c>
      <c r="G2" s="141" t="n"/>
    </row>
    <row r="3" ht="15.75" customHeight="1" s="138">
      <c r="A3" s="268" t="n"/>
      <c r="B3" s="269" t="inlineStr">
        <is>
          <t>ta[s]</t>
        </is>
      </c>
      <c r="C3" s="269" t="inlineStr">
        <is>
          <t>tk[s]</t>
        </is>
      </c>
      <c r="D3" s="269" t="inlineStr">
        <is>
          <t>ta[s]</t>
        </is>
      </c>
      <c r="E3" s="269" t="inlineStr">
        <is>
          <t>tk[s]</t>
        </is>
      </c>
      <c r="F3" s="269" t="inlineStr">
        <is>
          <t>ta[s]</t>
        </is>
      </c>
      <c r="G3" s="269" t="inlineStr">
        <is>
          <t>tk[s]</t>
        </is>
      </c>
      <c r="I3" s="136" t="inlineStr">
        <is>
          <t>ta_num</t>
        </is>
      </c>
      <c r="J3" s="136" t="inlineStr">
        <is>
          <t>tk_num</t>
        </is>
      </c>
      <c r="K3" s="136" t="inlineStr">
        <is>
          <t>ta_num</t>
        </is>
      </c>
      <c r="L3" s="136" t="inlineStr">
        <is>
          <t>tk_num</t>
        </is>
      </c>
      <c r="M3" s="136" t="inlineStr">
        <is>
          <t>ta_num</t>
        </is>
      </c>
      <c r="N3" s="136" t="inlineStr">
        <is>
          <t>tk_num</t>
        </is>
      </c>
    </row>
    <row r="4" ht="15" customHeight="1" s="138">
      <c r="A4" s="266" t="n">
        <v>700</v>
      </c>
      <c r="B4" s="266" t="inlineStr">
        <is>
          <t>2,5</t>
        </is>
      </c>
      <c r="C4" s="266" t="inlineStr">
        <is>
          <t>3</t>
        </is>
      </c>
      <c r="D4" s="266" t="inlineStr">
        <is>
          <t>2</t>
        </is>
      </c>
      <c r="E4" s="266" t="inlineStr">
        <is>
          <t>2,5</t>
        </is>
      </c>
      <c r="F4" s="266" t="inlineStr">
        <is>
          <t>5</t>
        </is>
      </c>
      <c r="G4" s="266" t="inlineStr">
        <is>
          <t>5</t>
        </is>
      </c>
      <c r="I4" s="136" t="n">
        <v>2.5</v>
      </c>
      <c r="J4" s="136" t="n">
        <v>3</v>
      </c>
      <c r="K4" s="136" t="n">
        <v>2</v>
      </c>
      <c r="L4" s="136" t="n">
        <v>2.5</v>
      </c>
      <c r="M4" s="136" t="n">
        <v>5</v>
      </c>
      <c r="N4" s="136" t="n">
        <v>5</v>
      </c>
    </row>
    <row r="5" ht="15" customHeight="1" s="138">
      <c r="A5" s="266" t="n">
        <v>800</v>
      </c>
      <c r="B5" s="266" t="inlineStr">
        <is>
          <t>2,5</t>
        </is>
      </c>
      <c r="C5" s="266" t="inlineStr">
        <is>
          <t>3</t>
        </is>
      </c>
      <c r="D5" s="266" t="inlineStr">
        <is>
          <t>2</t>
        </is>
      </c>
      <c r="E5" s="266" t="inlineStr">
        <is>
          <t>2,5</t>
        </is>
      </c>
      <c r="F5" s="266" t="inlineStr">
        <is>
          <t>5</t>
        </is>
      </c>
      <c r="G5" s="266" t="inlineStr">
        <is>
          <t>5</t>
        </is>
      </c>
      <c r="I5" s="136" t="n">
        <v>2.5</v>
      </c>
      <c r="J5" s="136" t="n">
        <v>3</v>
      </c>
      <c r="K5" s="136" t="n">
        <v>2</v>
      </c>
      <c r="L5" s="136" t="n">
        <v>2.5</v>
      </c>
      <c r="M5" s="136" t="n">
        <v>5</v>
      </c>
      <c r="N5" s="136" t="n">
        <v>5</v>
      </c>
    </row>
    <row r="6" ht="15" customHeight="1" s="138">
      <c r="A6" s="266" t="n">
        <v>900</v>
      </c>
      <c r="B6" s="266" t="inlineStr">
        <is>
          <t>2,5</t>
        </is>
      </c>
      <c r="C6" s="266" t="inlineStr">
        <is>
          <t>3,8</t>
        </is>
      </c>
      <c r="D6" s="266" t="inlineStr">
        <is>
          <t>2,3</t>
        </is>
      </c>
      <c r="E6" s="266" t="inlineStr">
        <is>
          <t>2,9</t>
        </is>
      </c>
      <c r="F6" s="266" t="inlineStr">
        <is>
          <t>5</t>
        </is>
      </c>
      <c r="G6" s="266" t="inlineStr">
        <is>
          <t>5</t>
        </is>
      </c>
      <c r="I6" s="136" t="n">
        <v>2.5</v>
      </c>
      <c r="J6" s="136" t="n">
        <v>3.8</v>
      </c>
      <c r="K6" s="136" t="n">
        <v>2.3</v>
      </c>
      <c r="L6" s="136" t="n">
        <v>2.9</v>
      </c>
      <c r="M6" s="136" t="n">
        <v>5</v>
      </c>
      <c r="N6" s="136" t="n">
        <v>5</v>
      </c>
    </row>
    <row r="7" ht="15" customHeight="1" s="138">
      <c r="A7" s="266" t="n">
        <v>1000</v>
      </c>
      <c r="B7" s="266" t="inlineStr">
        <is>
          <t>2,75</t>
        </is>
      </c>
      <c r="C7" s="266" t="inlineStr">
        <is>
          <t>3,9</t>
        </is>
      </c>
      <c r="D7" s="266" t="inlineStr">
        <is>
          <t>2,4</t>
        </is>
      </c>
      <c r="E7" s="266" t="inlineStr">
        <is>
          <t>3,2</t>
        </is>
      </c>
      <c r="F7" s="266" t="inlineStr">
        <is>
          <t>5,5</t>
        </is>
      </c>
      <c r="G7" s="266" t="inlineStr">
        <is>
          <t>5,5</t>
        </is>
      </c>
      <c r="I7" s="136" t="n">
        <v>2.75</v>
      </c>
      <c r="J7" s="136" t="n">
        <v>3.9</v>
      </c>
      <c r="K7" s="136" t="n">
        <v>2.4</v>
      </c>
      <c r="L7" s="136" t="n">
        <v>3.2</v>
      </c>
      <c r="M7" s="136" t="n">
        <v>5.5</v>
      </c>
      <c r="N7" s="136" t="n">
        <v>5.5</v>
      </c>
    </row>
    <row r="8" ht="15" customHeight="1" s="138">
      <c r="A8" s="266" t="n">
        <v>1100</v>
      </c>
      <c r="B8" s="266" t="inlineStr">
        <is>
          <t>3</t>
        </is>
      </c>
      <c r="C8" s="266" t="inlineStr">
        <is>
          <t>4</t>
        </is>
      </c>
      <c r="D8" s="266" t="inlineStr">
        <is>
          <t>2,5</t>
        </is>
      </c>
      <c r="E8" s="266" t="inlineStr">
        <is>
          <t>3,5</t>
        </is>
      </c>
      <c r="F8" s="266" t="inlineStr">
        <is>
          <t>6</t>
        </is>
      </c>
      <c r="G8" s="266" t="inlineStr">
        <is>
          <t>6</t>
        </is>
      </c>
      <c r="I8" s="136" t="n">
        <v>3</v>
      </c>
      <c r="J8" s="136" t="n">
        <v>4</v>
      </c>
      <c r="K8" s="136" t="n">
        <v>2.5</v>
      </c>
      <c r="L8" s="136" t="n">
        <v>3.5</v>
      </c>
      <c r="M8" s="136" t="n">
        <v>6</v>
      </c>
      <c r="N8" s="136" t="n">
        <v>6</v>
      </c>
    </row>
    <row r="9" ht="15" customHeight="1" s="138">
      <c r="A9" s="266" t="n">
        <v>1200</v>
      </c>
      <c r="B9" s="266" t="inlineStr">
        <is>
          <t>3,35</t>
        </is>
      </c>
      <c r="C9" s="266" t="inlineStr">
        <is>
          <t>4,5</t>
        </is>
      </c>
      <c r="D9" s="266" t="inlineStr">
        <is>
          <t>2,6</t>
        </is>
      </c>
      <c r="E9" s="266" t="inlineStr">
        <is>
          <t>3,6</t>
        </is>
      </c>
      <c r="F9" s="266" t="inlineStr">
        <is>
          <t>YOK</t>
        </is>
      </c>
      <c r="G9" s="266" t="inlineStr">
        <is>
          <t>YOK</t>
        </is>
      </c>
      <c r="I9" s="136" t="n">
        <v>3.35</v>
      </c>
      <c r="J9" s="136" t="n">
        <v>4.5</v>
      </c>
      <c r="K9" s="136" t="n">
        <v>2.6</v>
      </c>
      <c r="L9" s="136" t="n">
        <v>3.6</v>
      </c>
      <c r="M9" s="136" t="inlineStr">
        <is>
          <t>YOK</t>
        </is>
      </c>
      <c r="N9" s="136" t="inlineStr">
        <is>
          <t>YOK</t>
        </is>
      </c>
    </row>
    <row r="10" ht="15" customHeight="1" s="138">
      <c r="A10" s="266" t="n">
        <v>1300</v>
      </c>
      <c r="B10" s="266" t="inlineStr">
        <is>
          <t>3,7</t>
        </is>
      </c>
      <c r="C10" s="266" t="inlineStr">
        <is>
          <t>5</t>
        </is>
      </c>
      <c r="D10" s="266" t="inlineStr">
        <is>
          <t>2,7</t>
        </is>
      </c>
      <c r="E10" s="266" t="inlineStr">
        <is>
          <t>3,7</t>
        </is>
      </c>
      <c r="F10" s="266" t="inlineStr">
        <is>
          <t>YOK</t>
        </is>
      </c>
      <c r="G10" s="266" t="inlineStr">
        <is>
          <t>YOK</t>
        </is>
      </c>
      <c r="I10" s="136" t="n">
        <v>3.7</v>
      </c>
      <c r="J10" s="136" t="n">
        <v>5</v>
      </c>
      <c r="K10" s="136" t="n">
        <v>2.7</v>
      </c>
      <c r="L10" s="136" t="n">
        <v>3.7</v>
      </c>
      <c r="M10" s="136" t="inlineStr">
        <is>
          <t>YOK</t>
        </is>
      </c>
      <c r="N10" s="136" t="inlineStr">
        <is>
          <t>YOK</t>
        </is>
      </c>
    </row>
    <row r="11" ht="104" customHeight="1" s="138">
      <c r="A11" s="285" t="inlineStr">
        <is>
          <t>Tablo –4 Kapı açılma ve kapanma zamanları  |  Kaynak: MMO/697, Ocak 2020, s.15 (kitapla birebir doğrulandı)   |   1000 ve 1200 mm satırları MMO/697 Tablo-4'te BASILI DEĞİLDİR; komşu satırlar arasında doğrusal enterpolasyonla türetilmiştir ( 1000 = (900+1100)/2 ,  1200 = (1100+1300)/2 ) — Tablo-6'daki 1,75 ve 3,00 m/s ara değerleriyle aynı yöntem. 'Kabin İçi Oto. Kat K.Ç.' sütunu 1300 mm'de tabloda bulunmadığından 1200 mm için de üretilememiştir; bu iki hücrede imalatçı değeri elle girilmelidir.</t>
        </is>
      </c>
      <c r="B11" s="140" t="n"/>
      <c r="C11" s="140" t="n"/>
      <c r="D11" s="140" t="n"/>
      <c r="E11" s="140" t="n"/>
      <c r="F11" s="140" t="n"/>
      <c r="G11" s="14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6">
    <mergeCell ref="F2:G2"/>
    <mergeCell ref="B2:C2"/>
    <mergeCell ref="D2:E2"/>
    <mergeCell ref="B1:G1"/>
    <mergeCell ref="A2:A3"/>
    <mergeCell ref="A11:G1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36" min="1" max="1"/>
    <col width="7.42" customWidth="1" style="136" min="2" max="2"/>
  </cols>
  <sheetData>
    <row r="1" ht="30" customHeight="1" s="138">
      <c r="A1" s="261" t="inlineStr">
        <is>
          <t>Ana giriş üstündeki kat sayısı (N)</t>
        </is>
      </c>
      <c r="B1" s="262" t="inlineStr">
        <is>
          <t>ASANSÖRÜN KAPASİTESİ (KİŞİ)</t>
        </is>
      </c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3" t="n"/>
      <c r="N1" s="253" t="n"/>
      <c r="O1" s="253" t="n"/>
      <c r="P1" s="253" t="n"/>
      <c r="Q1" s="253" t="n"/>
      <c r="R1" s="253" t="n"/>
      <c r="S1" s="253" t="n"/>
      <c r="T1" s="253" t="n"/>
      <c r="U1" s="253" t="n"/>
      <c r="V1" s="253" t="n"/>
      <c r="W1" s="253" t="n"/>
      <c r="X1" s="253" t="n"/>
      <c r="Y1" s="253" t="n"/>
      <c r="Z1" s="253" t="n"/>
      <c r="AA1" s="253" t="n"/>
      <c r="AB1" s="253" t="n"/>
      <c r="AC1" s="253" t="n"/>
      <c r="AD1" s="253" t="n"/>
      <c r="AE1" s="253" t="n"/>
      <c r="AF1" s="253" t="n"/>
      <c r="AG1" s="253" t="n"/>
      <c r="AH1" s="253" t="n"/>
      <c r="AI1" s="253" t="n"/>
      <c r="AJ1" s="253" t="n"/>
      <c r="AK1" s="253" t="n"/>
      <c r="AL1" s="253" t="n"/>
      <c r="AM1" s="253" t="n"/>
      <c r="AN1" s="253" t="n"/>
    </row>
    <row r="2" ht="18" customHeight="1" s="138">
      <c r="A2" s="253" t="n"/>
      <c r="B2" s="252" t="n">
        <v>6</v>
      </c>
      <c r="C2" s="252" t="n">
        <v>7</v>
      </c>
      <c r="D2" s="252" t="n">
        <v>8</v>
      </c>
      <c r="E2" s="252" t="n">
        <v>9</v>
      </c>
      <c r="F2" s="252" t="n">
        <v>10</v>
      </c>
      <c r="G2" s="252" t="n">
        <v>11</v>
      </c>
      <c r="H2" s="252" t="n">
        <v>12</v>
      </c>
      <c r="I2" s="252" t="n">
        <v>13</v>
      </c>
      <c r="J2" s="252" t="n">
        <v>14</v>
      </c>
      <c r="K2" s="252" t="n">
        <v>15</v>
      </c>
      <c r="L2" s="252" t="n">
        <v>16</v>
      </c>
      <c r="M2" s="252" t="n">
        <v>17</v>
      </c>
      <c r="N2" s="252" t="n">
        <v>18</v>
      </c>
      <c r="O2" s="252" t="n">
        <v>19</v>
      </c>
      <c r="P2" s="252" t="n">
        <v>20</v>
      </c>
      <c r="Q2" s="252" t="n">
        <v>21</v>
      </c>
      <c r="R2" s="251" t="n">
        <v>22</v>
      </c>
      <c r="S2" s="251" t="n">
        <v>23</v>
      </c>
      <c r="T2" s="251" t="n">
        <v>24</v>
      </c>
      <c r="U2" s="251" t="n">
        <v>25</v>
      </c>
      <c r="V2" s="251" t="n">
        <v>26</v>
      </c>
      <c r="W2" s="251" t="n">
        <v>27</v>
      </c>
      <c r="X2" s="251" t="n">
        <v>28</v>
      </c>
      <c r="Y2" s="251" t="n">
        <v>29</v>
      </c>
      <c r="Z2" s="251" t="n">
        <v>30</v>
      </c>
      <c r="AA2" s="251" t="n">
        <v>31</v>
      </c>
      <c r="AB2" s="251" t="n">
        <v>32</v>
      </c>
      <c r="AC2" s="251" t="n">
        <v>33</v>
      </c>
      <c r="AD2" s="251" t="n">
        <v>34</v>
      </c>
      <c r="AE2" s="253" t="n"/>
      <c r="AF2" s="253" t="n"/>
      <c r="AG2" s="253" t="n"/>
      <c r="AH2" s="253" t="n"/>
      <c r="AI2" s="253" t="n"/>
      <c r="AJ2" s="253" t="n"/>
      <c r="AK2" s="253" t="n"/>
      <c r="AL2" s="253" t="n"/>
      <c r="AM2" s="253" t="n"/>
      <c r="AN2" s="253" t="n"/>
    </row>
    <row r="3" ht="15" customHeight="1" s="138">
      <c r="A3" s="255" t="n">
        <v>1</v>
      </c>
      <c r="B3" s="263">
        <f>$A3*(1-(($A3-1)/$A3)^B$2)</f>
        <v/>
      </c>
      <c r="C3" s="263">
        <f>$A3*(1-(($A3-1)/$A3)^C$2)</f>
        <v/>
      </c>
      <c r="D3" s="263">
        <f>$A3*(1-(($A3-1)/$A3)^D$2)</f>
        <v/>
      </c>
      <c r="E3" s="263">
        <f>$A3*(1-(($A3-1)/$A3)^E$2)</f>
        <v/>
      </c>
      <c r="F3" s="263">
        <f>$A3*(1-(($A3-1)/$A3)^F$2)</f>
        <v/>
      </c>
      <c r="G3" s="263">
        <f>$A3*(1-(($A3-1)/$A3)^G$2)</f>
        <v/>
      </c>
      <c r="H3" s="263">
        <f>$A3*(1-(($A3-1)/$A3)^H$2)</f>
        <v/>
      </c>
      <c r="I3" s="263">
        <f>$A3*(1-(($A3-1)/$A3)^I$2)</f>
        <v/>
      </c>
      <c r="J3" s="263">
        <f>$A3*(1-(($A3-1)/$A3)^J$2)</f>
        <v/>
      </c>
      <c r="K3" s="263">
        <f>$A3*(1-(($A3-1)/$A3)^K$2)</f>
        <v/>
      </c>
      <c r="L3" s="263">
        <f>$A3*(1-(($A3-1)/$A3)^L$2)</f>
        <v/>
      </c>
      <c r="M3" s="263">
        <f>$A3*(1-(($A3-1)/$A3)^M$2)</f>
        <v/>
      </c>
      <c r="N3" s="263">
        <f>$A3*(1-(($A3-1)/$A3)^N$2)</f>
        <v/>
      </c>
      <c r="O3" s="263">
        <f>$A3*(1-(($A3-1)/$A3)^O$2)</f>
        <v/>
      </c>
      <c r="P3" s="263">
        <f>$A3*(1-(($A3-1)/$A3)^P$2)</f>
        <v/>
      </c>
      <c r="Q3" s="263">
        <f>$A3*(1-(($A3-1)/$A3)^Q$2)</f>
        <v/>
      </c>
      <c r="R3" s="264">
        <f>$A3*(1-(($A3-1)/$A3)^R$2)</f>
        <v/>
      </c>
      <c r="S3" s="264">
        <f>$A3*(1-(($A3-1)/$A3)^S$2)</f>
        <v/>
      </c>
      <c r="T3" s="264">
        <f>$A3*(1-(($A3-1)/$A3)^T$2)</f>
        <v/>
      </c>
      <c r="U3" s="264">
        <f>$A3*(1-(($A3-1)/$A3)^U$2)</f>
        <v/>
      </c>
      <c r="V3" s="264">
        <f>$A3*(1-(($A3-1)/$A3)^V$2)</f>
        <v/>
      </c>
      <c r="W3" s="264">
        <f>$A3*(1-(($A3-1)/$A3)^W$2)</f>
        <v/>
      </c>
      <c r="X3" s="264">
        <f>$A3*(1-(($A3-1)/$A3)^X$2)</f>
        <v/>
      </c>
      <c r="Y3" s="264">
        <f>$A3*(1-(($A3-1)/$A3)^Y$2)</f>
        <v/>
      </c>
      <c r="Z3" s="264">
        <f>$A3*(1-(($A3-1)/$A3)^Z$2)</f>
        <v/>
      </c>
      <c r="AA3" s="264">
        <f>$A3*(1-(($A3-1)/$A3)^AA$2)</f>
        <v/>
      </c>
      <c r="AB3" s="264">
        <f>$A3*(1-(($A3-1)/$A3)^AB$2)</f>
        <v/>
      </c>
      <c r="AC3" s="264">
        <f>$A3*(1-(($A3-1)/$A3)^AC$2)</f>
        <v/>
      </c>
      <c r="AD3" s="264">
        <f>$A3*(1-(($A3-1)/$A3)^AD$2)</f>
        <v/>
      </c>
      <c r="AE3" s="253" t="n"/>
      <c r="AF3" s="253" t="n"/>
      <c r="AG3" s="253" t="n"/>
      <c r="AH3" s="253" t="n"/>
      <c r="AI3" s="253" t="n"/>
      <c r="AJ3" s="253" t="n"/>
      <c r="AK3" s="253" t="n"/>
      <c r="AL3" s="253" t="n"/>
      <c r="AM3" s="253" t="n"/>
      <c r="AN3" s="253" t="n"/>
    </row>
    <row r="4" ht="15" customHeight="1" s="138">
      <c r="A4" s="255" t="n">
        <v>2</v>
      </c>
      <c r="B4" s="263">
        <f>$A4*(1-(($A4-1)/$A4)^B$2)</f>
        <v/>
      </c>
      <c r="C4" s="263">
        <f>$A4*(1-(($A4-1)/$A4)^C$2)</f>
        <v/>
      </c>
      <c r="D4" s="263">
        <f>$A4*(1-(($A4-1)/$A4)^D$2)</f>
        <v/>
      </c>
      <c r="E4" s="263">
        <f>$A4*(1-(($A4-1)/$A4)^E$2)</f>
        <v/>
      </c>
      <c r="F4" s="263">
        <f>$A4*(1-(($A4-1)/$A4)^F$2)</f>
        <v/>
      </c>
      <c r="G4" s="263">
        <f>$A4*(1-(($A4-1)/$A4)^G$2)</f>
        <v/>
      </c>
      <c r="H4" s="263">
        <f>$A4*(1-(($A4-1)/$A4)^H$2)</f>
        <v/>
      </c>
      <c r="I4" s="263">
        <f>$A4*(1-(($A4-1)/$A4)^I$2)</f>
        <v/>
      </c>
      <c r="J4" s="263">
        <f>$A4*(1-(($A4-1)/$A4)^J$2)</f>
        <v/>
      </c>
      <c r="K4" s="263">
        <f>$A4*(1-(($A4-1)/$A4)^K$2)</f>
        <v/>
      </c>
      <c r="L4" s="263">
        <f>$A4*(1-(($A4-1)/$A4)^L$2)</f>
        <v/>
      </c>
      <c r="M4" s="263">
        <f>$A4*(1-(($A4-1)/$A4)^M$2)</f>
        <v/>
      </c>
      <c r="N4" s="263">
        <f>$A4*(1-(($A4-1)/$A4)^N$2)</f>
        <v/>
      </c>
      <c r="O4" s="263">
        <f>$A4*(1-(($A4-1)/$A4)^O$2)</f>
        <v/>
      </c>
      <c r="P4" s="263">
        <f>$A4*(1-(($A4-1)/$A4)^P$2)</f>
        <v/>
      </c>
      <c r="Q4" s="263">
        <f>$A4*(1-(($A4-1)/$A4)^Q$2)</f>
        <v/>
      </c>
      <c r="R4" s="264">
        <f>$A4*(1-(($A4-1)/$A4)^R$2)</f>
        <v/>
      </c>
      <c r="S4" s="264">
        <f>$A4*(1-(($A4-1)/$A4)^S$2)</f>
        <v/>
      </c>
      <c r="T4" s="264">
        <f>$A4*(1-(($A4-1)/$A4)^T$2)</f>
        <v/>
      </c>
      <c r="U4" s="264">
        <f>$A4*(1-(($A4-1)/$A4)^U$2)</f>
        <v/>
      </c>
      <c r="V4" s="264">
        <f>$A4*(1-(($A4-1)/$A4)^V$2)</f>
        <v/>
      </c>
      <c r="W4" s="264">
        <f>$A4*(1-(($A4-1)/$A4)^W$2)</f>
        <v/>
      </c>
      <c r="X4" s="264">
        <f>$A4*(1-(($A4-1)/$A4)^X$2)</f>
        <v/>
      </c>
      <c r="Y4" s="264">
        <f>$A4*(1-(($A4-1)/$A4)^Y$2)</f>
        <v/>
      </c>
      <c r="Z4" s="264">
        <f>$A4*(1-(($A4-1)/$A4)^Z$2)</f>
        <v/>
      </c>
      <c r="AA4" s="264">
        <f>$A4*(1-(($A4-1)/$A4)^AA$2)</f>
        <v/>
      </c>
      <c r="AB4" s="264">
        <f>$A4*(1-(($A4-1)/$A4)^AB$2)</f>
        <v/>
      </c>
      <c r="AC4" s="264">
        <f>$A4*(1-(($A4-1)/$A4)^AC$2)</f>
        <v/>
      </c>
      <c r="AD4" s="264">
        <f>$A4*(1-(($A4-1)/$A4)^AD$2)</f>
        <v/>
      </c>
      <c r="AE4" s="253" t="n"/>
      <c r="AF4" s="253" t="n"/>
      <c r="AG4" s="253" t="n"/>
      <c r="AH4" s="253" t="n"/>
      <c r="AI4" s="253" t="n"/>
      <c r="AJ4" s="253" t="n"/>
      <c r="AK4" s="253" t="n"/>
      <c r="AL4" s="253" t="n"/>
      <c r="AM4" s="253" t="n"/>
      <c r="AN4" s="253" t="n"/>
    </row>
    <row r="5" ht="15" customHeight="1" s="138">
      <c r="A5" s="255" t="n">
        <v>3</v>
      </c>
      <c r="B5" s="263">
        <f>$A5*(1-(($A5-1)/$A5)^B$2)</f>
        <v/>
      </c>
      <c r="C5" s="263">
        <f>$A5*(1-(($A5-1)/$A5)^C$2)</f>
        <v/>
      </c>
      <c r="D5" s="263">
        <f>$A5*(1-(($A5-1)/$A5)^D$2)</f>
        <v/>
      </c>
      <c r="E5" s="263">
        <f>$A5*(1-(($A5-1)/$A5)^E$2)</f>
        <v/>
      </c>
      <c r="F5" s="263">
        <f>$A5*(1-(($A5-1)/$A5)^F$2)</f>
        <v/>
      </c>
      <c r="G5" s="263">
        <f>$A5*(1-(($A5-1)/$A5)^G$2)</f>
        <v/>
      </c>
      <c r="H5" s="263">
        <f>$A5*(1-(($A5-1)/$A5)^H$2)</f>
        <v/>
      </c>
      <c r="I5" s="263">
        <f>$A5*(1-(($A5-1)/$A5)^I$2)</f>
        <v/>
      </c>
      <c r="J5" s="263">
        <f>$A5*(1-(($A5-1)/$A5)^J$2)</f>
        <v/>
      </c>
      <c r="K5" s="263">
        <f>$A5*(1-(($A5-1)/$A5)^K$2)</f>
        <v/>
      </c>
      <c r="L5" s="263">
        <f>$A5*(1-(($A5-1)/$A5)^L$2)</f>
        <v/>
      </c>
      <c r="M5" s="263">
        <f>$A5*(1-(($A5-1)/$A5)^M$2)</f>
        <v/>
      </c>
      <c r="N5" s="263">
        <f>$A5*(1-(($A5-1)/$A5)^N$2)</f>
        <v/>
      </c>
      <c r="O5" s="263">
        <f>$A5*(1-(($A5-1)/$A5)^O$2)</f>
        <v/>
      </c>
      <c r="P5" s="263">
        <f>$A5*(1-(($A5-1)/$A5)^P$2)</f>
        <v/>
      </c>
      <c r="Q5" s="263">
        <f>$A5*(1-(($A5-1)/$A5)^Q$2)</f>
        <v/>
      </c>
      <c r="R5" s="264">
        <f>$A5*(1-(($A5-1)/$A5)^R$2)</f>
        <v/>
      </c>
      <c r="S5" s="264">
        <f>$A5*(1-(($A5-1)/$A5)^S$2)</f>
        <v/>
      </c>
      <c r="T5" s="264">
        <f>$A5*(1-(($A5-1)/$A5)^T$2)</f>
        <v/>
      </c>
      <c r="U5" s="264">
        <f>$A5*(1-(($A5-1)/$A5)^U$2)</f>
        <v/>
      </c>
      <c r="V5" s="264">
        <f>$A5*(1-(($A5-1)/$A5)^V$2)</f>
        <v/>
      </c>
      <c r="W5" s="264">
        <f>$A5*(1-(($A5-1)/$A5)^W$2)</f>
        <v/>
      </c>
      <c r="X5" s="264">
        <f>$A5*(1-(($A5-1)/$A5)^X$2)</f>
        <v/>
      </c>
      <c r="Y5" s="264">
        <f>$A5*(1-(($A5-1)/$A5)^Y$2)</f>
        <v/>
      </c>
      <c r="Z5" s="264">
        <f>$A5*(1-(($A5-1)/$A5)^Z$2)</f>
        <v/>
      </c>
      <c r="AA5" s="264">
        <f>$A5*(1-(($A5-1)/$A5)^AA$2)</f>
        <v/>
      </c>
      <c r="AB5" s="264">
        <f>$A5*(1-(($A5-1)/$A5)^AB$2)</f>
        <v/>
      </c>
      <c r="AC5" s="264">
        <f>$A5*(1-(($A5-1)/$A5)^AC$2)</f>
        <v/>
      </c>
      <c r="AD5" s="264">
        <f>$A5*(1-(($A5-1)/$A5)^AD$2)</f>
        <v/>
      </c>
      <c r="AE5" s="253" t="n"/>
      <c r="AF5" s="253" t="n"/>
      <c r="AG5" s="253" t="n"/>
      <c r="AH5" s="253" t="n"/>
      <c r="AI5" s="253" t="n"/>
      <c r="AJ5" s="253" t="n"/>
      <c r="AK5" s="253" t="n"/>
      <c r="AL5" s="253" t="n"/>
      <c r="AM5" s="253" t="n"/>
      <c r="AN5" s="253" t="n"/>
    </row>
    <row r="6" ht="15" customHeight="1" s="138">
      <c r="A6" s="255" t="n">
        <v>4</v>
      </c>
      <c r="B6" s="263">
        <f>$A6*(1-(($A6-1)/$A6)^B$2)</f>
        <v/>
      </c>
      <c r="C6" s="263">
        <f>$A6*(1-(($A6-1)/$A6)^C$2)</f>
        <v/>
      </c>
      <c r="D6" s="263">
        <f>$A6*(1-(($A6-1)/$A6)^D$2)</f>
        <v/>
      </c>
      <c r="E6" s="263">
        <f>$A6*(1-(($A6-1)/$A6)^E$2)</f>
        <v/>
      </c>
      <c r="F6" s="263">
        <f>$A6*(1-(($A6-1)/$A6)^F$2)</f>
        <v/>
      </c>
      <c r="G6" s="263">
        <f>$A6*(1-(($A6-1)/$A6)^G$2)</f>
        <v/>
      </c>
      <c r="H6" s="263">
        <f>$A6*(1-(($A6-1)/$A6)^H$2)</f>
        <v/>
      </c>
      <c r="I6" s="263">
        <f>$A6*(1-(($A6-1)/$A6)^I$2)</f>
        <v/>
      </c>
      <c r="J6" s="263">
        <f>$A6*(1-(($A6-1)/$A6)^J$2)</f>
        <v/>
      </c>
      <c r="K6" s="263">
        <f>$A6*(1-(($A6-1)/$A6)^K$2)</f>
        <v/>
      </c>
      <c r="L6" s="263">
        <f>$A6*(1-(($A6-1)/$A6)^L$2)</f>
        <v/>
      </c>
      <c r="M6" s="263">
        <f>$A6*(1-(($A6-1)/$A6)^M$2)</f>
        <v/>
      </c>
      <c r="N6" s="263">
        <f>$A6*(1-(($A6-1)/$A6)^N$2)</f>
        <v/>
      </c>
      <c r="O6" s="263">
        <f>$A6*(1-(($A6-1)/$A6)^O$2)</f>
        <v/>
      </c>
      <c r="P6" s="263">
        <f>$A6*(1-(($A6-1)/$A6)^P$2)</f>
        <v/>
      </c>
      <c r="Q6" s="263">
        <f>$A6*(1-(($A6-1)/$A6)^Q$2)</f>
        <v/>
      </c>
      <c r="R6" s="264">
        <f>$A6*(1-(($A6-1)/$A6)^R$2)</f>
        <v/>
      </c>
      <c r="S6" s="264">
        <f>$A6*(1-(($A6-1)/$A6)^S$2)</f>
        <v/>
      </c>
      <c r="T6" s="264">
        <f>$A6*(1-(($A6-1)/$A6)^T$2)</f>
        <v/>
      </c>
      <c r="U6" s="264">
        <f>$A6*(1-(($A6-1)/$A6)^U$2)</f>
        <v/>
      </c>
      <c r="V6" s="264">
        <f>$A6*(1-(($A6-1)/$A6)^V$2)</f>
        <v/>
      </c>
      <c r="W6" s="264">
        <f>$A6*(1-(($A6-1)/$A6)^W$2)</f>
        <v/>
      </c>
      <c r="X6" s="264">
        <f>$A6*(1-(($A6-1)/$A6)^X$2)</f>
        <v/>
      </c>
      <c r="Y6" s="264">
        <f>$A6*(1-(($A6-1)/$A6)^Y$2)</f>
        <v/>
      </c>
      <c r="Z6" s="264">
        <f>$A6*(1-(($A6-1)/$A6)^Z$2)</f>
        <v/>
      </c>
      <c r="AA6" s="264">
        <f>$A6*(1-(($A6-1)/$A6)^AA$2)</f>
        <v/>
      </c>
      <c r="AB6" s="264">
        <f>$A6*(1-(($A6-1)/$A6)^AB$2)</f>
        <v/>
      </c>
      <c r="AC6" s="264">
        <f>$A6*(1-(($A6-1)/$A6)^AC$2)</f>
        <v/>
      </c>
      <c r="AD6" s="264">
        <f>$A6*(1-(($A6-1)/$A6)^AD$2)</f>
        <v/>
      </c>
      <c r="AE6" s="253" t="n"/>
      <c r="AF6" s="253" t="n"/>
      <c r="AG6" s="253" t="n"/>
      <c r="AH6" s="253" t="n"/>
      <c r="AI6" s="253" t="n"/>
      <c r="AJ6" s="253" t="n"/>
      <c r="AK6" s="253" t="n"/>
      <c r="AL6" s="253" t="n"/>
      <c r="AM6" s="253" t="n"/>
      <c r="AN6" s="253" t="n"/>
    </row>
    <row r="7" ht="15" customHeight="1" s="138">
      <c r="A7" s="255" t="n">
        <v>5</v>
      </c>
      <c r="B7" s="263">
        <f>$A7*(1-(($A7-1)/$A7)^B$2)</f>
        <v/>
      </c>
      <c r="C7" s="263">
        <f>$A7*(1-(($A7-1)/$A7)^C$2)</f>
        <v/>
      </c>
      <c r="D7" s="263">
        <f>$A7*(1-(($A7-1)/$A7)^D$2)</f>
        <v/>
      </c>
      <c r="E7" s="263">
        <f>$A7*(1-(($A7-1)/$A7)^E$2)</f>
        <v/>
      </c>
      <c r="F7" s="263">
        <f>$A7*(1-(($A7-1)/$A7)^F$2)</f>
        <v/>
      </c>
      <c r="G7" s="263">
        <f>$A7*(1-(($A7-1)/$A7)^G$2)</f>
        <v/>
      </c>
      <c r="H7" s="263">
        <f>$A7*(1-(($A7-1)/$A7)^H$2)</f>
        <v/>
      </c>
      <c r="I7" s="263">
        <f>$A7*(1-(($A7-1)/$A7)^I$2)</f>
        <v/>
      </c>
      <c r="J7" s="263">
        <f>$A7*(1-(($A7-1)/$A7)^J$2)</f>
        <v/>
      </c>
      <c r="K7" s="263">
        <f>$A7*(1-(($A7-1)/$A7)^K$2)</f>
        <v/>
      </c>
      <c r="L7" s="263">
        <f>$A7*(1-(($A7-1)/$A7)^L$2)</f>
        <v/>
      </c>
      <c r="M7" s="263">
        <f>$A7*(1-(($A7-1)/$A7)^M$2)</f>
        <v/>
      </c>
      <c r="N7" s="263">
        <f>$A7*(1-(($A7-1)/$A7)^N$2)</f>
        <v/>
      </c>
      <c r="O7" s="263">
        <f>$A7*(1-(($A7-1)/$A7)^O$2)</f>
        <v/>
      </c>
      <c r="P7" s="263">
        <f>$A7*(1-(($A7-1)/$A7)^P$2)</f>
        <v/>
      </c>
      <c r="Q7" s="263">
        <f>$A7*(1-(($A7-1)/$A7)^Q$2)</f>
        <v/>
      </c>
      <c r="R7" s="264">
        <f>$A7*(1-(($A7-1)/$A7)^R$2)</f>
        <v/>
      </c>
      <c r="S7" s="264">
        <f>$A7*(1-(($A7-1)/$A7)^S$2)</f>
        <v/>
      </c>
      <c r="T7" s="264">
        <f>$A7*(1-(($A7-1)/$A7)^T$2)</f>
        <v/>
      </c>
      <c r="U7" s="264">
        <f>$A7*(1-(($A7-1)/$A7)^U$2)</f>
        <v/>
      </c>
      <c r="V7" s="264">
        <f>$A7*(1-(($A7-1)/$A7)^V$2)</f>
        <v/>
      </c>
      <c r="W7" s="264">
        <f>$A7*(1-(($A7-1)/$A7)^W$2)</f>
        <v/>
      </c>
      <c r="X7" s="264">
        <f>$A7*(1-(($A7-1)/$A7)^X$2)</f>
        <v/>
      </c>
      <c r="Y7" s="264">
        <f>$A7*(1-(($A7-1)/$A7)^Y$2)</f>
        <v/>
      </c>
      <c r="Z7" s="264">
        <f>$A7*(1-(($A7-1)/$A7)^Z$2)</f>
        <v/>
      </c>
      <c r="AA7" s="264">
        <f>$A7*(1-(($A7-1)/$A7)^AA$2)</f>
        <v/>
      </c>
      <c r="AB7" s="264">
        <f>$A7*(1-(($A7-1)/$A7)^AB$2)</f>
        <v/>
      </c>
      <c r="AC7" s="264">
        <f>$A7*(1-(($A7-1)/$A7)^AC$2)</f>
        <v/>
      </c>
      <c r="AD7" s="264">
        <f>$A7*(1-(($A7-1)/$A7)^AD$2)</f>
        <v/>
      </c>
      <c r="AE7" s="253" t="n"/>
      <c r="AF7" s="253" t="n"/>
      <c r="AG7" s="253" t="n"/>
      <c r="AH7" s="253" t="n"/>
      <c r="AI7" s="253" t="n"/>
      <c r="AJ7" s="253" t="n"/>
      <c r="AK7" s="253" t="n"/>
      <c r="AL7" s="253" t="n"/>
      <c r="AM7" s="253" t="n"/>
      <c r="AN7" s="253" t="n"/>
    </row>
    <row r="8" ht="15" customHeight="1" s="138">
      <c r="A8" s="255" t="n">
        <v>6</v>
      </c>
      <c r="B8" s="263">
        <f>$A8*(1-(($A8-1)/$A8)^B$2)</f>
        <v/>
      </c>
      <c r="C8" s="263">
        <f>$A8*(1-(($A8-1)/$A8)^C$2)</f>
        <v/>
      </c>
      <c r="D8" s="263">
        <f>$A8*(1-(($A8-1)/$A8)^D$2)</f>
        <v/>
      </c>
      <c r="E8" s="263">
        <f>$A8*(1-(($A8-1)/$A8)^E$2)</f>
        <v/>
      </c>
      <c r="F8" s="263">
        <f>$A8*(1-(($A8-1)/$A8)^F$2)</f>
        <v/>
      </c>
      <c r="G8" s="263">
        <f>$A8*(1-(($A8-1)/$A8)^G$2)</f>
        <v/>
      </c>
      <c r="H8" s="263">
        <f>$A8*(1-(($A8-1)/$A8)^H$2)</f>
        <v/>
      </c>
      <c r="I8" s="263">
        <f>$A8*(1-(($A8-1)/$A8)^I$2)</f>
        <v/>
      </c>
      <c r="J8" s="263">
        <f>$A8*(1-(($A8-1)/$A8)^J$2)</f>
        <v/>
      </c>
      <c r="K8" s="263">
        <f>$A8*(1-(($A8-1)/$A8)^K$2)</f>
        <v/>
      </c>
      <c r="L8" s="263">
        <f>$A8*(1-(($A8-1)/$A8)^L$2)</f>
        <v/>
      </c>
      <c r="M8" s="263">
        <f>$A8*(1-(($A8-1)/$A8)^M$2)</f>
        <v/>
      </c>
      <c r="N8" s="263">
        <f>$A8*(1-(($A8-1)/$A8)^N$2)</f>
        <v/>
      </c>
      <c r="O8" s="263">
        <f>$A8*(1-(($A8-1)/$A8)^O$2)</f>
        <v/>
      </c>
      <c r="P8" s="263">
        <f>$A8*(1-(($A8-1)/$A8)^P$2)</f>
        <v/>
      </c>
      <c r="Q8" s="263">
        <f>$A8*(1-(($A8-1)/$A8)^Q$2)</f>
        <v/>
      </c>
      <c r="R8" s="264">
        <f>$A8*(1-(($A8-1)/$A8)^R$2)</f>
        <v/>
      </c>
      <c r="S8" s="264">
        <f>$A8*(1-(($A8-1)/$A8)^S$2)</f>
        <v/>
      </c>
      <c r="T8" s="264">
        <f>$A8*(1-(($A8-1)/$A8)^T$2)</f>
        <v/>
      </c>
      <c r="U8" s="264">
        <f>$A8*(1-(($A8-1)/$A8)^U$2)</f>
        <v/>
      </c>
      <c r="V8" s="264">
        <f>$A8*(1-(($A8-1)/$A8)^V$2)</f>
        <v/>
      </c>
      <c r="W8" s="264">
        <f>$A8*(1-(($A8-1)/$A8)^W$2)</f>
        <v/>
      </c>
      <c r="X8" s="264">
        <f>$A8*(1-(($A8-1)/$A8)^X$2)</f>
        <v/>
      </c>
      <c r="Y8" s="264">
        <f>$A8*(1-(($A8-1)/$A8)^Y$2)</f>
        <v/>
      </c>
      <c r="Z8" s="264">
        <f>$A8*(1-(($A8-1)/$A8)^Z$2)</f>
        <v/>
      </c>
      <c r="AA8" s="264">
        <f>$A8*(1-(($A8-1)/$A8)^AA$2)</f>
        <v/>
      </c>
      <c r="AB8" s="264">
        <f>$A8*(1-(($A8-1)/$A8)^AB$2)</f>
        <v/>
      </c>
      <c r="AC8" s="264">
        <f>$A8*(1-(($A8-1)/$A8)^AC$2)</f>
        <v/>
      </c>
      <c r="AD8" s="264">
        <f>$A8*(1-(($A8-1)/$A8)^AD$2)</f>
        <v/>
      </c>
      <c r="AE8" s="253" t="n"/>
      <c r="AF8" s="253" t="n"/>
      <c r="AG8" s="253" t="n"/>
      <c r="AH8" s="253" t="n"/>
      <c r="AI8" s="253" t="n"/>
      <c r="AJ8" s="253" t="n"/>
      <c r="AK8" s="253" t="n"/>
      <c r="AL8" s="253" t="n"/>
      <c r="AM8" s="253" t="n"/>
      <c r="AN8" s="253" t="n"/>
    </row>
    <row r="9" ht="15" customHeight="1" s="138">
      <c r="A9" s="255" t="n">
        <v>7</v>
      </c>
      <c r="B9" s="263">
        <f>$A9*(1-(($A9-1)/$A9)^B$2)</f>
        <v/>
      </c>
      <c r="C9" s="263">
        <f>$A9*(1-(($A9-1)/$A9)^C$2)</f>
        <v/>
      </c>
      <c r="D9" s="263">
        <f>$A9*(1-(($A9-1)/$A9)^D$2)</f>
        <v/>
      </c>
      <c r="E9" s="263">
        <f>$A9*(1-(($A9-1)/$A9)^E$2)</f>
        <v/>
      </c>
      <c r="F9" s="263">
        <f>$A9*(1-(($A9-1)/$A9)^F$2)</f>
        <v/>
      </c>
      <c r="G9" s="263">
        <f>$A9*(1-(($A9-1)/$A9)^G$2)</f>
        <v/>
      </c>
      <c r="H9" s="263">
        <f>$A9*(1-(($A9-1)/$A9)^H$2)</f>
        <v/>
      </c>
      <c r="I9" s="263">
        <f>$A9*(1-(($A9-1)/$A9)^I$2)</f>
        <v/>
      </c>
      <c r="J9" s="263">
        <f>$A9*(1-(($A9-1)/$A9)^J$2)</f>
        <v/>
      </c>
      <c r="K9" s="263">
        <f>$A9*(1-(($A9-1)/$A9)^K$2)</f>
        <v/>
      </c>
      <c r="L9" s="263">
        <f>$A9*(1-(($A9-1)/$A9)^L$2)</f>
        <v/>
      </c>
      <c r="M9" s="263">
        <f>$A9*(1-(($A9-1)/$A9)^M$2)</f>
        <v/>
      </c>
      <c r="N9" s="263">
        <f>$A9*(1-(($A9-1)/$A9)^N$2)</f>
        <v/>
      </c>
      <c r="O9" s="263">
        <f>$A9*(1-(($A9-1)/$A9)^O$2)</f>
        <v/>
      </c>
      <c r="P9" s="263">
        <f>$A9*(1-(($A9-1)/$A9)^P$2)</f>
        <v/>
      </c>
      <c r="Q9" s="263">
        <f>$A9*(1-(($A9-1)/$A9)^Q$2)</f>
        <v/>
      </c>
      <c r="R9" s="264">
        <f>$A9*(1-(($A9-1)/$A9)^R$2)</f>
        <v/>
      </c>
      <c r="S9" s="264">
        <f>$A9*(1-(($A9-1)/$A9)^S$2)</f>
        <v/>
      </c>
      <c r="T9" s="264">
        <f>$A9*(1-(($A9-1)/$A9)^T$2)</f>
        <v/>
      </c>
      <c r="U9" s="264">
        <f>$A9*(1-(($A9-1)/$A9)^U$2)</f>
        <v/>
      </c>
      <c r="V9" s="264">
        <f>$A9*(1-(($A9-1)/$A9)^V$2)</f>
        <v/>
      </c>
      <c r="W9" s="264">
        <f>$A9*(1-(($A9-1)/$A9)^W$2)</f>
        <v/>
      </c>
      <c r="X9" s="264">
        <f>$A9*(1-(($A9-1)/$A9)^X$2)</f>
        <v/>
      </c>
      <c r="Y9" s="264">
        <f>$A9*(1-(($A9-1)/$A9)^Y$2)</f>
        <v/>
      </c>
      <c r="Z9" s="264">
        <f>$A9*(1-(($A9-1)/$A9)^Z$2)</f>
        <v/>
      </c>
      <c r="AA9" s="264">
        <f>$A9*(1-(($A9-1)/$A9)^AA$2)</f>
        <v/>
      </c>
      <c r="AB9" s="264">
        <f>$A9*(1-(($A9-1)/$A9)^AB$2)</f>
        <v/>
      </c>
      <c r="AC9" s="264">
        <f>$A9*(1-(($A9-1)/$A9)^AC$2)</f>
        <v/>
      </c>
      <c r="AD9" s="264">
        <f>$A9*(1-(($A9-1)/$A9)^AD$2)</f>
        <v/>
      </c>
      <c r="AE9" s="253" t="n"/>
      <c r="AF9" s="253" t="n"/>
      <c r="AG9" s="253" t="n"/>
      <c r="AH9" s="253" t="n"/>
      <c r="AI9" s="253" t="n"/>
      <c r="AJ9" s="253" t="n"/>
      <c r="AK9" s="253" t="n"/>
      <c r="AL9" s="253" t="n"/>
      <c r="AM9" s="253" t="n"/>
      <c r="AN9" s="253" t="n"/>
    </row>
    <row r="10" ht="15" customHeight="1" s="138">
      <c r="A10" s="255" t="n">
        <v>8</v>
      </c>
      <c r="B10" s="263">
        <f>$A10*(1-(($A10-1)/$A10)^B$2)</f>
        <v/>
      </c>
      <c r="C10" s="263">
        <f>$A10*(1-(($A10-1)/$A10)^C$2)</f>
        <v/>
      </c>
      <c r="D10" s="263">
        <f>$A10*(1-(($A10-1)/$A10)^D$2)</f>
        <v/>
      </c>
      <c r="E10" s="263">
        <f>$A10*(1-(($A10-1)/$A10)^E$2)</f>
        <v/>
      </c>
      <c r="F10" s="263">
        <f>$A10*(1-(($A10-1)/$A10)^F$2)</f>
        <v/>
      </c>
      <c r="G10" s="263">
        <f>$A10*(1-(($A10-1)/$A10)^G$2)</f>
        <v/>
      </c>
      <c r="H10" s="263">
        <f>$A10*(1-(($A10-1)/$A10)^H$2)</f>
        <v/>
      </c>
      <c r="I10" s="263">
        <f>$A10*(1-(($A10-1)/$A10)^I$2)</f>
        <v/>
      </c>
      <c r="J10" s="263">
        <f>$A10*(1-(($A10-1)/$A10)^J$2)</f>
        <v/>
      </c>
      <c r="K10" s="263">
        <f>$A10*(1-(($A10-1)/$A10)^K$2)</f>
        <v/>
      </c>
      <c r="L10" s="263">
        <f>$A10*(1-(($A10-1)/$A10)^L$2)</f>
        <v/>
      </c>
      <c r="M10" s="263">
        <f>$A10*(1-(($A10-1)/$A10)^M$2)</f>
        <v/>
      </c>
      <c r="N10" s="263">
        <f>$A10*(1-(($A10-1)/$A10)^N$2)</f>
        <v/>
      </c>
      <c r="O10" s="263">
        <f>$A10*(1-(($A10-1)/$A10)^O$2)</f>
        <v/>
      </c>
      <c r="P10" s="263">
        <f>$A10*(1-(($A10-1)/$A10)^P$2)</f>
        <v/>
      </c>
      <c r="Q10" s="263">
        <f>$A10*(1-(($A10-1)/$A10)^Q$2)</f>
        <v/>
      </c>
      <c r="R10" s="264">
        <f>$A10*(1-(($A10-1)/$A10)^R$2)</f>
        <v/>
      </c>
      <c r="S10" s="264">
        <f>$A10*(1-(($A10-1)/$A10)^S$2)</f>
        <v/>
      </c>
      <c r="T10" s="264">
        <f>$A10*(1-(($A10-1)/$A10)^T$2)</f>
        <v/>
      </c>
      <c r="U10" s="264">
        <f>$A10*(1-(($A10-1)/$A10)^U$2)</f>
        <v/>
      </c>
      <c r="V10" s="264">
        <f>$A10*(1-(($A10-1)/$A10)^V$2)</f>
        <v/>
      </c>
      <c r="W10" s="264">
        <f>$A10*(1-(($A10-1)/$A10)^W$2)</f>
        <v/>
      </c>
      <c r="X10" s="264">
        <f>$A10*(1-(($A10-1)/$A10)^X$2)</f>
        <v/>
      </c>
      <c r="Y10" s="264">
        <f>$A10*(1-(($A10-1)/$A10)^Y$2)</f>
        <v/>
      </c>
      <c r="Z10" s="264">
        <f>$A10*(1-(($A10-1)/$A10)^Z$2)</f>
        <v/>
      </c>
      <c r="AA10" s="264">
        <f>$A10*(1-(($A10-1)/$A10)^AA$2)</f>
        <v/>
      </c>
      <c r="AB10" s="264">
        <f>$A10*(1-(($A10-1)/$A10)^AB$2)</f>
        <v/>
      </c>
      <c r="AC10" s="264">
        <f>$A10*(1-(($A10-1)/$A10)^AC$2)</f>
        <v/>
      </c>
      <c r="AD10" s="264">
        <f>$A10*(1-(($A10-1)/$A10)^AD$2)</f>
        <v/>
      </c>
      <c r="AE10" s="253" t="n"/>
      <c r="AF10" s="253" t="n"/>
      <c r="AG10" s="253" t="n"/>
      <c r="AH10" s="253" t="n"/>
      <c r="AI10" s="253" t="n"/>
      <c r="AJ10" s="253" t="n"/>
      <c r="AK10" s="253" t="n"/>
      <c r="AL10" s="253" t="n"/>
      <c r="AM10" s="253" t="n"/>
      <c r="AN10" s="253" t="n"/>
    </row>
    <row r="11" ht="15" customHeight="1" s="138">
      <c r="A11" s="255" t="n">
        <v>9</v>
      </c>
      <c r="B11" s="263">
        <f>$A11*(1-(($A11-1)/$A11)^B$2)</f>
        <v/>
      </c>
      <c r="C11" s="263">
        <f>$A11*(1-(($A11-1)/$A11)^C$2)</f>
        <v/>
      </c>
      <c r="D11" s="263">
        <f>$A11*(1-(($A11-1)/$A11)^D$2)</f>
        <v/>
      </c>
      <c r="E11" s="263">
        <f>$A11*(1-(($A11-1)/$A11)^E$2)</f>
        <v/>
      </c>
      <c r="F11" s="263">
        <f>$A11*(1-(($A11-1)/$A11)^F$2)</f>
        <v/>
      </c>
      <c r="G11" s="263">
        <f>$A11*(1-(($A11-1)/$A11)^G$2)</f>
        <v/>
      </c>
      <c r="H11" s="263">
        <f>$A11*(1-(($A11-1)/$A11)^H$2)</f>
        <v/>
      </c>
      <c r="I11" s="263">
        <f>$A11*(1-(($A11-1)/$A11)^I$2)</f>
        <v/>
      </c>
      <c r="J11" s="263">
        <f>$A11*(1-(($A11-1)/$A11)^J$2)</f>
        <v/>
      </c>
      <c r="K11" s="263">
        <f>$A11*(1-(($A11-1)/$A11)^K$2)</f>
        <v/>
      </c>
      <c r="L11" s="263">
        <f>$A11*(1-(($A11-1)/$A11)^L$2)</f>
        <v/>
      </c>
      <c r="M11" s="263">
        <f>$A11*(1-(($A11-1)/$A11)^M$2)</f>
        <v/>
      </c>
      <c r="N11" s="263">
        <f>$A11*(1-(($A11-1)/$A11)^N$2)</f>
        <v/>
      </c>
      <c r="O11" s="263">
        <f>$A11*(1-(($A11-1)/$A11)^O$2)</f>
        <v/>
      </c>
      <c r="P11" s="263">
        <f>$A11*(1-(($A11-1)/$A11)^P$2)</f>
        <v/>
      </c>
      <c r="Q11" s="263">
        <f>$A11*(1-(($A11-1)/$A11)^Q$2)</f>
        <v/>
      </c>
      <c r="R11" s="264">
        <f>$A11*(1-(($A11-1)/$A11)^R$2)</f>
        <v/>
      </c>
      <c r="S11" s="264">
        <f>$A11*(1-(($A11-1)/$A11)^S$2)</f>
        <v/>
      </c>
      <c r="T11" s="264">
        <f>$A11*(1-(($A11-1)/$A11)^T$2)</f>
        <v/>
      </c>
      <c r="U11" s="264">
        <f>$A11*(1-(($A11-1)/$A11)^U$2)</f>
        <v/>
      </c>
      <c r="V11" s="264">
        <f>$A11*(1-(($A11-1)/$A11)^V$2)</f>
        <v/>
      </c>
      <c r="W11" s="264">
        <f>$A11*(1-(($A11-1)/$A11)^W$2)</f>
        <v/>
      </c>
      <c r="X11" s="264">
        <f>$A11*(1-(($A11-1)/$A11)^X$2)</f>
        <v/>
      </c>
      <c r="Y11" s="264">
        <f>$A11*(1-(($A11-1)/$A11)^Y$2)</f>
        <v/>
      </c>
      <c r="Z11" s="264">
        <f>$A11*(1-(($A11-1)/$A11)^Z$2)</f>
        <v/>
      </c>
      <c r="AA11" s="264">
        <f>$A11*(1-(($A11-1)/$A11)^AA$2)</f>
        <v/>
      </c>
      <c r="AB11" s="264">
        <f>$A11*(1-(($A11-1)/$A11)^AB$2)</f>
        <v/>
      </c>
      <c r="AC11" s="264">
        <f>$A11*(1-(($A11-1)/$A11)^AC$2)</f>
        <v/>
      </c>
      <c r="AD11" s="264">
        <f>$A11*(1-(($A11-1)/$A11)^AD$2)</f>
        <v/>
      </c>
      <c r="AE11" s="253" t="n"/>
      <c r="AF11" s="253" t="n"/>
      <c r="AG11" s="253" t="n"/>
      <c r="AH11" s="253" t="n"/>
      <c r="AI11" s="253" t="n"/>
      <c r="AJ11" s="253" t="n"/>
      <c r="AK11" s="253" t="n"/>
      <c r="AL11" s="253" t="n"/>
      <c r="AM11" s="253" t="n"/>
      <c r="AN11" s="253" t="n"/>
    </row>
    <row r="12" ht="15" customHeight="1" s="138">
      <c r="A12" s="255" t="n">
        <v>10</v>
      </c>
      <c r="B12" s="263">
        <f>$A12*(1-(($A12-1)/$A12)^B$2)</f>
        <v/>
      </c>
      <c r="C12" s="263">
        <f>$A12*(1-(($A12-1)/$A12)^C$2)</f>
        <v/>
      </c>
      <c r="D12" s="263">
        <f>$A12*(1-(($A12-1)/$A12)^D$2)</f>
        <v/>
      </c>
      <c r="E12" s="263">
        <f>$A12*(1-(($A12-1)/$A12)^E$2)</f>
        <v/>
      </c>
      <c r="F12" s="263">
        <f>$A12*(1-(($A12-1)/$A12)^F$2)</f>
        <v/>
      </c>
      <c r="G12" s="263">
        <f>$A12*(1-(($A12-1)/$A12)^G$2)</f>
        <v/>
      </c>
      <c r="H12" s="263">
        <f>$A12*(1-(($A12-1)/$A12)^H$2)</f>
        <v/>
      </c>
      <c r="I12" s="263">
        <f>$A12*(1-(($A12-1)/$A12)^I$2)</f>
        <v/>
      </c>
      <c r="J12" s="263">
        <f>$A12*(1-(($A12-1)/$A12)^J$2)</f>
        <v/>
      </c>
      <c r="K12" s="263">
        <f>$A12*(1-(($A12-1)/$A12)^K$2)</f>
        <v/>
      </c>
      <c r="L12" s="263">
        <f>$A12*(1-(($A12-1)/$A12)^L$2)</f>
        <v/>
      </c>
      <c r="M12" s="263">
        <f>$A12*(1-(($A12-1)/$A12)^M$2)</f>
        <v/>
      </c>
      <c r="N12" s="263">
        <f>$A12*(1-(($A12-1)/$A12)^N$2)</f>
        <v/>
      </c>
      <c r="O12" s="263">
        <f>$A12*(1-(($A12-1)/$A12)^O$2)</f>
        <v/>
      </c>
      <c r="P12" s="263">
        <f>$A12*(1-(($A12-1)/$A12)^P$2)</f>
        <v/>
      </c>
      <c r="Q12" s="263">
        <f>$A12*(1-(($A12-1)/$A12)^Q$2)</f>
        <v/>
      </c>
      <c r="R12" s="264">
        <f>$A12*(1-(($A12-1)/$A12)^R$2)</f>
        <v/>
      </c>
      <c r="S12" s="264">
        <f>$A12*(1-(($A12-1)/$A12)^S$2)</f>
        <v/>
      </c>
      <c r="T12" s="264">
        <f>$A12*(1-(($A12-1)/$A12)^T$2)</f>
        <v/>
      </c>
      <c r="U12" s="264">
        <f>$A12*(1-(($A12-1)/$A12)^U$2)</f>
        <v/>
      </c>
      <c r="V12" s="264">
        <f>$A12*(1-(($A12-1)/$A12)^V$2)</f>
        <v/>
      </c>
      <c r="W12" s="264">
        <f>$A12*(1-(($A12-1)/$A12)^W$2)</f>
        <v/>
      </c>
      <c r="X12" s="264">
        <f>$A12*(1-(($A12-1)/$A12)^X$2)</f>
        <v/>
      </c>
      <c r="Y12" s="264">
        <f>$A12*(1-(($A12-1)/$A12)^Y$2)</f>
        <v/>
      </c>
      <c r="Z12" s="264">
        <f>$A12*(1-(($A12-1)/$A12)^Z$2)</f>
        <v/>
      </c>
      <c r="AA12" s="264">
        <f>$A12*(1-(($A12-1)/$A12)^AA$2)</f>
        <v/>
      </c>
      <c r="AB12" s="264">
        <f>$A12*(1-(($A12-1)/$A12)^AB$2)</f>
        <v/>
      </c>
      <c r="AC12" s="264">
        <f>$A12*(1-(($A12-1)/$A12)^AC$2)</f>
        <v/>
      </c>
      <c r="AD12" s="264">
        <f>$A12*(1-(($A12-1)/$A12)^AD$2)</f>
        <v/>
      </c>
      <c r="AE12" s="253" t="n"/>
      <c r="AF12" s="253" t="n"/>
      <c r="AG12" s="253" t="n"/>
      <c r="AH12" s="253" t="n"/>
      <c r="AI12" s="253" t="n"/>
      <c r="AJ12" s="253" t="n"/>
      <c r="AK12" s="253" t="n"/>
      <c r="AL12" s="253" t="n"/>
      <c r="AM12" s="253" t="n"/>
      <c r="AN12" s="253" t="n"/>
    </row>
    <row r="13" ht="15" customHeight="1" s="138">
      <c r="A13" s="255" t="n">
        <v>11</v>
      </c>
      <c r="B13" s="263">
        <f>$A13*(1-(($A13-1)/$A13)^B$2)</f>
        <v/>
      </c>
      <c r="C13" s="263">
        <f>$A13*(1-(($A13-1)/$A13)^C$2)</f>
        <v/>
      </c>
      <c r="D13" s="263">
        <f>$A13*(1-(($A13-1)/$A13)^D$2)</f>
        <v/>
      </c>
      <c r="E13" s="263">
        <f>$A13*(1-(($A13-1)/$A13)^E$2)</f>
        <v/>
      </c>
      <c r="F13" s="263">
        <f>$A13*(1-(($A13-1)/$A13)^F$2)</f>
        <v/>
      </c>
      <c r="G13" s="263">
        <f>$A13*(1-(($A13-1)/$A13)^G$2)</f>
        <v/>
      </c>
      <c r="H13" s="263">
        <f>$A13*(1-(($A13-1)/$A13)^H$2)</f>
        <v/>
      </c>
      <c r="I13" s="263">
        <f>$A13*(1-(($A13-1)/$A13)^I$2)</f>
        <v/>
      </c>
      <c r="J13" s="263">
        <f>$A13*(1-(($A13-1)/$A13)^J$2)</f>
        <v/>
      </c>
      <c r="K13" s="263">
        <f>$A13*(1-(($A13-1)/$A13)^K$2)</f>
        <v/>
      </c>
      <c r="L13" s="263">
        <f>$A13*(1-(($A13-1)/$A13)^L$2)</f>
        <v/>
      </c>
      <c r="M13" s="263">
        <f>$A13*(1-(($A13-1)/$A13)^M$2)</f>
        <v/>
      </c>
      <c r="N13" s="263">
        <f>$A13*(1-(($A13-1)/$A13)^N$2)</f>
        <v/>
      </c>
      <c r="O13" s="263">
        <f>$A13*(1-(($A13-1)/$A13)^O$2)</f>
        <v/>
      </c>
      <c r="P13" s="263">
        <f>$A13*(1-(($A13-1)/$A13)^P$2)</f>
        <v/>
      </c>
      <c r="Q13" s="263">
        <f>$A13*(1-(($A13-1)/$A13)^Q$2)</f>
        <v/>
      </c>
      <c r="R13" s="264">
        <f>$A13*(1-(($A13-1)/$A13)^R$2)</f>
        <v/>
      </c>
      <c r="S13" s="264">
        <f>$A13*(1-(($A13-1)/$A13)^S$2)</f>
        <v/>
      </c>
      <c r="T13" s="264">
        <f>$A13*(1-(($A13-1)/$A13)^T$2)</f>
        <v/>
      </c>
      <c r="U13" s="264">
        <f>$A13*(1-(($A13-1)/$A13)^U$2)</f>
        <v/>
      </c>
      <c r="V13" s="264">
        <f>$A13*(1-(($A13-1)/$A13)^V$2)</f>
        <v/>
      </c>
      <c r="W13" s="264">
        <f>$A13*(1-(($A13-1)/$A13)^W$2)</f>
        <v/>
      </c>
      <c r="X13" s="264">
        <f>$A13*(1-(($A13-1)/$A13)^X$2)</f>
        <v/>
      </c>
      <c r="Y13" s="264">
        <f>$A13*(1-(($A13-1)/$A13)^Y$2)</f>
        <v/>
      </c>
      <c r="Z13" s="264">
        <f>$A13*(1-(($A13-1)/$A13)^Z$2)</f>
        <v/>
      </c>
      <c r="AA13" s="264">
        <f>$A13*(1-(($A13-1)/$A13)^AA$2)</f>
        <v/>
      </c>
      <c r="AB13" s="264">
        <f>$A13*(1-(($A13-1)/$A13)^AB$2)</f>
        <v/>
      </c>
      <c r="AC13" s="264">
        <f>$A13*(1-(($A13-1)/$A13)^AC$2)</f>
        <v/>
      </c>
      <c r="AD13" s="264">
        <f>$A13*(1-(($A13-1)/$A13)^AD$2)</f>
        <v/>
      </c>
      <c r="AE13" s="253" t="n"/>
      <c r="AF13" s="253" t="n"/>
      <c r="AG13" s="253" t="n"/>
      <c r="AH13" s="253" t="n"/>
      <c r="AI13" s="253" t="n"/>
      <c r="AJ13" s="253" t="n"/>
      <c r="AK13" s="253" t="n"/>
      <c r="AL13" s="253" t="n"/>
      <c r="AM13" s="253" t="n"/>
      <c r="AN13" s="253" t="n"/>
    </row>
    <row r="14" ht="15" customHeight="1" s="138">
      <c r="A14" s="255" t="n">
        <v>12</v>
      </c>
      <c r="B14" s="263">
        <f>$A14*(1-(($A14-1)/$A14)^B$2)</f>
        <v/>
      </c>
      <c r="C14" s="263">
        <f>$A14*(1-(($A14-1)/$A14)^C$2)</f>
        <v/>
      </c>
      <c r="D14" s="263">
        <f>$A14*(1-(($A14-1)/$A14)^D$2)</f>
        <v/>
      </c>
      <c r="E14" s="263">
        <f>$A14*(1-(($A14-1)/$A14)^E$2)</f>
        <v/>
      </c>
      <c r="F14" s="263">
        <f>$A14*(1-(($A14-1)/$A14)^F$2)</f>
        <v/>
      </c>
      <c r="G14" s="263">
        <f>$A14*(1-(($A14-1)/$A14)^G$2)</f>
        <v/>
      </c>
      <c r="H14" s="263">
        <f>$A14*(1-(($A14-1)/$A14)^H$2)</f>
        <v/>
      </c>
      <c r="I14" s="263">
        <f>$A14*(1-(($A14-1)/$A14)^I$2)</f>
        <v/>
      </c>
      <c r="J14" s="263">
        <f>$A14*(1-(($A14-1)/$A14)^J$2)</f>
        <v/>
      </c>
      <c r="K14" s="263">
        <f>$A14*(1-(($A14-1)/$A14)^K$2)</f>
        <v/>
      </c>
      <c r="L14" s="263">
        <f>$A14*(1-(($A14-1)/$A14)^L$2)</f>
        <v/>
      </c>
      <c r="M14" s="263">
        <f>$A14*(1-(($A14-1)/$A14)^M$2)</f>
        <v/>
      </c>
      <c r="N14" s="263">
        <f>$A14*(1-(($A14-1)/$A14)^N$2)</f>
        <v/>
      </c>
      <c r="O14" s="263">
        <f>$A14*(1-(($A14-1)/$A14)^O$2)</f>
        <v/>
      </c>
      <c r="P14" s="263">
        <f>$A14*(1-(($A14-1)/$A14)^P$2)</f>
        <v/>
      </c>
      <c r="Q14" s="263">
        <f>$A14*(1-(($A14-1)/$A14)^Q$2)</f>
        <v/>
      </c>
      <c r="R14" s="264">
        <f>$A14*(1-(($A14-1)/$A14)^R$2)</f>
        <v/>
      </c>
      <c r="S14" s="264">
        <f>$A14*(1-(($A14-1)/$A14)^S$2)</f>
        <v/>
      </c>
      <c r="T14" s="264">
        <f>$A14*(1-(($A14-1)/$A14)^T$2)</f>
        <v/>
      </c>
      <c r="U14" s="264">
        <f>$A14*(1-(($A14-1)/$A14)^U$2)</f>
        <v/>
      </c>
      <c r="V14" s="264">
        <f>$A14*(1-(($A14-1)/$A14)^V$2)</f>
        <v/>
      </c>
      <c r="W14" s="264">
        <f>$A14*(1-(($A14-1)/$A14)^W$2)</f>
        <v/>
      </c>
      <c r="X14" s="264">
        <f>$A14*(1-(($A14-1)/$A14)^X$2)</f>
        <v/>
      </c>
      <c r="Y14" s="264">
        <f>$A14*(1-(($A14-1)/$A14)^Y$2)</f>
        <v/>
      </c>
      <c r="Z14" s="264">
        <f>$A14*(1-(($A14-1)/$A14)^Z$2)</f>
        <v/>
      </c>
      <c r="AA14" s="264">
        <f>$A14*(1-(($A14-1)/$A14)^AA$2)</f>
        <v/>
      </c>
      <c r="AB14" s="264">
        <f>$A14*(1-(($A14-1)/$A14)^AB$2)</f>
        <v/>
      </c>
      <c r="AC14" s="264">
        <f>$A14*(1-(($A14-1)/$A14)^AC$2)</f>
        <v/>
      </c>
      <c r="AD14" s="264">
        <f>$A14*(1-(($A14-1)/$A14)^AD$2)</f>
        <v/>
      </c>
      <c r="AE14" s="253" t="n"/>
      <c r="AF14" s="253" t="n"/>
      <c r="AG14" s="253" t="n"/>
      <c r="AH14" s="253" t="n"/>
      <c r="AI14" s="253" t="n"/>
      <c r="AJ14" s="253" t="n"/>
      <c r="AK14" s="253" t="n"/>
      <c r="AL14" s="253" t="n"/>
      <c r="AM14" s="253" t="n"/>
      <c r="AN14" s="253" t="n"/>
    </row>
    <row r="15" ht="15" customHeight="1" s="138">
      <c r="A15" s="255" t="n">
        <v>13</v>
      </c>
      <c r="B15" s="263">
        <f>$A15*(1-(($A15-1)/$A15)^B$2)</f>
        <v/>
      </c>
      <c r="C15" s="263">
        <f>$A15*(1-(($A15-1)/$A15)^C$2)</f>
        <v/>
      </c>
      <c r="D15" s="263">
        <f>$A15*(1-(($A15-1)/$A15)^D$2)</f>
        <v/>
      </c>
      <c r="E15" s="263">
        <f>$A15*(1-(($A15-1)/$A15)^E$2)</f>
        <v/>
      </c>
      <c r="F15" s="263">
        <f>$A15*(1-(($A15-1)/$A15)^F$2)</f>
        <v/>
      </c>
      <c r="G15" s="263">
        <f>$A15*(1-(($A15-1)/$A15)^G$2)</f>
        <v/>
      </c>
      <c r="H15" s="263">
        <f>$A15*(1-(($A15-1)/$A15)^H$2)</f>
        <v/>
      </c>
      <c r="I15" s="263">
        <f>$A15*(1-(($A15-1)/$A15)^I$2)</f>
        <v/>
      </c>
      <c r="J15" s="263">
        <f>$A15*(1-(($A15-1)/$A15)^J$2)</f>
        <v/>
      </c>
      <c r="K15" s="263">
        <f>$A15*(1-(($A15-1)/$A15)^K$2)</f>
        <v/>
      </c>
      <c r="L15" s="263">
        <f>$A15*(1-(($A15-1)/$A15)^L$2)</f>
        <v/>
      </c>
      <c r="M15" s="263">
        <f>$A15*(1-(($A15-1)/$A15)^M$2)</f>
        <v/>
      </c>
      <c r="N15" s="263">
        <f>$A15*(1-(($A15-1)/$A15)^N$2)</f>
        <v/>
      </c>
      <c r="O15" s="263">
        <f>$A15*(1-(($A15-1)/$A15)^O$2)</f>
        <v/>
      </c>
      <c r="P15" s="263">
        <f>$A15*(1-(($A15-1)/$A15)^P$2)</f>
        <v/>
      </c>
      <c r="Q15" s="263">
        <f>$A15*(1-(($A15-1)/$A15)^Q$2)</f>
        <v/>
      </c>
      <c r="R15" s="264">
        <f>$A15*(1-(($A15-1)/$A15)^R$2)</f>
        <v/>
      </c>
      <c r="S15" s="264">
        <f>$A15*(1-(($A15-1)/$A15)^S$2)</f>
        <v/>
      </c>
      <c r="T15" s="264">
        <f>$A15*(1-(($A15-1)/$A15)^T$2)</f>
        <v/>
      </c>
      <c r="U15" s="264">
        <f>$A15*(1-(($A15-1)/$A15)^U$2)</f>
        <v/>
      </c>
      <c r="V15" s="264">
        <f>$A15*(1-(($A15-1)/$A15)^V$2)</f>
        <v/>
      </c>
      <c r="W15" s="264">
        <f>$A15*(1-(($A15-1)/$A15)^W$2)</f>
        <v/>
      </c>
      <c r="X15" s="264">
        <f>$A15*(1-(($A15-1)/$A15)^X$2)</f>
        <v/>
      </c>
      <c r="Y15" s="264">
        <f>$A15*(1-(($A15-1)/$A15)^Y$2)</f>
        <v/>
      </c>
      <c r="Z15" s="264">
        <f>$A15*(1-(($A15-1)/$A15)^Z$2)</f>
        <v/>
      </c>
      <c r="AA15" s="264">
        <f>$A15*(1-(($A15-1)/$A15)^AA$2)</f>
        <v/>
      </c>
      <c r="AB15" s="264">
        <f>$A15*(1-(($A15-1)/$A15)^AB$2)</f>
        <v/>
      </c>
      <c r="AC15" s="264">
        <f>$A15*(1-(($A15-1)/$A15)^AC$2)</f>
        <v/>
      </c>
      <c r="AD15" s="264">
        <f>$A15*(1-(($A15-1)/$A15)^AD$2)</f>
        <v/>
      </c>
      <c r="AE15" s="253" t="n"/>
      <c r="AF15" s="253" t="n"/>
      <c r="AG15" s="253" t="n"/>
      <c r="AH15" s="253" t="n"/>
      <c r="AI15" s="253" t="n"/>
      <c r="AJ15" s="253" t="n"/>
      <c r="AK15" s="253" t="n"/>
      <c r="AL15" s="253" t="n"/>
      <c r="AM15" s="253" t="n"/>
      <c r="AN15" s="253" t="n"/>
    </row>
    <row r="16" ht="15" customHeight="1" s="138">
      <c r="A16" s="255" t="n">
        <v>14</v>
      </c>
      <c r="B16" s="263">
        <f>$A16*(1-(($A16-1)/$A16)^B$2)</f>
        <v/>
      </c>
      <c r="C16" s="263">
        <f>$A16*(1-(($A16-1)/$A16)^C$2)</f>
        <v/>
      </c>
      <c r="D16" s="263">
        <f>$A16*(1-(($A16-1)/$A16)^D$2)</f>
        <v/>
      </c>
      <c r="E16" s="263">
        <f>$A16*(1-(($A16-1)/$A16)^E$2)</f>
        <v/>
      </c>
      <c r="F16" s="263">
        <f>$A16*(1-(($A16-1)/$A16)^F$2)</f>
        <v/>
      </c>
      <c r="G16" s="263">
        <f>$A16*(1-(($A16-1)/$A16)^G$2)</f>
        <v/>
      </c>
      <c r="H16" s="263">
        <f>$A16*(1-(($A16-1)/$A16)^H$2)</f>
        <v/>
      </c>
      <c r="I16" s="263">
        <f>$A16*(1-(($A16-1)/$A16)^I$2)</f>
        <v/>
      </c>
      <c r="J16" s="263">
        <f>$A16*(1-(($A16-1)/$A16)^J$2)</f>
        <v/>
      </c>
      <c r="K16" s="263">
        <f>$A16*(1-(($A16-1)/$A16)^K$2)</f>
        <v/>
      </c>
      <c r="L16" s="263">
        <f>$A16*(1-(($A16-1)/$A16)^L$2)</f>
        <v/>
      </c>
      <c r="M16" s="263">
        <f>$A16*(1-(($A16-1)/$A16)^M$2)</f>
        <v/>
      </c>
      <c r="N16" s="263">
        <f>$A16*(1-(($A16-1)/$A16)^N$2)</f>
        <v/>
      </c>
      <c r="O16" s="263">
        <f>$A16*(1-(($A16-1)/$A16)^O$2)</f>
        <v/>
      </c>
      <c r="P16" s="263">
        <f>$A16*(1-(($A16-1)/$A16)^P$2)</f>
        <v/>
      </c>
      <c r="Q16" s="263">
        <f>$A16*(1-(($A16-1)/$A16)^Q$2)</f>
        <v/>
      </c>
      <c r="R16" s="264">
        <f>$A16*(1-(($A16-1)/$A16)^R$2)</f>
        <v/>
      </c>
      <c r="S16" s="264">
        <f>$A16*(1-(($A16-1)/$A16)^S$2)</f>
        <v/>
      </c>
      <c r="T16" s="264">
        <f>$A16*(1-(($A16-1)/$A16)^T$2)</f>
        <v/>
      </c>
      <c r="U16" s="264">
        <f>$A16*(1-(($A16-1)/$A16)^U$2)</f>
        <v/>
      </c>
      <c r="V16" s="264">
        <f>$A16*(1-(($A16-1)/$A16)^V$2)</f>
        <v/>
      </c>
      <c r="W16" s="264">
        <f>$A16*(1-(($A16-1)/$A16)^W$2)</f>
        <v/>
      </c>
      <c r="X16" s="264">
        <f>$A16*(1-(($A16-1)/$A16)^X$2)</f>
        <v/>
      </c>
      <c r="Y16" s="264">
        <f>$A16*(1-(($A16-1)/$A16)^Y$2)</f>
        <v/>
      </c>
      <c r="Z16" s="264">
        <f>$A16*(1-(($A16-1)/$A16)^Z$2)</f>
        <v/>
      </c>
      <c r="AA16" s="264">
        <f>$A16*(1-(($A16-1)/$A16)^AA$2)</f>
        <v/>
      </c>
      <c r="AB16" s="264">
        <f>$A16*(1-(($A16-1)/$A16)^AB$2)</f>
        <v/>
      </c>
      <c r="AC16" s="264">
        <f>$A16*(1-(($A16-1)/$A16)^AC$2)</f>
        <v/>
      </c>
      <c r="AD16" s="264">
        <f>$A16*(1-(($A16-1)/$A16)^AD$2)</f>
        <v/>
      </c>
      <c r="AE16" s="253" t="n"/>
      <c r="AF16" s="253" t="n"/>
      <c r="AG16" s="253" t="n"/>
      <c r="AH16" s="253" t="n"/>
      <c r="AI16" s="253" t="n"/>
      <c r="AJ16" s="253" t="n"/>
      <c r="AK16" s="253" t="n"/>
      <c r="AL16" s="253" t="n"/>
      <c r="AM16" s="253" t="n"/>
      <c r="AN16" s="253" t="n"/>
    </row>
    <row r="17" ht="15" customHeight="1" s="138">
      <c r="A17" s="255" t="n">
        <v>15</v>
      </c>
      <c r="B17" s="263">
        <f>$A17*(1-(($A17-1)/$A17)^B$2)</f>
        <v/>
      </c>
      <c r="C17" s="263">
        <f>$A17*(1-(($A17-1)/$A17)^C$2)</f>
        <v/>
      </c>
      <c r="D17" s="263">
        <f>$A17*(1-(($A17-1)/$A17)^D$2)</f>
        <v/>
      </c>
      <c r="E17" s="263">
        <f>$A17*(1-(($A17-1)/$A17)^E$2)</f>
        <v/>
      </c>
      <c r="F17" s="263">
        <f>$A17*(1-(($A17-1)/$A17)^F$2)</f>
        <v/>
      </c>
      <c r="G17" s="263">
        <f>$A17*(1-(($A17-1)/$A17)^G$2)</f>
        <v/>
      </c>
      <c r="H17" s="263">
        <f>$A17*(1-(($A17-1)/$A17)^H$2)</f>
        <v/>
      </c>
      <c r="I17" s="263">
        <f>$A17*(1-(($A17-1)/$A17)^I$2)</f>
        <v/>
      </c>
      <c r="J17" s="263">
        <f>$A17*(1-(($A17-1)/$A17)^J$2)</f>
        <v/>
      </c>
      <c r="K17" s="263">
        <f>$A17*(1-(($A17-1)/$A17)^K$2)</f>
        <v/>
      </c>
      <c r="L17" s="263">
        <f>$A17*(1-(($A17-1)/$A17)^L$2)</f>
        <v/>
      </c>
      <c r="M17" s="263">
        <f>$A17*(1-(($A17-1)/$A17)^M$2)</f>
        <v/>
      </c>
      <c r="N17" s="263">
        <f>$A17*(1-(($A17-1)/$A17)^N$2)</f>
        <v/>
      </c>
      <c r="O17" s="263">
        <f>$A17*(1-(($A17-1)/$A17)^O$2)</f>
        <v/>
      </c>
      <c r="P17" s="263">
        <f>$A17*(1-(($A17-1)/$A17)^P$2)</f>
        <v/>
      </c>
      <c r="Q17" s="263">
        <f>$A17*(1-(($A17-1)/$A17)^Q$2)</f>
        <v/>
      </c>
      <c r="R17" s="264">
        <f>$A17*(1-(($A17-1)/$A17)^R$2)</f>
        <v/>
      </c>
      <c r="S17" s="264">
        <f>$A17*(1-(($A17-1)/$A17)^S$2)</f>
        <v/>
      </c>
      <c r="T17" s="264">
        <f>$A17*(1-(($A17-1)/$A17)^T$2)</f>
        <v/>
      </c>
      <c r="U17" s="264">
        <f>$A17*(1-(($A17-1)/$A17)^U$2)</f>
        <v/>
      </c>
      <c r="V17" s="264">
        <f>$A17*(1-(($A17-1)/$A17)^V$2)</f>
        <v/>
      </c>
      <c r="W17" s="264">
        <f>$A17*(1-(($A17-1)/$A17)^W$2)</f>
        <v/>
      </c>
      <c r="X17" s="264">
        <f>$A17*(1-(($A17-1)/$A17)^X$2)</f>
        <v/>
      </c>
      <c r="Y17" s="264">
        <f>$A17*(1-(($A17-1)/$A17)^Y$2)</f>
        <v/>
      </c>
      <c r="Z17" s="264">
        <f>$A17*(1-(($A17-1)/$A17)^Z$2)</f>
        <v/>
      </c>
      <c r="AA17" s="264">
        <f>$A17*(1-(($A17-1)/$A17)^AA$2)</f>
        <v/>
      </c>
      <c r="AB17" s="264">
        <f>$A17*(1-(($A17-1)/$A17)^AB$2)</f>
        <v/>
      </c>
      <c r="AC17" s="264">
        <f>$A17*(1-(($A17-1)/$A17)^AC$2)</f>
        <v/>
      </c>
      <c r="AD17" s="264">
        <f>$A17*(1-(($A17-1)/$A17)^AD$2)</f>
        <v/>
      </c>
      <c r="AE17" s="253" t="n"/>
      <c r="AF17" s="253" t="n"/>
      <c r="AG17" s="253" t="n"/>
      <c r="AH17" s="253" t="n"/>
      <c r="AI17" s="253" t="n"/>
      <c r="AJ17" s="253" t="n"/>
      <c r="AK17" s="253" t="n"/>
      <c r="AL17" s="253" t="n"/>
      <c r="AM17" s="253" t="n"/>
      <c r="AN17" s="253" t="n"/>
    </row>
    <row r="18" ht="15" customHeight="1" s="138">
      <c r="A18" s="255" t="n">
        <v>16</v>
      </c>
      <c r="B18" s="263">
        <f>$A18*(1-(($A18-1)/$A18)^B$2)</f>
        <v/>
      </c>
      <c r="C18" s="263">
        <f>$A18*(1-(($A18-1)/$A18)^C$2)</f>
        <v/>
      </c>
      <c r="D18" s="263">
        <f>$A18*(1-(($A18-1)/$A18)^D$2)</f>
        <v/>
      </c>
      <c r="E18" s="263">
        <f>$A18*(1-(($A18-1)/$A18)^E$2)</f>
        <v/>
      </c>
      <c r="F18" s="263">
        <f>$A18*(1-(($A18-1)/$A18)^F$2)</f>
        <v/>
      </c>
      <c r="G18" s="263">
        <f>$A18*(1-(($A18-1)/$A18)^G$2)</f>
        <v/>
      </c>
      <c r="H18" s="263">
        <f>$A18*(1-(($A18-1)/$A18)^H$2)</f>
        <v/>
      </c>
      <c r="I18" s="263">
        <f>$A18*(1-(($A18-1)/$A18)^I$2)</f>
        <v/>
      </c>
      <c r="J18" s="263">
        <f>$A18*(1-(($A18-1)/$A18)^J$2)</f>
        <v/>
      </c>
      <c r="K18" s="263">
        <f>$A18*(1-(($A18-1)/$A18)^K$2)</f>
        <v/>
      </c>
      <c r="L18" s="263">
        <f>$A18*(1-(($A18-1)/$A18)^L$2)</f>
        <v/>
      </c>
      <c r="M18" s="263">
        <f>$A18*(1-(($A18-1)/$A18)^M$2)</f>
        <v/>
      </c>
      <c r="N18" s="263">
        <f>$A18*(1-(($A18-1)/$A18)^N$2)</f>
        <v/>
      </c>
      <c r="O18" s="263">
        <f>$A18*(1-(($A18-1)/$A18)^O$2)</f>
        <v/>
      </c>
      <c r="P18" s="263">
        <f>$A18*(1-(($A18-1)/$A18)^P$2)</f>
        <v/>
      </c>
      <c r="Q18" s="263">
        <f>$A18*(1-(($A18-1)/$A18)^Q$2)</f>
        <v/>
      </c>
      <c r="R18" s="264">
        <f>$A18*(1-(($A18-1)/$A18)^R$2)</f>
        <v/>
      </c>
      <c r="S18" s="264">
        <f>$A18*(1-(($A18-1)/$A18)^S$2)</f>
        <v/>
      </c>
      <c r="T18" s="264">
        <f>$A18*(1-(($A18-1)/$A18)^T$2)</f>
        <v/>
      </c>
      <c r="U18" s="264">
        <f>$A18*(1-(($A18-1)/$A18)^U$2)</f>
        <v/>
      </c>
      <c r="V18" s="264">
        <f>$A18*(1-(($A18-1)/$A18)^V$2)</f>
        <v/>
      </c>
      <c r="W18" s="264">
        <f>$A18*(1-(($A18-1)/$A18)^W$2)</f>
        <v/>
      </c>
      <c r="X18" s="264">
        <f>$A18*(1-(($A18-1)/$A18)^X$2)</f>
        <v/>
      </c>
      <c r="Y18" s="264">
        <f>$A18*(1-(($A18-1)/$A18)^Y$2)</f>
        <v/>
      </c>
      <c r="Z18" s="264">
        <f>$A18*(1-(($A18-1)/$A18)^Z$2)</f>
        <v/>
      </c>
      <c r="AA18" s="264">
        <f>$A18*(1-(($A18-1)/$A18)^AA$2)</f>
        <v/>
      </c>
      <c r="AB18" s="264">
        <f>$A18*(1-(($A18-1)/$A18)^AB$2)</f>
        <v/>
      </c>
      <c r="AC18" s="264">
        <f>$A18*(1-(($A18-1)/$A18)^AC$2)</f>
        <v/>
      </c>
      <c r="AD18" s="264">
        <f>$A18*(1-(($A18-1)/$A18)^AD$2)</f>
        <v/>
      </c>
      <c r="AE18" s="253" t="n"/>
      <c r="AF18" s="253" t="n"/>
      <c r="AG18" s="253" t="n"/>
      <c r="AH18" s="253" t="n"/>
      <c r="AI18" s="253" t="n"/>
      <c r="AJ18" s="253" t="n"/>
      <c r="AK18" s="253" t="n"/>
      <c r="AL18" s="253" t="n"/>
      <c r="AM18" s="253" t="n"/>
      <c r="AN18" s="253" t="n"/>
    </row>
    <row r="19" ht="15" customHeight="1" s="138">
      <c r="A19" s="255" t="n">
        <v>17</v>
      </c>
      <c r="B19" s="263">
        <f>$A19*(1-(($A19-1)/$A19)^B$2)</f>
        <v/>
      </c>
      <c r="C19" s="263">
        <f>$A19*(1-(($A19-1)/$A19)^C$2)</f>
        <v/>
      </c>
      <c r="D19" s="263">
        <f>$A19*(1-(($A19-1)/$A19)^D$2)</f>
        <v/>
      </c>
      <c r="E19" s="263">
        <f>$A19*(1-(($A19-1)/$A19)^E$2)</f>
        <v/>
      </c>
      <c r="F19" s="263">
        <f>$A19*(1-(($A19-1)/$A19)^F$2)</f>
        <v/>
      </c>
      <c r="G19" s="263">
        <f>$A19*(1-(($A19-1)/$A19)^G$2)</f>
        <v/>
      </c>
      <c r="H19" s="263">
        <f>$A19*(1-(($A19-1)/$A19)^H$2)</f>
        <v/>
      </c>
      <c r="I19" s="263">
        <f>$A19*(1-(($A19-1)/$A19)^I$2)</f>
        <v/>
      </c>
      <c r="J19" s="263">
        <f>$A19*(1-(($A19-1)/$A19)^J$2)</f>
        <v/>
      </c>
      <c r="K19" s="263">
        <f>$A19*(1-(($A19-1)/$A19)^K$2)</f>
        <v/>
      </c>
      <c r="L19" s="263">
        <f>$A19*(1-(($A19-1)/$A19)^L$2)</f>
        <v/>
      </c>
      <c r="M19" s="263">
        <f>$A19*(1-(($A19-1)/$A19)^M$2)</f>
        <v/>
      </c>
      <c r="N19" s="263">
        <f>$A19*(1-(($A19-1)/$A19)^N$2)</f>
        <v/>
      </c>
      <c r="O19" s="263">
        <f>$A19*(1-(($A19-1)/$A19)^O$2)</f>
        <v/>
      </c>
      <c r="P19" s="263">
        <f>$A19*(1-(($A19-1)/$A19)^P$2)</f>
        <v/>
      </c>
      <c r="Q19" s="263">
        <f>$A19*(1-(($A19-1)/$A19)^Q$2)</f>
        <v/>
      </c>
      <c r="R19" s="264">
        <f>$A19*(1-(($A19-1)/$A19)^R$2)</f>
        <v/>
      </c>
      <c r="S19" s="264">
        <f>$A19*(1-(($A19-1)/$A19)^S$2)</f>
        <v/>
      </c>
      <c r="T19" s="264">
        <f>$A19*(1-(($A19-1)/$A19)^T$2)</f>
        <v/>
      </c>
      <c r="U19" s="264">
        <f>$A19*(1-(($A19-1)/$A19)^U$2)</f>
        <v/>
      </c>
      <c r="V19" s="264">
        <f>$A19*(1-(($A19-1)/$A19)^V$2)</f>
        <v/>
      </c>
      <c r="W19" s="264">
        <f>$A19*(1-(($A19-1)/$A19)^W$2)</f>
        <v/>
      </c>
      <c r="X19" s="264">
        <f>$A19*(1-(($A19-1)/$A19)^X$2)</f>
        <v/>
      </c>
      <c r="Y19" s="264">
        <f>$A19*(1-(($A19-1)/$A19)^Y$2)</f>
        <v/>
      </c>
      <c r="Z19" s="264">
        <f>$A19*(1-(($A19-1)/$A19)^Z$2)</f>
        <v/>
      </c>
      <c r="AA19" s="264">
        <f>$A19*(1-(($A19-1)/$A19)^AA$2)</f>
        <v/>
      </c>
      <c r="AB19" s="264">
        <f>$A19*(1-(($A19-1)/$A19)^AB$2)</f>
        <v/>
      </c>
      <c r="AC19" s="264">
        <f>$A19*(1-(($A19-1)/$A19)^AC$2)</f>
        <v/>
      </c>
      <c r="AD19" s="264">
        <f>$A19*(1-(($A19-1)/$A19)^AD$2)</f>
        <v/>
      </c>
      <c r="AE19" s="253" t="n"/>
      <c r="AF19" s="253" t="n"/>
      <c r="AG19" s="253" t="n"/>
      <c r="AH19" s="253" t="n"/>
      <c r="AI19" s="253" t="n"/>
      <c r="AJ19" s="253" t="n"/>
      <c r="AK19" s="253" t="n"/>
      <c r="AL19" s="253" t="n"/>
      <c r="AM19" s="253" t="n"/>
      <c r="AN19" s="253" t="n"/>
    </row>
    <row r="20" ht="15" customHeight="1" s="138">
      <c r="A20" s="255" t="n">
        <v>18</v>
      </c>
      <c r="B20" s="263">
        <f>$A20*(1-(($A20-1)/$A20)^B$2)</f>
        <v/>
      </c>
      <c r="C20" s="263">
        <f>$A20*(1-(($A20-1)/$A20)^C$2)</f>
        <v/>
      </c>
      <c r="D20" s="263">
        <f>$A20*(1-(($A20-1)/$A20)^D$2)</f>
        <v/>
      </c>
      <c r="E20" s="263">
        <f>$A20*(1-(($A20-1)/$A20)^E$2)</f>
        <v/>
      </c>
      <c r="F20" s="263">
        <f>$A20*(1-(($A20-1)/$A20)^F$2)</f>
        <v/>
      </c>
      <c r="G20" s="263">
        <f>$A20*(1-(($A20-1)/$A20)^G$2)</f>
        <v/>
      </c>
      <c r="H20" s="263">
        <f>$A20*(1-(($A20-1)/$A20)^H$2)</f>
        <v/>
      </c>
      <c r="I20" s="263">
        <f>$A20*(1-(($A20-1)/$A20)^I$2)</f>
        <v/>
      </c>
      <c r="J20" s="263">
        <f>$A20*(1-(($A20-1)/$A20)^J$2)</f>
        <v/>
      </c>
      <c r="K20" s="263">
        <f>$A20*(1-(($A20-1)/$A20)^K$2)</f>
        <v/>
      </c>
      <c r="L20" s="263">
        <f>$A20*(1-(($A20-1)/$A20)^L$2)</f>
        <v/>
      </c>
      <c r="M20" s="263">
        <f>$A20*(1-(($A20-1)/$A20)^M$2)</f>
        <v/>
      </c>
      <c r="N20" s="263">
        <f>$A20*(1-(($A20-1)/$A20)^N$2)</f>
        <v/>
      </c>
      <c r="O20" s="263">
        <f>$A20*(1-(($A20-1)/$A20)^O$2)</f>
        <v/>
      </c>
      <c r="P20" s="263">
        <f>$A20*(1-(($A20-1)/$A20)^P$2)</f>
        <v/>
      </c>
      <c r="Q20" s="263">
        <f>$A20*(1-(($A20-1)/$A20)^Q$2)</f>
        <v/>
      </c>
      <c r="R20" s="264">
        <f>$A20*(1-(($A20-1)/$A20)^R$2)</f>
        <v/>
      </c>
      <c r="S20" s="264">
        <f>$A20*(1-(($A20-1)/$A20)^S$2)</f>
        <v/>
      </c>
      <c r="T20" s="264">
        <f>$A20*(1-(($A20-1)/$A20)^T$2)</f>
        <v/>
      </c>
      <c r="U20" s="264">
        <f>$A20*(1-(($A20-1)/$A20)^U$2)</f>
        <v/>
      </c>
      <c r="V20" s="264">
        <f>$A20*(1-(($A20-1)/$A20)^V$2)</f>
        <v/>
      </c>
      <c r="W20" s="264">
        <f>$A20*(1-(($A20-1)/$A20)^W$2)</f>
        <v/>
      </c>
      <c r="X20" s="264">
        <f>$A20*(1-(($A20-1)/$A20)^X$2)</f>
        <v/>
      </c>
      <c r="Y20" s="264">
        <f>$A20*(1-(($A20-1)/$A20)^Y$2)</f>
        <v/>
      </c>
      <c r="Z20" s="264">
        <f>$A20*(1-(($A20-1)/$A20)^Z$2)</f>
        <v/>
      </c>
      <c r="AA20" s="264">
        <f>$A20*(1-(($A20-1)/$A20)^AA$2)</f>
        <v/>
      </c>
      <c r="AB20" s="264">
        <f>$A20*(1-(($A20-1)/$A20)^AB$2)</f>
        <v/>
      </c>
      <c r="AC20" s="264">
        <f>$A20*(1-(($A20-1)/$A20)^AC$2)</f>
        <v/>
      </c>
      <c r="AD20" s="264">
        <f>$A20*(1-(($A20-1)/$A20)^AD$2)</f>
        <v/>
      </c>
      <c r="AE20" s="253" t="n"/>
      <c r="AF20" s="253" t="n"/>
      <c r="AG20" s="253" t="n"/>
      <c r="AH20" s="253" t="n"/>
      <c r="AI20" s="253" t="n"/>
      <c r="AJ20" s="253" t="n"/>
      <c r="AK20" s="253" t="n"/>
      <c r="AL20" s="253" t="n"/>
      <c r="AM20" s="253" t="n"/>
      <c r="AN20" s="253" t="n"/>
    </row>
    <row r="21" ht="15" customHeight="1" s="138">
      <c r="A21" s="255" t="n">
        <v>19</v>
      </c>
      <c r="B21" s="263">
        <f>$A21*(1-(($A21-1)/$A21)^B$2)</f>
        <v/>
      </c>
      <c r="C21" s="263">
        <f>$A21*(1-(($A21-1)/$A21)^C$2)</f>
        <v/>
      </c>
      <c r="D21" s="263">
        <f>$A21*(1-(($A21-1)/$A21)^D$2)</f>
        <v/>
      </c>
      <c r="E21" s="263">
        <f>$A21*(1-(($A21-1)/$A21)^E$2)</f>
        <v/>
      </c>
      <c r="F21" s="263">
        <f>$A21*(1-(($A21-1)/$A21)^F$2)</f>
        <v/>
      </c>
      <c r="G21" s="263">
        <f>$A21*(1-(($A21-1)/$A21)^G$2)</f>
        <v/>
      </c>
      <c r="H21" s="263">
        <f>$A21*(1-(($A21-1)/$A21)^H$2)</f>
        <v/>
      </c>
      <c r="I21" s="263">
        <f>$A21*(1-(($A21-1)/$A21)^I$2)</f>
        <v/>
      </c>
      <c r="J21" s="263">
        <f>$A21*(1-(($A21-1)/$A21)^J$2)</f>
        <v/>
      </c>
      <c r="K21" s="263">
        <f>$A21*(1-(($A21-1)/$A21)^K$2)</f>
        <v/>
      </c>
      <c r="L21" s="263">
        <f>$A21*(1-(($A21-1)/$A21)^L$2)</f>
        <v/>
      </c>
      <c r="M21" s="263">
        <f>$A21*(1-(($A21-1)/$A21)^M$2)</f>
        <v/>
      </c>
      <c r="N21" s="263">
        <f>$A21*(1-(($A21-1)/$A21)^N$2)</f>
        <v/>
      </c>
      <c r="O21" s="263">
        <f>$A21*(1-(($A21-1)/$A21)^O$2)</f>
        <v/>
      </c>
      <c r="P21" s="263">
        <f>$A21*(1-(($A21-1)/$A21)^P$2)</f>
        <v/>
      </c>
      <c r="Q21" s="263">
        <f>$A21*(1-(($A21-1)/$A21)^Q$2)</f>
        <v/>
      </c>
      <c r="R21" s="264">
        <f>$A21*(1-(($A21-1)/$A21)^R$2)</f>
        <v/>
      </c>
      <c r="S21" s="264">
        <f>$A21*(1-(($A21-1)/$A21)^S$2)</f>
        <v/>
      </c>
      <c r="T21" s="264">
        <f>$A21*(1-(($A21-1)/$A21)^T$2)</f>
        <v/>
      </c>
      <c r="U21" s="264">
        <f>$A21*(1-(($A21-1)/$A21)^U$2)</f>
        <v/>
      </c>
      <c r="V21" s="264">
        <f>$A21*(1-(($A21-1)/$A21)^V$2)</f>
        <v/>
      </c>
      <c r="W21" s="264">
        <f>$A21*(1-(($A21-1)/$A21)^W$2)</f>
        <v/>
      </c>
      <c r="X21" s="264">
        <f>$A21*(1-(($A21-1)/$A21)^X$2)</f>
        <v/>
      </c>
      <c r="Y21" s="264">
        <f>$A21*(1-(($A21-1)/$A21)^Y$2)</f>
        <v/>
      </c>
      <c r="Z21" s="264">
        <f>$A21*(1-(($A21-1)/$A21)^Z$2)</f>
        <v/>
      </c>
      <c r="AA21" s="264">
        <f>$A21*(1-(($A21-1)/$A21)^AA$2)</f>
        <v/>
      </c>
      <c r="AB21" s="264">
        <f>$A21*(1-(($A21-1)/$A21)^AB$2)</f>
        <v/>
      </c>
      <c r="AC21" s="264">
        <f>$A21*(1-(($A21-1)/$A21)^AC$2)</f>
        <v/>
      </c>
      <c r="AD21" s="264">
        <f>$A21*(1-(($A21-1)/$A21)^AD$2)</f>
        <v/>
      </c>
      <c r="AE21" s="253" t="n"/>
      <c r="AF21" s="253" t="n"/>
      <c r="AG21" s="253" t="n"/>
      <c r="AH21" s="253" t="n"/>
      <c r="AI21" s="253" t="n"/>
      <c r="AJ21" s="253" t="n"/>
      <c r="AK21" s="253" t="n"/>
      <c r="AL21" s="253" t="n"/>
      <c r="AM21" s="253" t="n"/>
      <c r="AN21" s="253" t="n"/>
    </row>
    <row r="22" ht="15" customHeight="1" s="138">
      <c r="A22" s="255" t="n">
        <v>20</v>
      </c>
      <c r="B22" s="263">
        <f>$A22*(1-(($A22-1)/$A22)^B$2)</f>
        <v/>
      </c>
      <c r="C22" s="263">
        <f>$A22*(1-(($A22-1)/$A22)^C$2)</f>
        <v/>
      </c>
      <c r="D22" s="263">
        <f>$A22*(1-(($A22-1)/$A22)^D$2)</f>
        <v/>
      </c>
      <c r="E22" s="263">
        <f>$A22*(1-(($A22-1)/$A22)^E$2)</f>
        <v/>
      </c>
      <c r="F22" s="263">
        <f>$A22*(1-(($A22-1)/$A22)^F$2)</f>
        <v/>
      </c>
      <c r="G22" s="263">
        <f>$A22*(1-(($A22-1)/$A22)^G$2)</f>
        <v/>
      </c>
      <c r="H22" s="263">
        <f>$A22*(1-(($A22-1)/$A22)^H$2)</f>
        <v/>
      </c>
      <c r="I22" s="263">
        <f>$A22*(1-(($A22-1)/$A22)^I$2)</f>
        <v/>
      </c>
      <c r="J22" s="263">
        <f>$A22*(1-(($A22-1)/$A22)^J$2)</f>
        <v/>
      </c>
      <c r="K22" s="263">
        <f>$A22*(1-(($A22-1)/$A22)^K$2)</f>
        <v/>
      </c>
      <c r="L22" s="263">
        <f>$A22*(1-(($A22-1)/$A22)^L$2)</f>
        <v/>
      </c>
      <c r="M22" s="263">
        <f>$A22*(1-(($A22-1)/$A22)^M$2)</f>
        <v/>
      </c>
      <c r="N22" s="263">
        <f>$A22*(1-(($A22-1)/$A22)^N$2)</f>
        <v/>
      </c>
      <c r="O22" s="263">
        <f>$A22*(1-(($A22-1)/$A22)^O$2)</f>
        <v/>
      </c>
      <c r="P22" s="263">
        <f>$A22*(1-(($A22-1)/$A22)^P$2)</f>
        <v/>
      </c>
      <c r="Q22" s="263">
        <f>$A22*(1-(($A22-1)/$A22)^Q$2)</f>
        <v/>
      </c>
      <c r="R22" s="264">
        <f>$A22*(1-(($A22-1)/$A22)^R$2)</f>
        <v/>
      </c>
      <c r="S22" s="264">
        <f>$A22*(1-(($A22-1)/$A22)^S$2)</f>
        <v/>
      </c>
      <c r="T22" s="264">
        <f>$A22*(1-(($A22-1)/$A22)^T$2)</f>
        <v/>
      </c>
      <c r="U22" s="264">
        <f>$A22*(1-(($A22-1)/$A22)^U$2)</f>
        <v/>
      </c>
      <c r="V22" s="264">
        <f>$A22*(1-(($A22-1)/$A22)^V$2)</f>
        <v/>
      </c>
      <c r="W22" s="264">
        <f>$A22*(1-(($A22-1)/$A22)^W$2)</f>
        <v/>
      </c>
      <c r="X22" s="264">
        <f>$A22*(1-(($A22-1)/$A22)^X$2)</f>
        <v/>
      </c>
      <c r="Y22" s="264">
        <f>$A22*(1-(($A22-1)/$A22)^Y$2)</f>
        <v/>
      </c>
      <c r="Z22" s="264">
        <f>$A22*(1-(($A22-1)/$A22)^Z$2)</f>
        <v/>
      </c>
      <c r="AA22" s="264">
        <f>$A22*(1-(($A22-1)/$A22)^AA$2)</f>
        <v/>
      </c>
      <c r="AB22" s="264">
        <f>$A22*(1-(($A22-1)/$A22)^AB$2)</f>
        <v/>
      </c>
      <c r="AC22" s="264">
        <f>$A22*(1-(($A22-1)/$A22)^AC$2)</f>
        <v/>
      </c>
      <c r="AD22" s="264">
        <f>$A22*(1-(($A22-1)/$A22)^AD$2)</f>
        <v/>
      </c>
      <c r="AE22" s="253" t="n"/>
      <c r="AF22" s="253" t="n"/>
      <c r="AG22" s="253" t="n"/>
      <c r="AH22" s="253" t="n"/>
      <c r="AI22" s="253" t="n"/>
      <c r="AJ22" s="253" t="n"/>
      <c r="AK22" s="253" t="n"/>
      <c r="AL22" s="253" t="n"/>
      <c r="AM22" s="253" t="n"/>
      <c r="AN22" s="253" t="n"/>
    </row>
    <row r="23" ht="15" customHeight="1" s="138">
      <c r="A23" s="255" t="n">
        <v>21</v>
      </c>
      <c r="B23" s="263">
        <f>$A23*(1-(($A23-1)/$A23)^B$2)</f>
        <v/>
      </c>
      <c r="C23" s="263">
        <f>$A23*(1-(($A23-1)/$A23)^C$2)</f>
        <v/>
      </c>
      <c r="D23" s="263">
        <f>$A23*(1-(($A23-1)/$A23)^D$2)</f>
        <v/>
      </c>
      <c r="E23" s="263">
        <f>$A23*(1-(($A23-1)/$A23)^E$2)</f>
        <v/>
      </c>
      <c r="F23" s="263">
        <f>$A23*(1-(($A23-1)/$A23)^F$2)</f>
        <v/>
      </c>
      <c r="G23" s="263">
        <f>$A23*(1-(($A23-1)/$A23)^G$2)</f>
        <v/>
      </c>
      <c r="H23" s="263">
        <f>$A23*(1-(($A23-1)/$A23)^H$2)</f>
        <v/>
      </c>
      <c r="I23" s="263">
        <f>$A23*(1-(($A23-1)/$A23)^I$2)</f>
        <v/>
      </c>
      <c r="J23" s="263">
        <f>$A23*(1-(($A23-1)/$A23)^J$2)</f>
        <v/>
      </c>
      <c r="K23" s="263">
        <f>$A23*(1-(($A23-1)/$A23)^K$2)</f>
        <v/>
      </c>
      <c r="L23" s="263">
        <f>$A23*(1-(($A23-1)/$A23)^L$2)</f>
        <v/>
      </c>
      <c r="M23" s="263">
        <f>$A23*(1-(($A23-1)/$A23)^M$2)</f>
        <v/>
      </c>
      <c r="N23" s="263">
        <f>$A23*(1-(($A23-1)/$A23)^N$2)</f>
        <v/>
      </c>
      <c r="O23" s="263">
        <f>$A23*(1-(($A23-1)/$A23)^O$2)</f>
        <v/>
      </c>
      <c r="P23" s="263">
        <f>$A23*(1-(($A23-1)/$A23)^P$2)</f>
        <v/>
      </c>
      <c r="Q23" s="263">
        <f>$A23*(1-(($A23-1)/$A23)^Q$2)</f>
        <v/>
      </c>
      <c r="R23" s="264">
        <f>$A23*(1-(($A23-1)/$A23)^R$2)</f>
        <v/>
      </c>
      <c r="S23" s="264">
        <f>$A23*(1-(($A23-1)/$A23)^S$2)</f>
        <v/>
      </c>
      <c r="T23" s="264">
        <f>$A23*(1-(($A23-1)/$A23)^T$2)</f>
        <v/>
      </c>
      <c r="U23" s="264">
        <f>$A23*(1-(($A23-1)/$A23)^U$2)</f>
        <v/>
      </c>
      <c r="V23" s="264">
        <f>$A23*(1-(($A23-1)/$A23)^V$2)</f>
        <v/>
      </c>
      <c r="W23" s="264">
        <f>$A23*(1-(($A23-1)/$A23)^W$2)</f>
        <v/>
      </c>
      <c r="X23" s="264">
        <f>$A23*(1-(($A23-1)/$A23)^X$2)</f>
        <v/>
      </c>
      <c r="Y23" s="264">
        <f>$A23*(1-(($A23-1)/$A23)^Y$2)</f>
        <v/>
      </c>
      <c r="Z23" s="264">
        <f>$A23*(1-(($A23-1)/$A23)^Z$2)</f>
        <v/>
      </c>
      <c r="AA23" s="264">
        <f>$A23*(1-(($A23-1)/$A23)^AA$2)</f>
        <v/>
      </c>
      <c r="AB23" s="264">
        <f>$A23*(1-(($A23-1)/$A23)^AB$2)</f>
        <v/>
      </c>
      <c r="AC23" s="264">
        <f>$A23*(1-(($A23-1)/$A23)^AC$2)</f>
        <v/>
      </c>
      <c r="AD23" s="264">
        <f>$A23*(1-(($A23-1)/$A23)^AD$2)</f>
        <v/>
      </c>
      <c r="AE23" s="253" t="n"/>
      <c r="AF23" s="253" t="n"/>
      <c r="AG23" s="253" t="n"/>
      <c r="AH23" s="253" t="n"/>
      <c r="AI23" s="253" t="n"/>
      <c r="AJ23" s="253" t="n"/>
      <c r="AK23" s="253" t="n"/>
      <c r="AL23" s="253" t="n"/>
      <c r="AM23" s="253" t="n"/>
      <c r="AN23" s="253" t="n"/>
    </row>
    <row r="24" ht="15" customHeight="1" s="138">
      <c r="A24" s="255" t="n">
        <v>22</v>
      </c>
      <c r="B24" s="263">
        <f>$A24*(1-(($A24-1)/$A24)^B$2)</f>
        <v/>
      </c>
      <c r="C24" s="263">
        <f>$A24*(1-(($A24-1)/$A24)^C$2)</f>
        <v/>
      </c>
      <c r="D24" s="263">
        <f>$A24*(1-(($A24-1)/$A24)^D$2)</f>
        <v/>
      </c>
      <c r="E24" s="263">
        <f>$A24*(1-(($A24-1)/$A24)^E$2)</f>
        <v/>
      </c>
      <c r="F24" s="263">
        <f>$A24*(1-(($A24-1)/$A24)^F$2)</f>
        <v/>
      </c>
      <c r="G24" s="263">
        <f>$A24*(1-(($A24-1)/$A24)^G$2)</f>
        <v/>
      </c>
      <c r="H24" s="263">
        <f>$A24*(1-(($A24-1)/$A24)^H$2)</f>
        <v/>
      </c>
      <c r="I24" s="263">
        <f>$A24*(1-(($A24-1)/$A24)^I$2)</f>
        <v/>
      </c>
      <c r="J24" s="263">
        <f>$A24*(1-(($A24-1)/$A24)^J$2)</f>
        <v/>
      </c>
      <c r="K24" s="263">
        <f>$A24*(1-(($A24-1)/$A24)^K$2)</f>
        <v/>
      </c>
      <c r="L24" s="263">
        <f>$A24*(1-(($A24-1)/$A24)^L$2)</f>
        <v/>
      </c>
      <c r="M24" s="263">
        <f>$A24*(1-(($A24-1)/$A24)^M$2)</f>
        <v/>
      </c>
      <c r="N24" s="263">
        <f>$A24*(1-(($A24-1)/$A24)^N$2)</f>
        <v/>
      </c>
      <c r="O24" s="263">
        <f>$A24*(1-(($A24-1)/$A24)^O$2)</f>
        <v/>
      </c>
      <c r="P24" s="263">
        <f>$A24*(1-(($A24-1)/$A24)^P$2)</f>
        <v/>
      </c>
      <c r="Q24" s="263">
        <f>$A24*(1-(($A24-1)/$A24)^Q$2)</f>
        <v/>
      </c>
      <c r="R24" s="264">
        <f>$A24*(1-(($A24-1)/$A24)^R$2)</f>
        <v/>
      </c>
      <c r="S24" s="264">
        <f>$A24*(1-(($A24-1)/$A24)^S$2)</f>
        <v/>
      </c>
      <c r="T24" s="264">
        <f>$A24*(1-(($A24-1)/$A24)^T$2)</f>
        <v/>
      </c>
      <c r="U24" s="264">
        <f>$A24*(1-(($A24-1)/$A24)^U$2)</f>
        <v/>
      </c>
      <c r="V24" s="264">
        <f>$A24*(1-(($A24-1)/$A24)^V$2)</f>
        <v/>
      </c>
      <c r="W24" s="264">
        <f>$A24*(1-(($A24-1)/$A24)^W$2)</f>
        <v/>
      </c>
      <c r="X24" s="264">
        <f>$A24*(1-(($A24-1)/$A24)^X$2)</f>
        <v/>
      </c>
      <c r="Y24" s="264">
        <f>$A24*(1-(($A24-1)/$A24)^Y$2)</f>
        <v/>
      </c>
      <c r="Z24" s="264">
        <f>$A24*(1-(($A24-1)/$A24)^Z$2)</f>
        <v/>
      </c>
      <c r="AA24" s="264">
        <f>$A24*(1-(($A24-1)/$A24)^AA$2)</f>
        <v/>
      </c>
      <c r="AB24" s="264">
        <f>$A24*(1-(($A24-1)/$A24)^AB$2)</f>
        <v/>
      </c>
      <c r="AC24" s="264">
        <f>$A24*(1-(($A24-1)/$A24)^AC$2)</f>
        <v/>
      </c>
      <c r="AD24" s="264">
        <f>$A24*(1-(($A24-1)/$A24)^AD$2)</f>
        <v/>
      </c>
      <c r="AE24" s="253" t="n"/>
      <c r="AF24" s="253" t="n"/>
      <c r="AG24" s="253" t="n"/>
      <c r="AH24" s="253" t="n"/>
      <c r="AI24" s="253" t="n"/>
      <c r="AJ24" s="253" t="n"/>
      <c r="AK24" s="253" t="n"/>
      <c r="AL24" s="253" t="n"/>
      <c r="AM24" s="253" t="n"/>
      <c r="AN24" s="253" t="n"/>
    </row>
    <row r="25" ht="15" customHeight="1" s="138">
      <c r="A25" s="255" t="n">
        <v>23</v>
      </c>
      <c r="B25" s="263">
        <f>$A25*(1-(($A25-1)/$A25)^B$2)</f>
        <v/>
      </c>
      <c r="C25" s="263">
        <f>$A25*(1-(($A25-1)/$A25)^C$2)</f>
        <v/>
      </c>
      <c r="D25" s="263">
        <f>$A25*(1-(($A25-1)/$A25)^D$2)</f>
        <v/>
      </c>
      <c r="E25" s="263">
        <f>$A25*(1-(($A25-1)/$A25)^E$2)</f>
        <v/>
      </c>
      <c r="F25" s="263">
        <f>$A25*(1-(($A25-1)/$A25)^F$2)</f>
        <v/>
      </c>
      <c r="G25" s="263">
        <f>$A25*(1-(($A25-1)/$A25)^G$2)</f>
        <v/>
      </c>
      <c r="H25" s="263">
        <f>$A25*(1-(($A25-1)/$A25)^H$2)</f>
        <v/>
      </c>
      <c r="I25" s="263">
        <f>$A25*(1-(($A25-1)/$A25)^I$2)</f>
        <v/>
      </c>
      <c r="J25" s="263">
        <f>$A25*(1-(($A25-1)/$A25)^J$2)</f>
        <v/>
      </c>
      <c r="K25" s="263">
        <f>$A25*(1-(($A25-1)/$A25)^K$2)</f>
        <v/>
      </c>
      <c r="L25" s="263">
        <f>$A25*(1-(($A25-1)/$A25)^L$2)</f>
        <v/>
      </c>
      <c r="M25" s="263">
        <f>$A25*(1-(($A25-1)/$A25)^M$2)</f>
        <v/>
      </c>
      <c r="N25" s="263">
        <f>$A25*(1-(($A25-1)/$A25)^N$2)</f>
        <v/>
      </c>
      <c r="O25" s="263">
        <f>$A25*(1-(($A25-1)/$A25)^O$2)</f>
        <v/>
      </c>
      <c r="P25" s="263">
        <f>$A25*(1-(($A25-1)/$A25)^P$2)</f>
        <v/>
      </c>
      <c r="Q25" s="263">
        <f>$A25*(1-(($A25-1)/$A25)^Q$2)</f>
        <v/>
      </c>
      <c r="R25" s="264">
        <f>$A25*(1-(($A25-1)/$A25)^R$2)</f>
        <v/>
      </c>
      <c r="S25" s="264">
        <f>$A25*(1-(($A25-1)/$A25)^S$2)</f>
        <v/>
      </c>
      <c r="T25" s="264">
        <f>$A25*(1-(($A25-1)/$A25)^T$2)</f>
        <v/>
      </c>
      <c r="U25" s="264">
        <f>$A25*(1-(($A25-1)/$A25)^U$2)</f>
        <v/>
      </c>
      <c r="V25" s="264">
        <f>$A25*(1-(($A25-1)/$A25)^V$2)</f>
        <v/>
      </c>
      <c r="W25" s="264">
        <f>$A25*(1-(($A25-1)/$A25)^W$2)</f>
        <v/>
      </c>
      <c r="X25" s="264">
        <f>$A25*(1-(($A25-1)/$A25)^X$2)</f>
        <v/>
      </c>
      <c r="Y25" s="264">
        <f>$A25*(1-(($A25-1)/$A25)^Y$2)</f>
        <v/>
      </c>
      <c r="Z25" s="264">
        <f>$A25*(1-(($A25-1)/$A25)^Z$2)</f>
        <v/>
      </c>
      <c r="AA25" s="264">
        <f>$A25*(1-(($A25-1)/$A25)^AA$2)</f>
        <v/>
      </c>
      <c r="AB25" s="264">
        <f>$A25*(1-(($A25-1)/$A25)^AB$2)</f>
        <v/>
      </c>
      <c r="AC25" s="264">
        <f>$A25*(1-(($A25-1)/$A25)^AC$2)</f>
        <v/>
      </c>
      <c r="AD25" s="264">
        <f>$A25*(1-(($A25-1)/$A25)^AD$2)</f>
        <v/>
      </c>
      <c r="AE25" s="253" t="n"/>
      <c r="AF25" s="253" t="n"/>
      <c r="AG25" s="253" t="n"/>
      <c r="AH25" s="253" t="n"/>
      <c r="AI25" s="253" t="n"/>
      <c r="AJ25" s="253" t="n"/>
      <c r="AK25" s="253" t="n"/>
      <c r="AL25" s="253" t="n"/>
      <c r="AM25" s="253" t="n"/>
      <c r="AN25" s="253" t="n"/>
    </row>
    <row r="26" ht="15" customHeight="1" s="138">
      <c r="A26" s="255" t="n">
        <v>24</v>
      </c>
      <c r="B26" s="263">
        <f>$A26*(1-(($A26-1)/$A26)^B$2)</f>
        <v/>
      </c>
      <c r="C26" s="263">
        <f>$A26*(1-(($A26-1)/$A26)^C$2)</f>
        <v/>
      </c>
      <c r="D26" s="263">
        <f>$A26*(1-(($A26-1)/$A26)^D$2)</f>
        <v/>
      </c>
      <c r="E26" s="263">
        <f>$A26*(1-(($A26-1)/$A26)^E$2)</f>
        <v/>
      </c>
      <c r="F26" s="263">
        <f>$A26*(1-(($A26-1)/$A26)^F$2)</f>
        <v/>
      </c>
      <c r="G26" s="263">
        <f>$A26*(1-(($A26-1)/$A26)^G$2)</f>
        <v/>
      </c>
      <c r="H26" s="263">
        <f>$A26*(1-(($A26-1)/$A26)^H$2)</f>
        <v/>
      </c>
      <c r="I26" s="263">
        <f>$A26*(1-(($A26-1)/$A26)^I$2)</f>
        <v/>
      </c>
      <c r="J26" s="263">
        <f>$A26*(1-(($A26-1)/$A26)^J$2)</f>
        <v/>
      </c>
      <c r="K26" s="263">
        <f>$A26*(1-(($A26-1)/$A26)^K$2)</f>
        <v/>
      </c>
      <c r="L26" s="263">
        <f>$A26*(1-(($A26-1)/$A26)^L$2)</f>
        <v/>
      </c>
      <c r="M26" s="263">
        <f>$A26*(1-(($A26-1)/$A26)^M$2)</f>
        <v/>
      </c>
      <c r="N26" s="263">
        <f>$A26*(1-(($A26-1)/$A26)^N$2)</f>
        <v/>
      </c>
      <c r="O26" s="263">
        <f>$A26*(1-(($A26-1)/$A26)^O$2)</f>
        <v/>
      </c>
      <c r="P26" s="263">
        <f>$A26*(1-(($A26-1)/$A26)^P$2)</f>
        <v/>
      </c>
      <c r="Q26" s="263">
        <f>$A26*(1-(($A26-1)/$A26)^Q$2)</f>
        <v/>
      </c>
      <c r="R26" s="264">
        <f>$A26*(1-(($A26-1)/$A26)^R$2)</f>
        <v/>
      </c>
      <c r="S26" s="264">
        <f>$A26*(1-(($A26-1)/$A26)^S$2)</f>
        <v/>
      </c>
      <c r="T26" s="264">
        <f>$A26*(1-(($A26-1)/$A26)^T$2)</f>
        <v/>
      </c>
      <c r="U26" s="264">
        <f>$A26*(1-(($A26-1)/$A26)^U$2)</f>
        <v/>
      </c>
      <c r="V26" s="264">
        <f>$A26*(1-(($A26-1)/$A26)^V$2)</f>
        <v/>
      </c>
      <c r="W26" s="264">
        <f>$A26*(1-(($A26-1)/$A26)^W$2)</f>
        <v/>
      </c>
      <c r="X26" s="264">
        <f>$A26*(1-(($A26-1)/$A26)^X$2)</f>
        <v/>
      </c>
      <c r="Y26" s="264">
        <f>$A26*(1-(($A26-1)/$A26)^Y$2)</f>
        <v/>
      </c>
      <c r="Z26" s="264">
        <f>$A26*(1-(($A26-1)/$A26)^Z$2)</f>
        <v/>
      </c>
      <c r="AA26" s="264">
        <f>$A26*(1-(($A26-1)/$A26)^AA$2)</f>
        <v/>
      </c>
      <c r="AB26" s="264">
        <f>$A26*(1-(($A26-1)/$A26)^AB$2)</f>
        <v/>
      </c>
      <c r="AC26" s="264">
        <f>$A26*(1-(($A26-1)/$A26)^AC$2)</f>
        <v/>
      </c>
      <c r="AD26" s="264">
        <f>$A26*(1-(($A26-1)/$A26)^AD$2)</f>
        <v/>
      </c>
      <c r="AE26" s="253" t="n"/>
      <c r="AF26" s="253" t="n"/>
      <c r="AG26" s="253" t="n"/>
      <c r="AH26" s="253" t="n"/>
      <c r="AI26" s="253" t="n"/>
      <c r="AJ26" s="253" t="n"/>
      <c r="AK26" s="253" t="n"/>
      <c r="AL26" s="253" t="n"/>
      <c r="AM26" s="253" t="n"/>
      <c r="AN26" s="253" t="n"/>
    </row>
    <row r="27" ht="15" customHeight="1" s="138">
      <c r="A27" s="255" t="n">
        <v>25</v>
      </c>
      <c r="B27" s="263">
        <f>$A27*(1-(($A27-1)/$A27)^B$2)</f>
        <v/>
      </c>
      <c r="C27" s="263">
        <f>$A27*(1-(($A27-1)/$A27)^C$2)</f>
        <v/>
      </c>
      <c r="D27" s="263">
        <f>$A27*(1-(($A27-1)/$A27)^D$2)</f>
        <v/>
      </c>
      <c r="E27" s="263">
        <f>$A27*(1-(($A27-1)/$A27)^E$2)</f>
        <v/>
      </c>
      <c r="F27" s="263">
        <f>$A27*(1-(($A27-1)/$A27)^F$2)</f>
        <v/>
      </c>
      <c r="G27" s="263">
        <f>$A27*(1-(($A27-1)/$A27)^G$2)</f>
        <v/>
      </c>
      <c r="H27" s="263">
        <f>$A27*(1-(($A27-1)/$A27)^H$2)</f>
        <v/>
      </c>
      <c r="I27" s="263">
        <f>$A27*(1-(($A27-1)/$A27)^I$2)</f>
        <v/>
      </c>
      <c r="J27" s="263">
        <f>$A27*(1-(($A27-1)/$A27)^J$2)</f>
        <v/>
      </c>
      <c r="K27" s="263">
        <f>$A27*(1-(($A27-1)/$A27)^K$2)</f>
        <v/>
      </c>
      <c r="L27" s="263">
        <f>$A27*(1-(($A27-1)/$A27)^L$2)</f>
        <v/>
      </c>
      <c r="M27" s="263">
        <f>$A27*(1-(($A27-1)/$A27)^M$2)</f>
        <v/>
      </c>
      <c r="N27" s="263">
        <f>$A27*(1-(($A27-1)/$A27)^N$2)</f>
        <v/>
      </c>
      <c r="O27" s="263">
        <f>$A27*(1-(($A27-1)/$A27)^O$2)</f>
        <v/>
      </c>
      <c r="P27" s="263">
        <f>$A27*(1-(($A27-1)/$A27)^P$2)</f>
        <v/>
      </c>
      <c r="Q27" s="263">
        <f>$A27*(1-(($A27-1)/$A27)^Q$2)</f>
        <v/>
      </c>
      <c r="R27" s="264">
        <f>$A27*(1-(($A27-1)/$A27)^R$2)</f>
        <v/>
      </c>
      <c r="S27" s="264">
        <f>$A27*(1-(($A27-1)/$A27)^S$2)</f>
        <v/>
      </c>
      <c r="T27" s="264">
        <f>$A27*(1-(($A27-1)/$A27)^T$2)</f>
        <v/>
      </c>
      <c r="U27" s="264">
        <f>$A27*(1-(($A27-1)/$A27)^U$2)</f>
        <v/>
      </c>
      <c r="V27" s="264">
        <f>$A27*(1-(($A27-1)/$A27)^V$2)</f>
        <v/>
      </c>
      <c r="W27" s="264">
        <f>$A27*(1-(($A27-1)/$A27)^W$2)</f>
        <v/>
      </c>
      <c r="X27" s="264">
        <f>$A27*(1-(($A27-1)/$A27)^X$2)</f>
        <v/>
      </c>
      <c r="Y27" s="264">
        <f>$A27*(1-(($A27-1)/$A27)^Y$2)</f>
        <v/>
      </c>
      <c r="Z27" s="264">
        <f>$A27*(1-(($A27-1)/$A27)^Z$2)</f>
        <v/>
      </c>
      <c r="AA27" s="264">
        <f>$A27*(1-(($A27-1)/$A27)^AA$2)</f>
        <v/>
      </c>
      <c r="AB27" s="264">
        <f>$A27*(1-(($A27-1)/$A27)^AB$2)</f>
        <v/>
      </c>
      <c r="AC27" s="264">
        <f>$A27*(1-(($A27-1)/$A27)^AC$2)</f>
        <v/>
      </c>
      <c r="AD27" s="264">
        <f>$A27*(1-(($A27-1)/$A27)^AD$2)</f>
        <v/>
      </c>
      <c r="AE27" s="253" t="n"/>
      <c r="AF27" s="253" t="n"/>
      <c r="AG27" s="253" t="n"/>
      <c r="AH27" s="253" t="n"/>
      <c r="AI27" s="253" t="n"/>
      <c r="AJ27" s="253" t="n"/>
      <c r="AK27" s="253" t="n"/>
      <c r="AL27" s="253" t="n"/>
      <c r="AM27" s="253" t="n"/>
      <c r="AN27" s="253" t="n"/>
    </row>
    <row r="28" ht="15" customHeight="1" s="138">
      <c r="A28" s="255" t="n">
        <v>26</v>
      </c>
      <c r="B28" s="263">
        <f>$A28*(1-(($A28-1)/$A28)^B$2)</f>
        <v/>
      </c>
      <c r="C28" s="263">
        <f>$A28*(1-(($A28-1)/$A28)^C$2)</f>
        <v/>
      </c>
      <c r="D28" s="263">
        <f>$A28*(1-(($A28-1)/$A28)^D$2)</f>
        <v/>
      </c>
      <c r="E28" s="263">
        <f>$A28*(1-(($A28-1)/$A28)^E$2)</f>
        <v/>
      </c>
      <c r="F28" s="263">
        <f>$A28*(1-(($A28-1)/$A28)^F$2)</f>
        <v/>
      </c>
      <c r="G28" s="263">
        <f>$A28*(1-(($A28-1)/$A28)^G$2)</f>
        <v/>
      </c>
      <c r="H28" s="263">
        <f>$A28*(1-(($A28-1)/$A28)^H$2)</f>
        <v/>
      </c>
      <c r="I28" s="263">
        <f>$A28*(1-(($A28-1)/$A28)^I$2)</f>
        <v/>
      </c>
      <c r="J28" s="263">
        <f>$A28*(1-(($A28-1)/$A28)^J$2)</f>
        <v/>
      </c>
      <c r="K28" s="263">
        <f>$A28*(1-(($A28-1)/$A28)^K$2)</f>
        <v/>
      </c>
      <c r="L28" s="263">
        <f>$A28*(1-(($A28-1)/$A28)^L$2)</f>
        <v/>
      </c>
      <c r="M28" s="263">
        <f>$A28*(1-(($A28-1)/$A28)^M$2)</f>
        <v/>
      </c>
      <c r="N28" s="263">
        <f>$A28*(1-(($A28-1)/$A28)^N$2)</f>
        <v/>
      </c>
      <c r="O28" s="263">
        <f>$A28*(1-(($A28-1)/$A28)^O$2)</f>
        <v/>
      </c>
      <c r="P28" s="263">
        <f>$A28*(1-(($A28-1)/$A28)^P$2)</f>
        <v/>
      </c>
      <c r="Q28" s="263">
        <f>$A28*(1-(($A28-1)/$A28)^Q$2)</f>
        <v/>
      </c>
      <c r="R28" s="264">
        <f>$A28*(1-(($A28-1)/$A28)^R$2)</f>
        <v/>
      </c>
      <c r="S28" s="264">
        <f>$A28*(1-(($A28-1)/$A28)^S$2)</f>
        <v/>
      </c>
      <c r="T28" s="264">
        <f>$A28*(1-(($A28-1)/$A28)^T$2)</f>
        <v/>
      </c>
      <c r="U28" s="264">
        <f>$A28*(1-(($A28-1)/$A28)^U$2)</f>
        <v/>
      </c>
      <c r="V28" s="264">
        <f>$A28*(1-(($A28-1)/$A28)^V$2)</f>
        <v/>
      </c>
      <c r="W28" s="264">
        <f>$A28*(1-(($A28-1)/$A28)^W$2)</f>
        <v/>
      </c>
      <c r="X28" s="264">
        <f>$A28*(1-(($A28-1)/$A28)^X$2)</f>
        <v/>
      </c>
      <c r="Y28" s="264">
        <f>$A28*(1-(($A28-1)/$A28)^Y$2)</f>
        <v/>
      </c>
      <c r="Z28" s="264">
        <f>$A28*(1-(($A28-1)/$A28)^Z$2)</f>
        <v/>
      </c>
      <c r="AA28" s="264">
        <f>$A28*(1-(($A28-1)/$A28)^AA$2)</f>
        <v/>
      </c>
      <c r="AB28" s="264">
        <f>$A28*(1-(($A28-1)/$A28)^AB$2)</f>
        <v/>
      </c>
      <c r="AC28" s="264">
        <f>$A28*(1-(($A28-1)/$A28)^AC$2)</f>
        <v/>
      </c>
      <c r="AD28" s="264">
        <f>$A28*(1-(($A28-1)/$A28)^AD$2)</f>
        <v/>
      </c>
      <c r="AE28" s="253" t="n"/>
      <c r="AF28" s="253" t="n"/>
      <c r="AG28" s="253" t="n"/>
      <c r="AH28" s="253" t="n"/>
      <c r="AI28" s="253" t="n"/>
      <c r="AJ28" s="253" t="n"/>
      <c r="AK28" s="253" t="n"/>
      <c r="AL28" s="253" t="n"/>
      <c r="AM28" s="253" t="n"/>
      <c r="AN28" s="253" t="n"/>
    </row>
    <row r="29" ht="15" customHeight="1" s="138">
      <c r="A29" s="255" t="n">
        <v>27</v>
      </c>
      <c r="B29" s="263">
        <f>$A29*(1-(($A29-1)/$A29)^B$2)</f>
        <v/>
      </c>
      <c r="C29" s="263">
        <f>$A29*(1-(($A29-1)/$A29)^C$2)</f>
        <v/>
      </c>
      <c r="D29" s="263">
        <f>$A29*(1-(($A29-1)/$A29)^D$2)</f>
        <v/>
      </c>
      <c r="E29" s="263">
        <f>$A29*(1-(($A29-1)/$A29)^E$2)</f>
        <v/>
      </c>
      <c r="F29" s="263">
        <f>$A29*(1-(($A29-1)/$A29)^F$2)</f>
        <v/>
      </c>
      <c r="G29" s="263">
        <f>$A29*(1-(($A29-1)/$A29)^G$2)</f>
        <v/>
      </c>
      <c r="H29" s="263">
        <f>$A29*(1-(($A29-1)/$A29)^H$2)</f>
        <v/>
      </c>
      <c r="I29" s="263">
        <f>$A29*(1-(($A29-1)/$A29)^I$2)</f>
        <v/>
      </c>
      <c r="J29" s="263">
        <f>$A29*(1-(($A29-1)/$A29)^J$2)</f>
        <v/>
      </c>
      <c r="K29" s="263">
        <f>$A29*(1-(($A29-1)/$A29)^K$2)</f>
        <v/>
      </c>
      <c r="L29" s="263">
        <f>$A29*(1-(($A29-1)/$A29)^L$2)</f>
        <v/>
      </c>
      <c r="M29" s="263">
        <f>$A29*(1-(($A29-1)/$A29)^M$2)</f>
        <v/>
      </c>
      <c r="N29" s="263">
        <f>$A29*(1-(($A29-1)/$A29)^N$2)</f>
        <v/>
      </c>
      <c r="O29" s="263">
        <f>$A29*(1-(($A29-1)/$A29)^O$2)</f>
        <v/>
      </c>
      <c r="P29" s="263">
        <f>$A29*(1-(($A29-1)/$A29)^P$2)</f>
        <v/>
      </c>
      <c r="Q29" s="263">
        <f>$A29*(1-(($A29-1)/$A29)^Q$2)</f>
        <v/>
      </c>
      <c r="R29" s="264">
        <f>$A29*(1-(($A29-1)/$A29)^R$2)</f>
        <v/>
      </c>
      <c r="S29" s="264">
        <f>$A29*(1-(($A29-1)/$A29)^S$2)</f>
        <v/>
      </c>
      <c r="T29" s="264">
        <f>$A29*(1-(($A29-1)/$A29)^T$2)</f>
        <v/>
      </c>
      <c r="U29" s="264">
        <f>$A29*(1-(($A29-1)/$A29)^U$2)</f>
        <v/>
      </c>
      <c r="V29" s="264">
        <f>$A29*(1-(($A29-1)/$A29)^V$2)</f>
        <v/>
      </c>
      <c r="W29" s="264">
        <f>$A29*(1-(($A29-1)/$A29)^W$2)</f>
        <v/>
      </c>
      <c r="X29" s="264">
        <f>$A29*(1-(($A29-1)/$A29)^X$2)</f>
        <v/>
      </c>
      <c r="Y29" s="264">
        <f>$A29*(1-(($A29-1)/$A29)^Y$2)</f>
        <v/>
      </c>
      <c r="Z29" s="264">
        <f>$A29*(1-(($A29-1)/$A29)^Z$2)</f>
        <v/>
      </c>
      <c r="AA29" s="264">
        <f>$A29*(1-(($A29-1)/$A29)^AA$2)</f>
        <v/>
      </c>
      <c r="AB29" s="264">
        <f>$A29*(1-(($A29-1)/$A29)^AB$2)</f>
        <v/>
      </c>
      <c r="AC29" s="264">
        <f>$A29*(1-(($A29-1)/$A29)^AC$2)</f>
        <v/>
      </c>
      <c r="AD29" s="264">
        <f>$A29*(1-(($A29-1)/$A29)^AD$2)</f>
        <v/>
      </c>
      <c r="AE29" s="253" t="n"/>
      <c r="AF29" s="253" t="n"/>
      <c r="AG29" s="253" t="n"/>
      <c r="AH29" s="253" t="n"/>
      <c r="AI29" s="253" t="n"/>
      <c r="AJ29" s="253" t="n"/>
      <c r="AK29" s="253" t="n"/>
      <c r="AL29" s="253" t="n"/>
      <c r="AM29" s="253" t="n"/>
      <c r="AN29" s="253" t="n"/>
    </row>
    <row r="30" ht="15" customHeight="1" s="138">
      <c r="A30" s="255" t="n">
        <v>28</v>
      </c>
      <c r="B30" s="263">
        <f>$A30*(1-(($A30-1)/$A30)^B$2)</f>
        <v/>
      </c>
      <c r="C30" s="263">
        <f>$A30*(1-(($A30-1)/$A30)^C$2)</f>
        <v/>
      </c>
      <c r="D30" s="263">
        <f>$A30*(1-(($A30-1)/$A30)^D$2)</f>
        <v/>
      </c>
      <c r="E30" s="263">
        <f>$A30*(1-(($A30-1)/$A30)^E$2)</f>
        <v/>
      </c>
      <c r="F30" s="263">
        <f>$A30*(1-(($A30-1)/$A30)^F$2)</f>
        <v/>
      </c>
      <c r="G30" s="263">
        <f>$A30*(1-(($A30-1)/$A30)^G$2)</f>
        <v/>
      </c>
      <c r="H30" s="263">
        <f>$A30*(1-(($A30-1)/$A30)^H$2)</f>
        <v/>
      </c>
      <c r="I30" s="263">
        <f>$A30*(1-(($A30-1)/$A30)^I$2)</f>
        <v/>
      </c>
      <c r="J30" s="263">
        <f>$A30*(1-(($A30-1)/$A30)^J$2)</f>
        <v/>
      </c>
      <c r="K30" s="263">
        <f>$A30*(1-(($A30-1)/$A30)^K$2)</f>
        <v/>
      </c>
      <c r="L30" s="263">
        <f>$A30*(1-(($A30-1)/$A30)^L$2)</f>
        <v/>
      </c>
      <c r="M30" s="263">
        <f>$A30*(1-(($A30-1)/$A30)^M$2)</f>
        <v/>
      </c>
      <c r="N30" s="263">
        <f>$A30*(1-(($A30-1)/$A30)^N$2)</f>
        <v/>
      </c>
      <c r="O30" s="263">
        <f>$A30*(1-(($A30-1)/$A30)^O$2)</f>
        <v/>
      </c>
      <c r="P30" s="263">
        <f>$A30*(1-(($A30-1)/$A30)^P$2)</f>
        <v/>
      </c>
      <c r="Q30" s="263">
        <f>$A30*(1-(($A30-1)/$A30)^Q$2)</f>
        <v/>
      </c>
      <c r="R30" s="264">
        <f>$A30*(1-(($A30-1)/$A30)^R$2)</f>
        <v/>
      </c>
      <c r="S30" s="264">
        <f>$A30*(1-(($A30-1)/$A30)^S$2)</f>
        <v/>
      </c>
      <c r="T30" s="264">
        <f>$A30*(1-(($A30-1)/$A30)^T$2)</f>
        <v/>
      </c>
      <c r="U30" s="264">
        <f>$A30*(1-(($A30-1)/$A30)^U$2)</f>
        <v/>
      </c>
      <c r="V30" s="264">
        <f>$A30*(1-(($A30-1)/$A30)^V$2)</f>
        <v/>
      </c>
      <c r="W30" s="264">
        <f>$A30*(1-(($A30-1)/$A30)^W$2)</f>
        <v/>
      </c>
      <c r="X30" s="264">
        <f>$A30*(1-(($A30-1)/$A30)^X$2)</f>
        <v/>
      </c>
      <c r="Y30" s="264">
        <f>$A30*(1-(($A30-1)/$A30)^Y$2)</f>
        <v/>
      </c>
      <c r="Z30" s="264">
        <f>$A30*(1-(($A30-1)/$A30)^Z$2)</f>
        <v/>
      </c>
      <c r="AA30" s="264">
        <f>$A30*(1-(($A30-1)/$A30)^AA$2)</f>
        <v/>
      </c>
      <c r="AB30" s="264">
        <f>$A30*(1-(($A30-1)/$A30)^AB$2)</f>
        <v/>
      </c>
      <c r="AC30" s="264">
        <f>$A30*(1-(($A30-1)/$A30)^AC$2)</f>
        <v/>
      </c>
      <c r="AD30" s="264">
        <f>$A30*(1-(($A30-1)/$A30)^AD$2)</f>
        <v/>
      </c>
      <c r="AE30" s="253" t="n"/>
      <c r="AF30" s="253" t="n"/>
      <c r="AG30" s="253" t="n"/>
      <c r="AH30" s="253" t="n"/>
      <c r="AI30" s="253" t="n"/>
      <c r="AJ30" s="253" t="n"/>
      <c r="AK30" s="253" t="n"/>
      <c r="AL30" s="253" t="n"/>
      <c r="AM30" s="253" t="n"/>
      <c r="AN30" s="253" t="n"/>
    </row>
    <row r="31" ht="15" customHeight="1" s="138">
      <c r="A31" s="255" t="n">
        <v>29</v>
      </c>
      <c r="B31" s="263">
        <f>$A31*(1-(($A31-1)/$A31)^B$2)</f>
        <v/>
      </c>
      <c r="C31" s="263">
        <f>$A31*(1-(($A31-1)/$A31)^C$2)</f>
        <v/>
      </c>
      <c r="D31" s="263">
        <f>$A31*(1-(($A31-1)/$A31)^D$2)</f>
        <v/>
      </c>
      <c r="E31" s="263">
        <f>$A31*(1-(($A31-1)/$A31)^E$2)</f>
        <v/>
      </c>
      <c r="F31" s="263">
        <f>$A31*(1-(($A31-1)/$A31)^F$2)</f>
        <v/>
      </c>
      <c r="G31" s="263">
        <f>$A31*(1-(($A31-1)/$A31)^G$2)</f>
        <v/>
      </c>
      <c r="H31" s="263">
        <f>$A31*(1-(($A31-1)/$A31)^H$2)</f>
        <v/>
      </c>
      <c r="I31" s="263">
        <f>$A31*(1-(($A31-1)/$A31)^I$2)</f>
        <v/>
      </c>
      <c r="J31" s="263">
        <f>$A31*(1-(($A31-1)/$A31)^J$2)</f>
        <v/>
      </c>
      <c r="K31" s="263">
        <f>$A31*(1-(($A31-1)/$A31)^K$2)</f>
        <v/>
      </c>
      <c r="L31" s="263">
        <f>$A31*(1-(($A31-1)/$A31)^L$2)</f>
        <v/>
      </c>
      <c r="M31" s="263">
        <f>$A31*(1-(($A31-1)/$A31)^M$2)</f>
        <v/>
      </c>
      <c r="N31" s="263">
        <f>$A31*(1-(($A31-1)/$A31)^N$2)</f>
        <v/>
      </c>
      <c r="O31" s="263">
        <f>$A31*(1-(($A31-1)/$A31)^O$2)</f>
        <v/>
      </c>
      <c r="P31" s="263">
        <f>$A31*(1-(($A31-1)/$A31)^P$2)</f>
        <v/>
      </c>
      <c r="Q31" s="263">
        <f>$A31*(1-(($A31-1)/$A31)^Q$2)</f>
        <v/>
      </c>
      <c r="R31" s="264">
        <f>$A31*(1-(($A31-1)/$A31)^R$2)</f>
        <v/>
      </c>
      <c r="S31" s="264">
        <f>$A31*(1-(($A31-1)/$A31)^S$2)</f>
        <v/>
      </c>
      <c r="T31" s="264">
        <f>$A31*(1-(($A31-1)/$A31)^T$2)</f>
        <v/>
      </c>
      <c r="U31" s="264">
        <f>$A31*(1-(($A31-1)/$A31)^U$2)</f>
        <v/>
      </c>
      <c r="V31" s="264">
        <f>$A31*(1-(($A31-1)/$A31)^V$2)</f>
        <v/>
      </c>
      <c r="W31" s="264">
        <f>$A31*(1-(($A31-1)/$A31)^W$2)</f>
        <v/>
      </c>
      <c r="X31" s="264">
        <f>$A31*(1-(($A31-1)/$A31)^X$2)</f>
        <v/>
      </c>
      <c r="Y31" s="264">
        <f>$A31*(1-(($A31-1)/$A31)^Y$2)</f>
        <v/>
      </c>
      <c r="Z31" s="264">
        <f>$A31*(1-(($A31-1)/$A31)^Z$2)</f>
        <v/>
      </c>
      <c r="AA31" s="264">
        <f>$A31*(1-(($A31-1)/$A31)^AA$2)</f>
        <v/>
      </c>
      <c r="AB31" s="264">
        <f>$A31*(1-(($A31-1)/$A31)^AB$2)</f>
        <v/>
      </c>
      <c r="AC31" s="264">
        <f>$A31*(1-(($A31-1)/$A31)^AC$2)</f>
        <v/>
      </c>
      <c r="AD31" s="264">
        <f>$A31*(1-(($A31-1)/$A31)^AD$2)</f>
        <v/>
      </c>
      <c r="AE31" s="253" t="n"/>
      <c r="AF31" s="253" t="n"/>
      <c r="AG31" s="253" t="n"/>
      <c r="AH31" s="253" t="n"/>
      <c r="AI31" s="253" t="n"/>
      <c r="AJ31" s="253" t="n"/>
      <c r="AK31" s="253" t="n"/>
      <c r="AL31" s="253" t="n"/>
      <c r="AM31" s="253" t="n"/>
      <c r="AN31" s="253" t="n"/>
    </row>
    <row r="32" ht="15" customHeight="1" s="138">
      <c r="A32" s="255" t="n">
        <v>30</v>
      </c>
      <c r="B32" s="263">
        <f>$A32*(1-(($A32-1)/$A32)^B$2)</f>
        <v/>
      </c>
      <c r="C32" s="263">
        <f>$A32*(1-(($A32-1)/$A32)^C$2)</f>
        <v/>
      </c>
      <c r="D32" s="263">
        <f>$A32*(1-(($A32-1)/$A32)^D$2)</f>
        <v/>
      </c>
      <c r="E32" s="263">
        <f>$A32*(1-(($A32-1)/$A32)^E$2)</f>
        <v/>
      </c>
      <c r="F32" s="263">
        <f>$A32*(1-(($A32-1)/$A32)^F$2)</f>
        <v/>
      </c>
      <c r="G32" s="263">
        <f>$A32*(1-(($A32-1)/$A32)^G$2)</f>
        <v/>
      </c>
      <c r="H32" s="263">
        <f>$A32*(1-(($A32-1)/$A32)^H$2)</f>
        <v/>
      </c>
      <c r="I32" s="263">
        <f>$A32*(1-(($A32-1)/$A32)^I$2)</f>
        <v/>
      </c>
      <c r="J32" s="263">
        <f>$A32*(1-(($A32-1)/$A32)^J$2)</f>
        <v/>
      </c>
      <c r="K32" s="263">
        <f>$A32*(1-(($A32-1)/$A32)^K$2)</f>
        <v/>
      </c>
      <c r="L32" s="263">
        <f>$A32*(1-(($A32-1)/$A32)^L$2)</f>
        <v/>
      </c>
      <c r="M32" s="263">
        <f>$A32*(1-(($A32-1)/$A32)^M$2)</f>
        <v/>
      </c>
      <c r="N32" s="263">
        <f>$A32*(1-(($A32-1)/$A32)^N$2)</f>
        <v/>
      </c>
      <c r="O32" s="263">
        <f>$A32*(1-(($A32-1)/$A32)^O$2)</f>
        <v/>
      </c>
      <c r="P32" s="263">
        <f>$A32*(1-(($A32-1)/$A32)^P$2)</f>
        <v/>
      </c>
      <c r="Q32" s="263">
        <f>$A32*(1-(($A32-1)/$A32)^Q$2)</f>
        <v/>
      </c>
      <c r="R32" s="264">
        <f>$A32*(1-(($A32-1)/$A32)^R$2)</f>
        <v/>
      </c>
      <c r="S32" s="264">
        <f>$A32*(1-(($A32-1)/$A32)^S$2)</f>
        <v/>
      </c>
      <c r="T32" s="264">
        <f>$A32*(1-(($A32-1)/$A32)^T$2)</f>
        <v/>
      </c>
      <c r="U32" s="264">
        <f>$A32*(1-(($A32-1)/$A32)^U$2)</f>
        <v/>
      </c>
      <c r="V32" s="264">
        <f>$A32*(1-(($A32-1)/$A32)^V$2)</f>
        <v/>
      </c>
      <c r="W32" s="264">
        <f>$A32*(1-(($A32-1)/$A32)^W$2)</f>
        <v/>
      </c>
      <c r="X32" s="264">
        <f>$A32*(1-(($A32-1)/$A32)^X$2)</f>
        <v/>
      </c>
      <c r="Y32" s="264">
        <f>$A32*(1-(($A32-1)/$A32)^Y$2)</f>
        <v/>
      </c>
      <c r="Z32" s="264">
        <f>$A32*(1-(($A32-1)/$A32)^Z$2)</f>
        <v/>
      </c>
      <c r="AA32" s="264">
        <f>$A32*(1-(($A32-1)/$A32)^AA$2)</f>
        <v/>
      </c>
      <c r="AB32" s="264">
        <f>$A32*(1-(($A32-1)/$A32)^AB$2)</f>
        <v/>
      </c>
      <c r="AC32" s="264">
        <f>$A32*(1-(($A32-1)/$A32)^AC$2)</f>
        <v/>
      </c>
      <c r="AD32" s="264">
        <f>$A32*(1-(($A32-1)/$A32)^AD$2)</f>
        <v/>
      </c>
      <c r="AE32" s="253" t="n"/>
      <c r="AF32" s="253" t="n"/>
      <c r="AG32" s="253" t="n"/>
      <c r="AH32" s="253" t="n"/>
      <c r="AI32" s="253" t="n"/>
      <c r="AJ32" s="253" t="n"/>
      <c r="AK32" s="253" t="n"/>
      <c r="AL32" s="253" t="n"/>
      <c r="AM32" s="253" t="n"/>
      <c r="AN32" s="253" t="n"/>
    </row>
    <row r="33" ht="15" customHeight="1" s="138">
      <c r="A33" s="265" t="n"/>
      <c r="B33" s="253" t="n"/>
      <c r="C33" s="253" t="n"/>
      <c r="D33" s="253" t="n"/>
      <c r="E33" s="253" t="n"/>
      <c r="F33" s="253" t="n"/>
      <c r="G33" s="253" t="n"/>
      <c r="H33" s="253" t="n"/>
      <c r="I33" s="253" t="n"/>
      <c r="J33" s="253" t="n"/>
      <c r="K33" s="253" t="n"/>
      <c r="L33" s="253" t="n"/>
      <c r="M33" s="253" t="n"/>
      <c r="N33" s="253" t="n"/>
      <c r="O33" s="253" t="n"/>
      <c r="P33" s="253" t="n"/>
      <c r="Q33" s="253" t="n"/>
      <c r="R33" s="253" t="n"/>
      <c r="S33" s="253" t="n"/>
      <c r="T33" s="253" t="n"/>
      <c r="U33" s="253" t="n"/>
      <c r="V33" s="253" t="n"/>
      <c r="W33" s="253" t="n"/>
      <c r="X33" s="253" t="n"/>
      <c r="Y33" s="253" t="n"/>
      <c r="Z33" s="253" t="n"/>
      <c r="AA33" s="253" t="n"/>
      <c r="AB33" s="253" t="n"/>
      <c r="AC33" s="253" t="n"/>
      <c r="AD33" s="253" t="n"/>
      <c r="AE33" s="253" t="n"/>
      <c r="AF33" s="253" t="n"/>
      <c r="AG33" s="253" t="n"/>
      <c r="AH33" s="253" t="n"/>
      <c r="AI33" s="253" t="n"/>
      <c r="AJ33" s="253" t="n"/>
      <c r="AK33" s="253" t="n"/>
      <c r="AL33" s="253" t="n"/>
      <c r="AM33" s="253" t="n"/>
      <c r="AN33" s="253" t="n"/>
    </row>
    <row r="34" ht="15" customHeight="1" s="138">
      <c r="A34" s="159" t="inlineStr">
        <is>
          <t>TABLO-5 ORTALAMA DURAK ADEDİ  —  S = N·(1−((N−1)/N)^P)</t>
        </is>
      </c>
      <c r="B34" s="253" t="n"/>
      <c r="C34" s="253" t="n"/>
      <c r="D34" s="253" t="n"/>
      <c r="E34" s="253" t="n"/>
      <c r="F34" s="253" t="n"/>
      <c r="G34" s="253" t="n"/>
      <c r="H34" s="253" t="n"/>
      <c r="I34" s="253" t="n"/>
      <c r="J34" s="253" t="n"/>
      <c r="K34" s="253" t="n"/>
      <c r="L34" s="253" t="n"/>
      <c r="M34" s="253" t="n"/>
      <c r="N34" s="253" t="n"/>
      <c r="O34" s="253" t="n"/>
      <c r="P34" s="253" t="n"/>
      <c r="Q34" s="253" t="n"/>
      <c r="R34" s="253" t="n"/>
      <c r="S34" s="253" t="n"/>
      <c r="T34" s="253" t="n"/>
      <c r="U34" s="253" t="n"/>
      <c r="V34" s="253" t="n"/>
      <c r="W34" s="253" t="n"/>
      <c r="X34" s="253" t="n"/>
      <c r="Y34" s="253" t="n"/>
      <c r="Z34" s="253" t="n"/>
      <c r="AA34" s="253" t="n"/>
      <c r="AB34" s="253" t="n"/>
      <c r="AC34" s="253" t="n"/>
      <c r="AD34" s="253" t="n"/>
      <c r="AE34" s="253" t="n"/>
      <c r="AF34" s="253" t="n"/>
      <c r="AG34" s="253" t="n"/>
      <c r="AH34" s="253" t="n"/>
      <c r="AI34" s="253" t="n"/>
      <c r="AJ34" s="253" t="n"/>
      <c r="AK34" s="253" t="n"/>
      <c r="AL34" s="253" t="n"/>
      <c r="AM34" s="253" t="n"/>
      <c r="AN34" s="253" t="n"/>
    </row>
    <row r="35" ht="15" customHeight="1" s="138">
      <c r="A35" s="143" t="inlineStr">
        <is>
          <t>N = Ana Giriş Üzerindeki Kat Adedi. Kaynak: MMO/697, Ocak 2020, s.16 (Tablo-5, kapasite 6-34 kişi, N=1-30)</t>
        </is>
      </c>
      <c r="B35" s="253" t="n"/>
      <c r="C35" s="253" t="n"/>
      <c r="D35" s="253" t="n"/>
      <c r="E35" s="253" t="n"/>
      <c r="F35" s="253" t="n"/>
      <c r="G35" s="253" t="n"/>
      <c r="H35" s="253" t="n"/>
      <c r="I35" s="253" t="n"/>
      <c r="J35" s="253" t="n"/>
      <c r="K35" s="253" t="n"/>
      <c r="L35" s="253" t="n"/>
      <c r="M35" s="253" t="n"/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3" t="n"/>
      <c r="Y35" s="253" t="n"/>
      <c r="Z35" s="253" t="n"/>
      <c r="AA35" s="253" t="n"/>
      <c r="AB35" s="253" t="n"/>
      <c r="AC35" s="253" t="n"/>
      <c r="AD35" s="253" t="n"/>
      <c r="AE35" s="253" t="n"/>
      <c r="AF35" s="253" t="n"/>
      <c r="AG35" s="253" t="n"/>
      <c r="AH35" s="253" t="n"/>
      <c r="AI35" s="253" t="n"/>
      <c r="AJ35" s="253" t="n"/>
      <c r="AK35" s="253" t="n"/>
      <c r="AL35" s="253" t="n"/>
      <c r="AM35" s="253" t="n"/>
      <c r="AN35" s="253" t="n"/>
    </row>
    <row r="36" ht="15" customHeight="1" s="138">
      <c r="A36" s="253" t="n"/>
      <c r="B36" s="253" t="n"/>
      <c r="C36" s="253" t="n"/>
      <c r="D36" s="253" t="n"/>
      <c r="E36" s="253" t="n"/>
      <c r="F36" s="253" t="n"/>
      <c r="G36" s="253" t="n"/>
      <c r="H36" s="253" t="n"/>
      <c r="I36" s="253" t="n"/>
      <c r="J36" s="253" t="n"/>
      <c r="K36" s="253" t="n"/>
      <c r="L36" s="253" t="n"/>
      <c r="M36" s="253" t="n"/>
      <c r="N36" s="253" t="n"/>
      <c r="O36" s="253" t="n"/>
      <c r="P36" s="253" t="n"/>
      <c r="Q36" s="253" t="n"/>
      <c r="R36" s="253" t="n"/>
      <c r="S36" s="253" t="n"/>
      <c r="T36" s="253" t="n"/>
      <c r="U36" s="253" t="n"/>
      <c r="V36" s="253" t="n"/>
      <c r="W36" s="253" t="n"/>
      <c r="X36" s="253" t="n"/>
      <c r="Y36" s="253" t="n"/>
      <c r="Z36" s="253" t="n"/>
      <c r="AA36" s="253" t="n"/>
      <c r="AB36" s="253" t="n"/>
      <c r="AC36" s="253" t="n"/>
      <c r="AD36" s="253" t="n"/>
      <c r="AE36" s="253" t="n"/>
      <c r="AF36" s="253" t="n"/>
      <c r="AG36" s="253" t="n"/>
      <c r="AH36" s="253" t="n"/>
      <c r="AI36" s="253" t="n"/>
      <c r="AJ36" s="253" t="n"/>
      <c r="AK36" s="253" t="n"/>
      <c r="AL36" s="253" t="n"/>
      <c r="AM36" s="253" t="n"/>
      <c r="AN36" s="253" t="n"/>
    </row>
    <row r="37" ht="15" customHeight="1" s="138">
      <c r="A37" s="253" t="n"/>
      <c r="B37" s="253" t="n"/>
      <c r="C37" s="253" t="n"/>
      <c r="D37" s="253" t="n"/>
      <c r="E37" s="253" t="n"/>
      <c r="F37" s="253" t="n"/>
      <c r="G37" s="253" t="n"/>
      <c r="H37" s="253" t="n"/>
      <c r="I37" s="253" t="n"/>
      <c r="J37" s="253" t="n"/>
      <c r="K37" s="253" t="n"/>
      <c r="L37" s="253" t="n"/>
      <c r="M37" s="253" t="n"/>
      <c r="N37" s="253" t="n"/>
      <c r="O37" s="253" t="n"/>
      <c r="P37" s="253" t="n"/>
      <c r="Q37" s="253" t="n"/>
      <c r="R37" s="253" t="n"/>
      <c r="S37" s="253" t="n"/>
      <c r="T37" s="253" t="n"/>
      <c r="U37" s="253" t="n"/>
      <c r="V37" s="253" t="n"/>
      <c r="W37" s="253" t="n"/>
      <c r="X37" s="253" t="n"/>
      <c r="Y37" s="253" t="n"/>
      <c r="Z37" s="253" t="n"/>
      <c r="AA37" s="253" t="n"/>
      <c r="AB37" s="253" t="n"/>
      <c r="AC37" s="253" t="n"/>
      <c r="AD37" s="253" t="n"/>
      <c r="AE37" s="253" t="n"/>
      <c r="AF37" s="253" t="n"/>
      <c r="AG37" s="253" t="n"/>
      <c r="AH37" s="253" t="n"/>
      <c r="AI37" s="253" t="n"/>
      <c r="AJ37" s="253" t="n"/>
      <c r="AK37" s="253" t="n"/>
      <c r="AL37" s="253" t="n"/>
      <c r="AM37" s="253" t="n"/>
      <c r="AN37" s="253" t="n"/>
    </row>
    <row r="38" ht="15" customHeight="1" s="138">
      <c r="A38" s="253" t="n"/>
      <c r="B38" s="253" t="n"/>
      <c r="C38" s="253" t="n"/>
      <c r="D38" s="253" t="n"/>
      <c r="E38" s="253" t="n"/>
      <c r="F38" s="253" t="n"/>
      <c r="G38" s="253" t="n"/>
      <c r="H38" s="253" t="n"/>
      <c r="I38" s="253" t="n"/>
      <c r="J38" s="253" t="n"/>
      <c r="K38" s="253" t="n"/>
      <c r="L38" s="253" t="n"/>
      <c r="M38" s="253" t="n"/>
      <c r="N38" s="253" t="n"/>
      <c r="O38" s="253" t="n"/>
      <c r="P38" s="253" t="n"/>
      <c r="Q38" s="253" t="n"/>
      <c r="R38" s="253" t="n"/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3" t="n"/>
      <c r="AK38" s="253" t="n"/>
      <c r="AL38" s="253" t="n"/>
      <c r="AM38" s="253" t="n"/>
      <c r="AN38" s="253" t="n"/>
    </row>
    <row r="39" ht="15" customHeight="1" s="138">
      <c r="A39" s="253" t="n"/>
      <c r="B39" s="253" t="n"/>
      <c r="C39" s="253" t="n"/>
      <c r="D39" s="253" t="n"/>
      <c r="E39" s="253" t="n"/>
      <c r="F39" s="253" t="n"/>
      <c r="G39" s="253" t="n"/>
      <c r="H39" s="253" t="n"/>
      <c r="I39" s="253" t="n"/>
      <c r="J39" s="253" t="n"/>
      <c r="K39" s="253" t="n"/>
      <c r="L39" s="253" t="n"/>
      <c r="M39" s="253" t="n"/>
      <c r="N39" s="253" t="n"/>
      <c r="O39" s="253" t="n"/>
      <c r="P39" s="253" t="n"/>
      <c r="Q39" s="253" t="n"/>
      <c r="R39" s="253" t="n"/>
      <c r="S39" s="253" t="n"/>
      <c r="T39" s="253" t="n"/>
      <c r="U39" s="253" t="n"/>
      <c r="V39" s="253" t="n"/>
      <c r="W39" s="253" t="n"/>
      <c r="X39" s="253" t="n"/>
      <c r="Y39" s="253" t="n"/>
      <c r="Z39" s="253" t="n"/>
      <c r="AA39" s="253" t="n"/>
      <c r="AB39" s="253" t="n"/>
      <c r="AC39" s="253" t="n"/>
      <c r="AD39" s="253" t="n"/>
      <c r="AE39" s="253" t="n"/>
      <c r="AF39" s="253" t="n"/>
      <c r="AG39" s="253" t="n"/>
      <c r="AH39" s="253" t="n"/>
      <c r="AI39" s="253" t="n"/>
      <c r="AJ39" s="253" t="n"/>
      <c r="AK39" s="253" t="n"/>
      <c r="AL39" s="253" t="n"/>
      <c r="AM39" s="253" t="n"/>
      <c r="AN39" s="253" t="n"/>
    </row>
    <row r="40" ht="15" customHeight="1" s="138">
      <c r="A40" s="253" t="n"/>
      <c r="B40" s="253" t="n"/>
      <c r="C40" s="253" t="n"/>
      <c r="D40" s="253" t="n"/>
      <c r="E40" s="253" t="n"/>
      <c r="F40" s="253" t="n"/>
      <c r="G40" s="253" t="n"/>
      <c r="H40" s="253" t="n"/>
      <c r="I40" s="253" t="n"/>
      <c r="J40" s="253" t="n"/>
      <c r="K40" s="253" t="n"/>
      <c r="L40" s="253" t="n"/>
      <c r="M40" s="253" t="n"/>
      <c r="N40" s="253" t="n"/>
      <c r="O40" s="253" t="n"/>
      <c r="P40" s="253" t="n"/>
      <c r="Q40" s="253" t="n"/>
      <c r="R40" s="253" t="n"/>
      <c r="S40" s="253" t="n"/>
      <c r="T40" s="253" t="n"/>
      <c r="U40" s="253" t="n"/>
      <c r="V40" s="253" t="n"/>
      <c r="W40" s="253" t="n"/>
      <c r="X40" s="253" t="n"/>
      <c r="Y40" s="253" t="n"/>
      <c r="Z40" s="253" t="n"/>
      <c r="AA40" s="253" t="n"/>
      <c r="AB40" s="253" t="n"/>
      <c r="AC40" s="253" t="n"/>
      <c r="AD40" s="253" t="n"/>
      <c r="AE40" s="253" t="n"/>
      <c r="AF40" s="253" t="n"/>
      <c r="AG40" s="253" t="n"/>
      <c r="AH40" s="253" t="n"/>
      <c r="AI40" s="253" t="n"/>
      <c r="AJ40" s="253" t="n"/>
      <c r="AK40" s="253" t="n"/>
      <c r="AL40" s="253" t="n"/>
      <c r="AM40" s="253" t="n"/>
      <c r="AN40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2" customWidth="1" style="136" min="1" max="1"/>
    <col width="8" customWidth="1" style="136" min="2" max="9"/>
  </cols>
  <sheetData>
    <row r="1" ht="15.75" customHeight="1" s="138">
      <c r="A1" s="269" t="inlineStr">
        <is>
          <t>Hız [m/s]</t>
        </is>
      </c>
      <c r="B1" s="269" t="inlineStr">
        <is>
          <t>&lt;1</t>
        </is>
      </c>
      <c r="C1" s="269" t="inlineStr">
        <is>
          <t>1</t>
        </is>
      </c>
      <c r="D1" s="269" t="inlineStr">
        <is>
          <t>1,6</t>
        </is>
      </c>
      <c r="E1" s="269" t="inlineStr">
        <is>
          <t>2</t>
        </is>
      </c>
      <c r="F1" s="269" t="inlineStr">
        <is>
          <t>2,5</t>
        </is>
      </c>
      <c r="G1" s="269" t="inlineStr">
        <is>
          <t>3,5</t>
        </is>
      </c>
      <c r="H1" s="269" t="inlineStr">
        <is>
          <t>5</t>
        </is>
      </c>
      <c r="I1" s="269" t="inlineStr">
        <is>
          <t>&gt;5,00</t>
        </is>
      </c>
    </row>
    <row r="2" ht="15.75" customHeight="1" s="138">
      <c r="A2" s="269" t="inlineStr">
        <is>
          <t>tg [s]</t>
        </is>
      </c>
      <c r="B2" s="266" t="inlineStr">
        <is>
          <t>10</t>
        </is>
      </c>
      <c r="C2" s="266" t="inlineStr">
        <is>
          <t>7</t>
        </is>
      </c>
      <c r="D2" s="266" t="inlineStr">
        <is>
          <t>6</t>
        </is>
      </c>
      <c r="E2" s="266" t="inlineStr">
        <is>
          <t>5,7</t>
        </is>
      </c>
      <c r="F2" s="266" t="inlineStr">
        <is>
          <t>5,5</t>
        </is>
      </c>
      <c r="G2" s="266" t="inlineStr">
        <is>
          <t>5</t>
        </is>
      </c>
      <c r="H2" s="266" t="inlineStr">
        <is>
          <t>4,5</t>
        </is>
      </c>
      <c r="I2" s="266" t="inlineStr">
        <is>
          <t>4,3</t>
        </is>
      </c>
    </row>
    <row r="3" ht="21.75" customHeight="1" s="138">
      <c r="A3" s="270" t="inlineStr">
        <is>
          <t>Tablo –6 Tek katı geçme zamanı  |  Kaynak: MMO/697, Ocak 2020, s.17 (kitapla birebir doğrulandı)</t>
        </is>
      </c>
      <c r="B3" s="140" t="n"/>
      <c r="C3" s="140" t="n"/>
      <c r="D3" s="140" t="n"/>
      <c r="E3" s="140" t="n"/>
      <c r="F3" s="140" t="n"/>
      <c r="G3" s="140" t="n"/>
      <c r="H3" s="140" t="n"/>
      <c r="I3" s="141" t="n"/>
    </row>
    <row r="4" ht="15" customHeight="1" s="138">
      <c r="A4" s="136" t="inlineStr">
        <is>
          <t>Ara değerler: 1,75 m/s → tg = 5,8875 s ve 3,00 m/s → tg = 5,25 s, komşu tablo noktaları arasında doğrusal enterpolasyonla türetilmiştir. MMO/697 Tablo-6 satır başlığı değildir; paftada kaynak "Tablo-6 (ara değer — enterpolasyon)" olarak yazılır.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1">
    <mergeCell ref="A3:I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9.57" customWidth="1" style="136" min="1" max="9"/>
  </cols>
  <sheetData>
    <row r="1" ht="18" customHeight="1" s="138">
      <c r="A1" s="261" t="inlineStr">
        <is>
          <t>Kabin Kapasitesi (P)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</row>
    <row r="2" ht="15.75" customHeight="1" s="138">
      <c r="A2" s="252" t="inlineStr">
        <is>
          <t>6 kişi</t>
        </is>
      </c>
      <c r="B2" s="252" t="inlineStr">
        <is>
          <t>8 kişi</t>
        </is>
      </c>
      <c r="C2" s="252" t="inlineStr">
        <is>
          <t>10 kişi</t>
        </is>
      </c>
      <c r="D2" s="252" t="inlineStr">
        <is>
          <t>13 kişi</t>
        </is>
      </c>
      <c r="E2" s="252" t="inlineStr">
        <is>
          <t>16 kişi</t>
        </is>
      </c>
      <c r="F2" s="252" t="inlineStr">
        <is>
          <t>20 kişi</t>
        </is>
      </c>
      <c r="G2" s="252" t="inlineStr">
        <is>
          <t>25 kişi</t>
        </is>
      </c>
      <c r="H2" s="252" t="inlineStr">
        <is>
          <t>30 kişi</t>
        </is>
      </c>
      <c r="I2" s="265" t="n"/>
      <c r="J2" s="253" t="n"/>
      <c r="K2" s="253" t="n"/>
      <c r="L2" s="253" t="n"/>
    </row>
    <row r="3" ht="15.75" customHeight="1" s="138">
      <c r="A3" s="255" t="inlineStr">
        <is>
          <t>450 kg</t>
        </is>
      </c>
      <c r="B3" s="255" t="inlineStr">
        <is>
          <t>630 kg</t>
        </is>
      </c>
      <c r="C3" s="255" t="inlineStr">
        <is>
          <t>800 kg</t>
        </is>
      </c>
      <c r="D3" s="255" t="inlineStr">
        <is>
          <t>1000 kg</t>
        </is>
      </c>
      <c r="E3" s="255" t="inlineStr">
        <is>
          <t>1275 kg</t>
        </is>
      </c>
      <c r="F3" s="255" t="inlineStr">
        <is>
          <t>1600 kg</t>
        </is>
      </c>
      <c r="G3" s="255" t="inlineStr">
        <is>
          <t>2000 kg</t>
        </is>
      </c>
      <c r="H3" s="255" t="inlineStr">
        <is>
          <t>2500 kg</t>
        </is>
      </c>
      <c r="I3" s="265" t="n"/>
      <c r="J3" s="253" t="n"/>
      <c r="K3" s="253" t="n"/>
      <c r="L3" s="253" t="n"/>
    </row>
    <row r="4" ht="21.75" customHeight="1" s="138">
      <c r="A4" s="260" t="inlineStr">
        <is>
          <t>Tablo –7 Kabin kapasitesi  |  Kaynak: MMO/697, Ocak 2020, s.17</t>
        </is>
      </c>
      <c r="I4" s="253" t="n"/>
      <c r="J4" s="253" t="n"/>
      <c r="K4" s="253" t="n"/>
      <c r="L4" s="253" t="n"/>
    </row>
    <row r="5" ht="27.75" customHeight="1" s="138">
      <c r="A5" s="271" t="inlineStr">
        <is>
          <t>Not: 15 kişi / 1125 kg bu Tablo-7'de yer almaz; MMO/697'nin s.53-54 örnek projesinde kullanıldığı için hesap sayfalarında açıkça 'örnek istisnası' olarak desteklenir.</t>
        </is>
      </c>
      <c r="I5" s="253" t="n"/>
      <c r="J5" s="253" t="n"/>
      <c r="K5" s="253" t="n"/>
      <c r="L5" s="253" t="n"/>
    </row>
    <row r="6" ht="27.75" customHeight="1" s="138">
      <c r="A6" s="271" t="inlineStr">
        <is>
          <t>Kaynak ayrımı: Tablo-7 s.17 | 15 kişi / 1125 kg örneği s.53-54</t>
        </is>
      </c>
      <c r="I6" s="253" t="n"/>
      <c r="J6" s="253" t="n"/>
      <c r="K6" s="253" t="n"/>
      <c r="L6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3">
    <mergeCell ref="A4:H4"/>
    <mergeCell ref="A6:H6"/>
    <mergeCell ref="A5:H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5" customWidth="1" style="136" min="1" max="1"/>
    <col width="12" customWidth="1" style="137" min="2" max="6"/>
  </cols>
  <sheetData>
    <row r="1" ht="15.75" customHeight="1" s="138">
      <c r="A1" s="272" t="inlineStr">
        <is>
          <t>Kapı Genişliği [mm]</t>
        </is>
      </c>
      <c r="B1" s="272" t="n">
        <v>700</v>
      </c>
      <c r="C1" s="272" t="n">
        <v>800</v>
      </c>
      <c r="D1" s="272" t="n">
        <v>900</v>
      </c>
      <c r="E1" s="272" t="n">
        <v>1000</v>
      </c>
      <c r="F1" s="272" t="n">
        <v>1100</v>
      </c>
      <c r="G1" s="272" t="n">
        <v>1200</v>
      </c>
      <c r="H1" s="272" t="n">
        <v>1300</v>
      </c>
    </row>
    <row r="2" ht="15.75" customHeight="1" s="138">
      <c r="A2" s="273" t="inlineStr">
        <is>
          <t>tp [s]</t>
        </is>
      </c>
      <c r="B2" s="274" t="n">
        <v>1.3</v>
      </c>
      <c r="C2" s="274" t="n">
        <v>1.2</v>
      </c>
      <c r="D2" s="274" t="n">
        <v>1.1</v>
      </c>
      <c r="E2" s="274" t="n">
        <v>1</v>
      </c>
      <c r="F2" s="274" t="n">
        <v>1</v>
      </c>
      <c r="G2" s="274" t="n">
        <v>0.9</v>
      </c>
      <c r="H2" s="274" t="n">
        <v>0.9</v>
      </c>
    </row>
    <row r="3" ht="30" customHeight="1" s="138">
      <c r="A3" s="286" t="inlineStr">
        <is>
          <t>Tablo –8 Kişi transfer zamanı (tp) — kapı tipinden bağımsız, net kapı genişliğine göre. tp = tek yolcunun kabine giriş VEYA çıkış süresidir; TR denkleminde 2·p·tp olarak kullanılır.</t>
        </is>
      </c>
      <c r="G3" s="253" t="n"/>
      <c r="H3" s="253" t="n"/>
    </row>
    <row r="4" hidden="1" ht="15" customHeight="1" s="138">
      <c r="A4" s="159" t="n"/>
      <c r="B4" s="159" t="n"/>
      <c r="C4" s="159" t="n"/>
      <c r="D4" s="253" t="n"/>
      <c r="E4" s="253" t="n"/>
      <c r="F4" s="253" t="n"/>
      <c r="G4" s="253" t="n"/>
      <c r="H4" s="253" t="n"/>
    </row>
    <row r="5" ht="30" customHeight="1" s="138">
      <c r="A5" s="287" t="inlineStr">
        <is>
          <t>Kaynak: ISO 8100-32:2020 "Planning and selection of passenger lifts…", Tablo 6 — 900 mm: 1,1 s | 1000 mm: 1,0 s | 1100 mm: 1,0 s | 1200 mm: 0,9 s.</t>
        </is>
      </c>
      <c r="G5" s="253" t="n"/>
      <c r="H5" s="253" t="n"/>
    </row>
    <row r="6" ht="15" customHeight="1" s="138">
      <c r="A6" s="253" t="inlineStr">
        <is>
          <t>800 mm: 1,2 s — ISO/CD 8100-32 (2017 komite taslağı) Tablo 6'nın 800 mm satırından; ayrıca Barney &amp; Peters, "Expert Systems for Lift Traffic Design", 9th Symposium on Lift &amp; Escalator Technology (2018), Tablo 3 (450-800 kg / 800 mm → 1,2 s) ile birebir aynıdır. 800 mm, EN 81-70'in erişilebilir asansör için istediği asgari net kapı genişliğidir.</t>
        </is>
      </c>
      <c r="B6" s="253" t="n"/>
      <c r="C6" s="253" t="n"/>
      <c r="D6" s="253" t="n"/>
      <c r="E6" s="253" t="n"/>
      <c r="F6" s="253" t="n"/>
      <c r="G6" s="253" t="n"/>
      <c r="H6" s="253" t="n"/>
    </row>
    <row r="7" ht="15" customHeight="1" s="138">
      <c r="A7" s="253" t="inlineStr">
        <is>
          <t>1300 mm: 0,9 s — ISO tablosu 1200 mm'de biter; 1200 mm değeri düz devam ettirilmiştir. Barney/Peters &gt;1100 mm için 0,8 s verdiğinden bu değer güvenli taraftadır.</t>
        </is>
      </c>
      <c r="B7" s="253" t="n"/>
      <c r="C7" s="253" t="n"/>
      <c r="D7" s="253" t="n"/>
      <c r="E7" s="253" t="n"/>
      <c r="F7" s="253" t="n"/>
      <c r="G7" s="253" t="n"/>
      <c r="H7" s="253" t="n"/>
    </row>
    <row r="8" ht="15" customHeight="1" s="138">
      <c r="A8" s="253" t="inlineStr">
        <is>
          <t>700 mm ISO 8100-32:2020 Tablo 6'da ve Barney/Peters tablolarında YOKTUR (tablo 800 mm'de başlar, ayrıca 700 mm TS EN 81-70 erişilebilirlik asgarisi olan 800 mm'nin altındadır). Buradaki 1,3 s değeri 800→900 mm eğiminden ( −0,1 s / 100 mm ) DOĞRUSAL DIŞ DEĞERLEME ile bulunmuştur; büyük tp, TR'yi büyüttüğü için emniyetli taraftadır. İmalatçı verisi varsa manuel tp girilmelidir.</t>
        </is>
      </c>
      <c r="B8" s="253" t="n"/>
      <c r="C8" s="253" t="n"/>
      <c r="D8" s="253" t="n"/>
      <c r="E8" s="253" t="n"/>
      <c r="F8" s="253" t="n"/>
      <c r="G8" s="253" t="n"/>
      <c r="H8" s="253" t="n"/>
    </row>
    <row r="10" ht="15" customHeight="1" s="138">
      <c r="A10" s="136" t="inlineStr">
        <is>
          <t>NOT — bina tipi düzeltmesi: Barney/Peters Tablo 3 ofis değerleri içindir ve konut için +0,3 s, otel için +0,5 s eklenmesini önerir. ISO 8100-32:2020 Tablo 6 böyle bir ayrım yapmaz ve MMO/697 de yapmaz; bu çalışma kitabı ISO değerlerini olduğu gibi kullanır. Muhafazakâr bir konut tasarımı isteniyorsa HESAPLAMA E29 hücresine tp + 0,3 s elle girilebilir.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2">
    <mergeCell ref="A3:F3"/>
    <mergeCell ref="A5:F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136" min="1" max="1"/>
    <col width="13" customWidth="1" style="136" min="2" max="2"/>
    <col width="15" customWidth="1" style="136" min="3" max="3"/>
    <col hidden="1" width="13" customWidth="1" style="136" min="4" max="5"/>
  </cols>
  <sheetData>
    <row r="1" ht="18" customHeight="1" s="138">
      <c r="A1" s="252" t="inlineStr">
        <is>
          <t>Bina Tipi</t>
        </is>
      </c>
      <c r="B1" s="252" t="inlineStr">
        <is>
          <t>Standart</t>
        </is>
      </c>
      <c r="C1" s="252" t="inlineStr">
        <is>
          <t>Yükseltilmiş 1)</t>
        </is>
      </c>
      <c r="D1" s="251" t="inlineStr">
        <is>
          <t>Standart_num</t>
        </is>
      </c>
      <c r="E1" s="251" t="inlineStr">
        <is>
          <t>Yükseltilmiş_num</t>
        </is>
      </c>
      <c r="F1" s="253" t="n"/>
      <c r="G1" s="253" t="n"/>
      <c r="H1" s="253" t="n"/>
    </row>
    <row r="2" ht="15.75" customHeight="1" s="138">
      <c r="A2" s="277" t="inlineStr">
        <is>
          <t>Konut</t>
        </is>
      </c>
      <c r="B2" s="255" t="inlineStr">
        <is>
          <t>% 7.5</t>
        </is>
      </c>
      <c r="C2" s="255" t="inlineStr">
        <is>
          <t>% 10</t>
        </is>
      </c>
      <c r="D2" s="256" t="n">
        <v>0.075</v>
      </c>
      <c r="E2" s="256" t="n">
        <v>0.1</v>
      </c>
      <c r="F2" s="253" t="n"/>
      <c r="G2" s="253" t="n"/>
      <c r="H2" s="253" t="n"/>
    </row>
    <row r="3" ht="15.75" customHeight="1" s="138">
      <c r="A3" s="277" t="inlineStr">
        <is>
          <t>Otel</t>
        </is>
      </c>
      <c r="B3" s="255" t="inlineStr">
        <is>
          <t>% 12</t>
        </is>
      </c>
      <c r="C3" s="255" t="inlineStr">
        <is>
          <t>% 15</t>
        </is>
      </c>
      <c r="D3" s="256" t="n">
        <v>0.12</v>
      </c>
      <c r="E3" s="256" t="n">
        <v>0.15</v>
      </c>
      <c r="F3" s="253" t="n"/>
      <c r="G3" s="253" t="n"/>
      <c r="H3" s="253" t="n"/>
    </row>
    <row r="4" ht="15.75" customHeight="1" s="138">
      <c r="A4" s="277" t="inlineStr">
        <is>
          <t>İş Merkezi</t>
        </is>
      </c>
      <c r="B4" s="255" t="inlineStr">
        <is>
          <t>% 15</t>
        </is>
      </c>
      <c r="C4" s="255" t="inlineStr">
        <is>
          <t>% 17</t>
        </is>
      </c>
      <c r="D4" s="256" t="n">
        <v>0.15</v>
      </c>
      <c r="E4" s="256" t="n">
        <v>0.17</v>
      </c>
      <c r="F4" s="253" t="n"/>
      <c r="G4" s="253" t="n"/>
      <c r="H4" s="253" t="n"/>
    </row>
    <row r="5" ht="15.75" customHeight="1" s="138">
      <c r="A5" s="277" t="inlineStr">
        <is>
          <t>Hastane</t>
        </is>
      </c>
      <c r="B5" s="255" t="inlineStr">
        <is>
          <t>% 10</t>
        </is>
      </c>
      <c r="C5" s="255" t="inlineStr">
        <is>
          <t>% 20</t>
        </is>
      </c>
      <c r="D5" s="256" t="n">
        <v>0.1</v>
      </c>
      <c r="E5" s="256" t="n">
        <v>0.2</v>
      </c>
      <c r="F5" s="253" t="n"/>
      <c r="G5" s="253" t="n"/>
      <c r="H5" s="253" t="n"/>
    </row>
    <row r="6" ht="15.75" customHeight="1" s="138">
      <c r="A6" s="277" t="inlineStr">
        <is>
          <t>Otopark</t>
        </is>
      </c>
      <c r="B6" s="255" t="inlineStr">
        <is>
          <t>% 10</t>
        </is>
      </c>
      <c r="C6" s="255" t="inlineStr">
        <is>
          <t>% 20</t>
        </is>
      </c>
      <c r="D6" s="256" t="n">
        <v>0.1</v>
      </c>
      <c r="E6" s="256" t="n">
        <v>0.2</v>
      </c>
      <c r="F6" s="253" t="n"/>
      <c r="G6" s="253" t="n"/>
      <c r="H6" s="253" t="n"/>
    </row>
    <row r="7" ht="15.75" customHeight="1" s="138">
      <c r="A7" s="278" t="n"/>
      <c r="B7" s="265" t="n"/>
      <c r="C7" s="265" t="n"/>
      <c r="D7" s="253" t="n"/>
      <c r="E7" s="253" t="n"/>
      <c r="F7" s="253" t="n"/>
      <c r="G7" s="253" t="n"/>
      <c r="H7" s="253" t="n"/>
    </row>
    <row r="8" ht="30" customHeight="1" s="138">
      <c r="A8" s="258" t="inlineStr">
        <is>
          <t>1) Yüksek yapılardaki asansörlerin hesabı için yükseltilmiş değerlerin seçilmelidir.</t>
        </is>
      </c>
      <c r="F8" s="253" t="n"/>
      <c r="G8" s="253" t="n"/>
      <c r="H8" s="253" t="n"/>
    </row>
    <row r="9" ht="27.75" customHeight="1" s="138">
      <c r="A9" s="259" t="inlineStr">
        <is>
          <t>Tablo –9 Taşınacak insan yüzdesi (% k)</t>
        </is>
      </c>
      <c r="F9" s="253" t="n"/>
      <c r="G9" s="253" t="n"/>
      <c r="H9" s="253" t="n"/>
    </row>
    <row r="10" ht="21.75" customHeight="1" s="138">
      <c r="A10" s="260" t="inlineStr">
        <is>
          <t>Kaynak: MMO/697, Ocak 2020, s.17</t>
        </is>
      </c>
      <c r="F10" s="253" t="n"/>
      <c r="G10" s="253" t="n"/>
      <c r="H10" s="253" t="n"/>
    </row>
    <row r="11" ht="49.5" customHeight="1" s="138">
      <c r="A11" s="279" t="inlineStr">
        <is>
          <t>Otomatik yüksek bina kontrolü: bina yüksekliği &gt;21,50 m veya yapı yüksekliği &gt;30,50 m ise Yükseltilmiş seçilir (BYKHY md.4; kaynak KAYNAKLAR).</t>
        </is>
      </c>
      <c r="F11" s="253" t="n"/>
      <c r="G11" s="253" t="n"/>
      <c r="H11" s="253" t="n"/>
    </row>
    <row r="12" ht="15" customHeight="1" s="138">
      <c r="A12" s="253" t="inlineStr">
        <is>
          <t>Kamu binaları Tablo-9'da yoktur; çalışma kitabı İş Merkezi yüzdesini (%15 / yükseltilmiş %17) varsayar ve bunu HESAPLAMA E6 hücresinde belirtir.</t>
        </is>
      </c>
      <c r="B12" s="253" t="n"/>
      <c r="C12" s="253" t="n"/>
      <c r="D12" s="253" t="n"/>
      <c r="E12" s="253" t="n"/>
      <c r="F12" s="253" t="n"/>
      <c r="G12" s="253" t="n"/>
      <c r="H12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11:E11"/>
    <mergeCell ref="A10:E10"/>
    <mergeCell ref="A9:E9"/>
    <mergeCell ref="A8:E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4" customWidth="1" style="136" min="1" max="1"/>
    <col width="15" customWidth="1" style="136" min="2" max="3"/>
    <col width="12" customWidth="1" style="136" min="4" max="4"/>
    <col width="20" customWidth="1" style="136" min="5" max="5"/>
    <col hidden="1" width="13" customWidth="1" style="136" min="6" max="8"/>
    <col width="34" customWidth="1" style="136" min="10" max="10"/>
    <col width="20" customWidth="1" style="136" min="11" max="11"/>
    <col width="18" customWidth="1" style="136" min="12" max="12"/>
  </cols>
  <sheetData>
    <row r="1" ht="30" customHeight="1" s="138">
      <c r="A1" s="250" t="inlineStr">
        <is>
          <t>Sınıf</t>
        </is>
      </c>
      <c r="B1" s="250" t="inlineStr">
        <is>
          <t>Kabul Edilemez</t>
        </is>
      </c>
      <c r="C1" s="250" t="inlineStr">
        <is>
          <t>Şartlı Kabul 2)</t>
        </is>
      </c>
      <c r="D1" s="250" t="inlineStr">
        <is>
          <t>Standart</t>
        </is>
      </c>
      <c r="E1" s="250" t="inlineStr">
        <is>
          <t>Yükseltilmiş 3)</t>
        </is>
      </c>
      <c r="F1" s="251" t="inlineStr">
        <is>
          <t>Sartli_num</t>
        </is>
      </c>
      <c r="G1" s="251" t="inlineStr">
        <is>
          <t>Standart_num</t>
        </is>
      </c>
      <c r="H1" s="251" t="inlineStr">
        <is>
          <t>Yukseltilmis_num</t>
        </is>
      </c>
      <c r="I1" s="253" t="n"/>
      <c r="J1" s="251" t="inlineStr">
        <is>
          <t>Bina Tipi (ana seçim)</t>
        </is>
      </c>
      <c r="K1" s="251" t="inlineStr">
        <is>
          <t>→ Tablo-2 hız grubu</t>
        </is>
      </c>
      <c r="L1" s="251" t="inlineStr">
        <is>
          <t>→ Tablo-9 %k tipi</t>
        </is>
      </c>
    </row>
    <row r="2" ht="15.75" customHeight="1" s="138">
      <c r="A2" s="277" t="inlineStr">
        <is>
          <t>Konut</t>
        </is>
      </c>
      <c r="B2" s="255" t="inlineStr">
        <is>
          <t>120 sn. üzeri</t>
        </is>
      </c>
      <c r="C2" s="255" t="inlineStr">
        <is>
          <t>120 sn.</t>
        </is>
      </c>
      <c r="D2" s="255" t="inlineStr">
        <is>
          <t>100 sn.</t>
        </is>
      </c>
      <c r="E2" s="255" t="inlineStr">
        <is>
          <t>80 sn.</t>
        </is>
      </c>
      <c r="F2" s="256" t="n">
        <v>120</v>
      </c>
      <c r="G2" s="256" t="n">
        <v>100</v>
      </c>
      <c r="H2" s="256" t="n">
        <v>80</v>
      </c>
      <c r="I2" s="253" t="n"/>
      <c r="J2" s="256" t="inlineStr">
        <is>
          <t>Konut</t>
        </is>
      </c>
      <c r="K2" s="209" t="inlineStr">
        <is>
          <t>Konut</t>
        </is>
      </c>
      <c r="L2" s="209" t="inlineStr">
        <is>
          <t>Konut</t>
        </is>
      </c>
    </row>
    <row r="3" ht="15.75" customHeight="1" s="138">
      <c r="A3" s="277" t="inlineStr">
        <is>
          <t>Karma Binalar (İşyeri ve Konut)</t>
        </is>
      </c>
      <c r="B3" s="255" t="inlineStr">
        <is>
          <t>60 sn. üzeri</t>
        </is>
      </c>
      <c r="C3" s="255" t="inlineStr">
        <is>
          <t>60 sn.</t>
        </is>
      </c>
      <c r="D3" s="255" t="inlineStr">
        <is>
          <t>50 sn.</t>
        </is>
      </c>
      <c r="E3" s="255" t="inlineStr">
        <is>
          <t>30 sn.</t>
        </is>
      </c>
      <c r="F3" s="256" t="n">
        <v>60</v>
      </c>
      <c r="G3" s="256" t="n">
        <v>50</v>
      </c>
      <c r="H3" s="256" t="n">
        <v>30</v>
      </c>
      <c r="I3" s="253" t="n"/>
      <c r="J3" s="256" t="inlineStr">
        <is>
          <t>Karma Binalar (İşyeri ve Konut)</t>
        </is>
      </c>
      <c r="K3" s="209" t="inlineStr">
        <is>
          <t>Manuel hız gerekli</t>
        </is>
      </c>
      <c r="L3" s="209" t="inlineStr">
        <is>
          <t>Manuel k gerekli</t>
        </is>
      </c>
    </row>
    <row r="4" ht="15.75" customHeight="1" s="138">
      <c r="A4" s="277" t="inlineStr">
        <is>
          <t>İş Merkezi (Tek Firmalı)</t>
        </is>
      </c>
      <c r="B4" s="255" t="inlineStr">
        <is>
          <t>60 sn. üzeri</t>
        </is>
      </c>
      <c r="C4" s="255" t="inlineStr">
        <is>
          <t>60 sn.</t>
        </is>
      </c>
      <c r="D4" s="255" t="inlineStr">
        <is>
          <t>50 sn.</t>
        </is>
      </c>
      <c r="E4" s="255" t="inlineStr">
        <is>
          <t>40 sn.</t>
        </is>
      </c>
      <c r="F4" s="256" t="n">
        <v>60</v>
      </c>
      <c r="G4" s="256" t="n">
        <v>50</v>
      </c>
      <c r="H4" s="256" t="n">
        <v>40</v>
      </c>
      <c r="I4" s="253" t="n"/>
      <c r="J4" s="256" t="inlineStr">
        <is>
          <t>İş Merkezi (Tek Firmalı)</t>
        </is>
      </c>
      <c r="K4" s="209" t="inlineStr">
        <is>
          <t>Büro ve İş Merkezi</t>
        </is>
      </c>
      <c r="L4" s="209" t="inlineStr">
        <is>
          <t>İş Merkezi</t>
        </is>
      </c>
    </row>
    <row r="5" ht="15.75" customHeight="1" s="138">
      <c r="A5" s="277" t="inlineStr">
        <is>
          <t>İş Merkezi (Çok Firmalı)</t>
        </is>
      </c>
      <c r="B5" s="255" t="inlineStr">
        <is>
          <t>50 sn. üzeri</t>
        </is>
      </c>
      <c r="C5" s="255" t="inlineStr">
        <is>
          <t>50 sn.</t>
        </is>
      </c>
      <c r="D5" s="255" t="inlineStr">
        <is>
          <t>40 sn.</t>
        </is>
      </c>
      <c r="E5" s="255" t="inlineStr">
        <is>
          <t>30 sn.</t>
        </is>
      </c>
      <c r="F5" s="256" t="n">
        <v>50</v>
      </c>
      <c r="G5" s="256" t="n">
        <v>40</v>
      </c>
      <c r="H5" s="256" t="n">
        <v>30</v>
      </c>
      <c r="I5" s="253" t="n"/>
      <c r="J5" s="256" t="inlineStr">
        <is>
          <t>İş Merkezi (Çok Firmalı)</t>
        </is>
      </c>
      <c r="K5" s="209" t="inlineStr">
        <is>
          <t>Büro ve İş Merkezi</t>
        </is>
      </c>
      <c r="L5" s="209" t="inlineStr">
        <is>
          <t>İş Merkezi</t>
        </is>
      </c>
    </row>
    <row r="6" ht="15.75" customHeight="1" s="138">
      <c r="A6" s="277" t="inlineStr">
        <is>
          <t>Otel (3* ve altı)</t>
        </is>
      </c>
      <c r="B6" s="255" t="inlineStr">
        <is>
          <t>60 sn. üzeri</t>
        </is>
      </c>
      <c r="C6" s="255" t="inlineStr">
        <is>
          <t>60 sn.</t>
        </is>
      </c>
      <c r="D6" s="255" t="inlineStr">
        <is>
          <t>50 sn.</t>
        </is>
      </c>
      <c r="E6" s="255" t="inlineStr">
        <is>
          <t>40 sn.</t>
        </is>
      </c>
      <c r="F6" s="256" t="n">
        <v>60</v>
      </c>
      <c r="G6" s="256" t="n">
        <v>50</v>
      </c>
      <c r="H6" s="256" t="n">
        <v>40</v>
      </c>
      <c r="I6" s="253" t="n"/>
      <c r="J6" s="256" t="inlineStr">
        <is>
          <t>Otel (3* ve altı)</t>
        </is>
      </c>
      <c r="K6" s="209" t="inlineStr">
        <is>
          <t>Otel</t>
        </is>
      </c>
      <c r="L6" s="209" t="inlineStr">
        <is>
          <t>Otel</t>
        </is>
      </c>
    </row>
    <row r="7" ht="15.75" customHeight="1" s="138">
      <c r="A7" s="277" t="inlineStr">
        <is>
          <t>Otel (4* ve üzeri)</t>
        </is>
      </c>
      <c r="B7" s="255" t="inlineStr">
        <is>
          <t>50 sn. üzeri</t>
        </is>
      </c>
      <c r="C7" s="255" t="inlineStr">
        <is>
          <t>50 sn.</t>
        </is>
      </c>
      <c r="D7" s="255" t="inlineStr">
        <is>
          <t>40 sn.</t>
        </is>
      </c>
      <c r="E7" s="255" t="inlineStr">
        <is>
          <t>30 sn.</t>
        </is>
      </c>
      <c r="F7" s="256" t="n">
        <v>50</v>
      </c>
      <c r="G7" s="256" t="n">
        <v>40</v>
      </c>
      <c r="H7" s="256" t="n">
        <v>30</v>
      </c>
      <c r="I7" s="253" t="n"/>
      <c r="J7" s="256" t="inlineStr">
        <is>
          <t>Otel (4* ve üzeri)</t>
        </is>
      </c>
      <c r="K7" s="209" t="inlineStr">
        <is>
          <t>Otel</t>
        </is>
      </c>
      <c r="L7" s="209" t="inlineStr">
        <is>
          <t>Otel</t>
        </is>
      </c>
    </row>
    <row r="8" ht="15.75" customHeight="1" s="138">
      <c r="A8" s="277" t="inlineStr">
        <is>
          <t>Kamu Binaları</t>
        </is>
      </c>
      <c r="B8" s="255" t="inlineStr">
        <is>
          <t>40 sn. üzeri</t>
        </is>
      </c>
      <c r="C8" s="255" t="inlineStr">
        <is>
          <t>--</t>
        </is>
      </c>
      <c r="D8" s="255" t="inlineStr">
        <is>
          <t>40 sn.</t>
        </is>
      </c>
      <c r="E8" s="255" t="inlineStr">
        <is>
          <t>30 sn.</t>
        </is>
      </c>
      <c r="F8" s="256" t="n"/>
      <c r="G8" s="256" t="n">
        <v>40</v>
      </c>
      <c r="H8" s="256" t="n">
        <v>30</v>
      </c>
      <c r="I8" s="253" t="n"/>
      <c r="J8" s="256" t="inlineStr">
        <is>
          <t>Kamu Binaları</t>
        </is>
      </c>
      <c r="K8" s="209" t="inlineStr">
        <is>
          <t>Büro ve İş Merkezi</t>
        </is>
      </c>
      <c r="L8" s="209" t="inlineStr">
        <is>
          <t>İş Merkezi</t>
        </is>
      </c>
    </row>
    <row r="9" ht="15.75" customHeight="1" s="138">
      <c r="A9" s="277" t="inlineStr">
        <is>
          <t>Hastane</t>
        </is>
      </c>
      <c r="B9" s="255" t="inlineStr">
        <is>
          <t>40 sn. üzeri</t>
        </is>
      </c>
      <c r="C9" s="255" t="inlineStr">
        <is>
          <t>--</t>
        </is>
      </c>
      <c r="D9" s="255" t="inlineStr">
        <is>
          <t>40 sn.</t>
        </is>
      </c>
      <c r="E9" s="255" t="inlineStr">
        <is>
          <t>30 sn.</t>
        </is>
      </c>
      <c r="F9" s="256" t="n"/>
      <c r="G9" s="256" t="n">
        <v>40</v>
      </c>
      <c r="H9" s="256" t="n">
        <v>30</v>
      </c>
      <c r="I9" s="253" t="n"/>
      <c r="J9" s="256" t="inlineStr">
        <is>
          <t>Hastane</t>
        </is>
      </c>
      <c r="K9" s="209" t="inlineStr">
        <is>
          <t>Manuel hız gerekli</t>
        </is>
      </c>
      <c r="L9" s="209" t="inlineStr">
        <is>
          <t>Hastane</t>
        </is>
      </c>
    </row>
    <row r="10" ht="15.75" customHeight="1" s="138">
      <c r="A10" s="277" t="inlineStr">
        <is>
          <t>Poliklinik Binaları ve Yaşlı Bakım Ev.</t>
        </is>
      </c>
      <c r="B10" s="255" t="inlineStr">
        <is>
          <t>60 sn. üzeri</t>
        </is>
      </c>
      <c r="C10" s="255" t="inlineStr">
        <is>
          <t>60 sn.</t>
        </is>
      </c>
      <c r="D10" s="255" t="inlineStr">
        <is>
          <t>50 sn.</t>
        </is>
      </c>
      <c r="E10" s="255" t="inlineStr">
        <is>
          <t>40 sn.</t>
        </is>
      </c>
      <c r="F10" s="256" t="n">
        <v>60</v>
      </c>
      <c r="G10" s="256" t="n">
        <v>50</v>
      </c>
      <c r="H10" s="256" t="n">
        <v>40</v>
      </c>
      <c r="I10" s="253" t="n"/>
      <c r="J10" s="256" t="inlineStr">
        <is>
          <t>Poliklinik Binaları ve Yaşlı Bakım Ev.</t>
        </is>
      </c>
      <c r="K10" s="209" t="inlineStr">
        <is>
          <t>Manuel hız gerekli</t>
        </is>
      </c>
      <c r="L10" s="209" t="inlineStr">
        <is>
          <t>Manuel k gerekli</t>
        </is>
      </c>
    </row>
    <row r="11" ht="15.75" customHeight="1" s="138">
      <c r="A11" s="277" t="inlineStr">
        <is>
          <t>Katlı Otopark</t>
        </is>
      </c>
      <c r="B11" s="255" t="inlineStr">
        <is>
          <t>60 sn. üzeri</t>
        </is>
      </c>
      <c r="C11" s="255" t="inlineStr">
        <is>
          <t>60 sn.</t>
        </is>
      </c>
      <c r="D11" s="255" t="inlineStr">
        <is>
          <t>50 sn.</t>
        </is>
      </c>
      <c r="E11" s="255" t="inlineStr">
        <is>
          <t>40 sn.</t>
        </is>
      </c>
      <c r="F11" s="256" t="n">
        <v>60</v>
      </c>
      <c r="G11" s="256" t="n">
        <v>50</v>
      </c>
      <c r="H11" s="256" t="n">
        <v>40</v>
      </c>
      <c r="I11" s="253" t="n"/>
      <c r="J11" s="256" t="inlineStr">
        <is>
          <t>Katlı Otopark</t>
        </is>
      </c>
      <c r="K11" s="209" t="inlineStr">
        <is>
          <t>Manuel hız gerekli</t>
        </is>
      </c>
      <c r="L11" s="209" t="inlineStr">
        <is>
          <t>Otopark</t>
        </is>
      </c>
    </row>
    <row r="12" ht="24" customHeight="1" s="138">
      <c r="A12" s="280" t="inlineStr">
        <is>
          <t>2) Sadece asansör yaptırıcısı/bina sorumlusu onayı ile (Taahhütname)</t>
        </is>
      </c>
      <c r="F12" s="253" t="n"/>
      <c r="G12" s="253" t="n"/>
      <c r="H12" s="253" t="n"/>
      <c r="I12" s="253" t="n"/>
      <c r="J12" s="253" t="n"/>
    </row>
    <row r="13" ht="33.75" customHeight="1" s="138">
      <c r="A13" s="280" t="inlineStr">
        <is>
          <t>3) Yüksek yapılardaki asansörlerin hesabı için yükseltilmiş standart seçilmelidir.</t>
        </is>
      </c>
      <c r="F13" s="253" t="n"/>
      <c r="G13" s="253" t="n"/>
      <c r="H13" s="253" t="n"/>
      <c r="I13" s="253" t="n"/>
      <c r="J13" s="163" t="inlineStr">
        <is>
          <t>EŞLEME TABLOSU — Yalnız MMO/697 Tablo-2 ve Tablo-9'da açıkça bulunan değerler otomatik seçilir.</t>
        </is>
      </c>
    </row>
    <row r="14" ht="31.5" customHeight="1" s="138">
      <c r="A14" s="261" t="inlineStr">
        <is>
          <t>Tablo-10 İzin verilen en fazla bekleme zamanı (Izul)</t>
        </is>
      </c>
      <c r="B14" s="253" t="n"/>
      <c r="C14" s="253" t="n"/>
      <c r="D14" s="253" t="n"/>
      <c r="E14" s="253" t="n"/>
      <c r="F14" s="253" t="n"/>
      <c r="G14" s="253" t="n"/>
      <c r="H14" s="253" t="n"/>
      <c r="I14" s="253" t="n"/>
      <c r="J14" s="163" t="inlineStr">
        <is>
          <t>Tabloda bulunmayan bina sınıflarında hız ve/veya k değeri kullanıcı tarafından proje verisine göre girilmeden hesap yapılmaz.</t>
        </is>
      </c>
    </row>
    <row r="15" ht="15" customHeight="1" s="138">
      <c r="A15" s="143" t="inlineStr">
        <is>
          <t>Kaynak: MMO/697, Ocak 2020, s.17</t>
        </is>
      </c>
      <c r="B15" s="253" t="n"/>
      <c r="C15" s="253" t="n"/>
      <c r="D15" s="253" t="n"/>
      <c r="E15" s="253" t="n"/>
      <c r="F15" s="253" t="n"/>
      <c r="G15" s="253" t="n"/>
      <c r="H15" s="253" t="n"/>
      <c r="I15" s="253" t="n"/>
      <c r="J15" s="253" t="n"/>
    </row>
    <row r="16" ht="15" customHeight="1" s="138">
      <c r="A16" s="253" t="n"/>
      <c r="B16" s="253" t="n"/>
      <c r="C16" s="253" t="n"/>
      <c r="D16" s="253" t="n"/>
      <c r="E16" s="253" t="n"/>
      <c r="F16" s="253" t="n"/>
      <c r="G16" s="253" t="n"/>
      <c r="H16" s="253" t="n"/>
      <c r="I16" s="253" t="n"/>
      <c r="J16" s="253" t="inlineStr">
        <is>
          <t>Kamu Binaları: MMO/697 Tablo-2'de hız, Tablo-9'da %k verilmemiştir. Kullanım karakteri büro olduğundan Büro/İş Merkezi değerleri varsayılan alınır; V (E10) ve k (E5) hücrelerinden değiştirilebilir. Bekleme sınırı Tablo-10'un kendi Kamu satırından (40/30 sn) okunur.</t>
        </is>
      </c>
    </row>
    <row r="17" ht="15" customHeight="1" s="138">
      <c r="A17" s="253" t="n"/>
      <c r="B17" s="253" t="n"/>
      <c r="C17" s="253" t="n"/>
      <c r="D17" s="253" t="n"/>
      <c r="E17" s="253" t="n"/>
      <c r="F17" s="253" t="n"/>
      <c r="G17" s="253" t="n"/>
      <c r="H17" s="253" t="n"/>
      <c r="I17" s="253" t="n"/>
      <c r="J17" s="253" t="n"/>
    </row>
    <row r="18" ht="15" customHeight="1" s="138">
      <c r="A18" s="253" t="n"/>
      <c r="B18" s="253" t="n"/>
      <c r="C18" s="253" t="n"/>
      <c r="D18" s="253" t="n"/>
      <c r="E18" s="253" t="n"/>
      <c r="F18" s="253" t="n"/>
      <c r="G18" s="253" t="n"/>
      <c r="H18" s="253" t="n"/>
      <c r="I18" s="253" t="n"/>
      <c r="J18" s="253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0" sort="1" password="decc"/>
  <mergeCells count="4">
    <mergeCell ref="A12:E12"/>
    <mergeCell ref="J14:L14"/>
    <mergeCell ref="A13:E13"/>
    <mergeCell ref="J13:L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Asansör Avan Hesaplama Programı</dc:creator>
  <dc:title xmlns:dc="http://purl.org/dc/elements/1.1/">Örnek — Bodrumlu Bina</dc:title>
  <dc:description xmlns:dc="http://purl.org/dc/elements/1.1/">{"proje_adi": "Örnek — Bodrumlu Bina", "isveren": "ABC İnşaat A.Ş.", "pafta_no": "EL-05", "tarih": "27.08.2026", "muhendis": ""}</dc:description>
  <dc:subject xmlns:dc="http://purl.org/dc/elements/1.1/">ABC İnşaat A.Ş.</dc:subject>
  <dc:language xmlns:dc="http://purl.org/dc/elements/1.1/">en-US</dc:language>
  <dcterms:created xmlns:dcterms="http://purl.org/dc/terms/" xmlns:xsi="http://www.w3.org/2001/XMLSchema-instance" xsi:type="dcterms:W3CDTF">2026-07-24T23:49:12Z</dcterms:created>
  <dcterms:modified xmlns:dcterms="http://purl.org/dc/terms/" xmlns:xsi="http://www.w3.org/2001/XMLSchema-instance" xsi:type="dcterms:W3CDTF">2026-08-28T07:10:47Z</dcterms:modified>
  <cp:lastModifiedBy>Asansör Avan Hesaplama Programı</cp:lastModifiedBy>
  <cp:category>EL-05</cp:category>
  <cp:revision>0</cp:revision>
  <cp:keywords>Asansör Avan Hesaplama Programı</cp:keywords>
</cp:coreProperties>
</file>