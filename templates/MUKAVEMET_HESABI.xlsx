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mir\Desktop\"/>
    </mc:Choice>
  </mc:AlternateContent>
  <xr:revisionPtr revIDLastSave="0" documentId="13_ncr:1_{97F5EB96-A790-4538-9286-E7288A7B25E8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Veri Girişi" sheetId="1" r:id="rId1"/>
    <sheet name="10-Trafik Hesap" sheetId="2" state="hidden" r:id="rId2"/>
    <sheet name="11-Muk. Hesapları" sheetId="3" r:id="rId3"/>
    <sheet name="12-Elk.Hesapları" sheetId="4" r:id="rId4"/>
    <sheet name="RAPOR" sheetId="5" r:id="rId5"/>
    <sheet name="TEKNİK" sheetId="6" r:id="rId6"/>
    <sheet name="Askı Tipleri" sheetId="7" state="hidden" r:id="rId7"/>
    <sheet name="TABLOLAR" sheetId="8" state="hidden" r:id="rId8"/>
    <sheet name="DEĞİŞİKLİK KAYDI" sheetId="9" state="hidden" r:id="rId9"/>
  </sheets>
  <definedNames>
    <definedName name="firmalistesi">TEKNİK!$U$2:$U$21</definedName>
    <definedName name="frenblokmarka">TEKNİK!$X$2:$X$21</definedName>
    <definedName name="hızregülatörmarka">TEKNİK!$Y$2:$Y$21</definedName>
    <definedName name="kapıkilitmarka">TEKNİK!$V$2:$V$21</definedName>
    <definedName name="kumandakartmarka">TEKNİK!$W$2:$W$21</definedName>
    <definedName name="rayçeliğirm">TEKNİK!$P$2:$P$4</definedName>
    <definedName name="tamponmarka">TEKNİK!$AA$2:$AA$21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6" i="3" l="1"/>
  <c r="T7" i="1"/>
  <c r="S4" i="1" l="1"/>
  <c r="T4" i="1"/>
  <c r="U4" i="1"/>
  <c r="V4" i="1"/>
  <c r="W4" i="1"/>
  <c r="X4" i="1"/>
  <c r="Y4" i="1"/>
  <c r="Z4" i="1"/>
  <c r="AA4" i="1"/>
  <c r="S5" i="1"/>
  <c r="T5" i="1"/>
  <c r="U5" i="1"/>
  <c r="V5" i="1"/>
  <c r="W5" i="1"/>
  <c r="Y5" i="1"/>
  <c r="Z5" i="1"/>
  <c r="AA5" i="1"/>
  <c r="S6" i="1"/>
  <c r="T6" i="1"/>
  <c r="U6" i="1"/>
  <c r="V6" i="1"/>
  <c r="W6" i="1"/>
  <c r="Y6" i="1"/>
  <c r="AA6" i="1"/>
  <c r="S7" i="1"/>
  <c r="U7" i="1"/>
  <c r="W7" i="1"/>
  <c r="Y7" i="1"/>
  <c r="AA7" i="1"/>
  <c r="S8" i="1"/>
  <c r="T8" i="1"/>
  <c r="U8" i="1"/>
  <c r="W8" i="1"/>
  <c r="AA8" i="1"/>
  <c r="S9" i="1"/>
  <c r="T9" i="1"/>
  <c r="U9" i="1"/>
  <c r="W9" i="1"/>
  <c r="AA9" i="1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A251" i="8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180" i="8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179" i="8"/>
  <c r="B179" i="8"/>
  <c r="B178" i="8"/>
  <c r="AL76" i="8"/>
  <c r="AM76" i="8" s="1"/>
  <c r="AL75" i="8"/>
  <c r="AM75" i="8" s="1"/>
  <c r="AL74" i="8"/>
  <c r="AM74" i="8" s="1"/>
  <c r="N74" i="8"/>
  <c r="M74" i="8"/>
  <c r="AL73" i="8"/>
  <c r="AM73" i="8" s="1"/>
  <c r="N73" i="8"/>
  <c r="M73" i="8"/>
  <c r="AL72" i="8"/>
  <c r="AM72" i="8" s="1"/>
  <c r="N72" i="8"/>
  <c r="M72" i="8"/>
  <c r="AL71" i="8"/>
  <c r="N71" i="8"/>
  <c r="M71" i="8"/>
  <c r="AL70" i="8"/>
  <c r="N70" i="8"/>
  <c r="M70" i="8"/>
  <c r="AL69" i="8"/>
  <c r="N69" i="8"/>
  <c r="M69" i="8"/>
  <c r="AL68" i="8"/>
  <c r="AL67" i="8"/>
  <c r="AL66" i="8"/>
  <c r="AL65" i="8"/>
  <c r="AL64" i="8"/>
  <c r="AI64" i="8"/>
  <c r="AH64" i="8"/>
  <c r="AG64" i="8"/>
  <c r="AF64" i="8"/>
  <c r="AE64" i="8"/>
  <c r="AD64" i="8"/>
  <c r="AC64" i="8"/>
  <c r="AL63" i="8"/>
  <c r="AL62" i="8"/>
  <c r="AL61" i="8"/>
  <c r="AL60" i="8"/>
  <c r="Q60" i="8"/>
  <c r="P60" i="8"/>
  <c r="AL59" i="8"/>
  <c r="AL58" i="8"/>
  <c r="AL57" i="8"/>
  <c r="AL56" i="8"/>
  <c r="AL55" i="8"/>
  <c r="C34" i="8"/>
  <c r="B34" i="8"/>
  <c r="AV18" i="8"/>
  <c r="AU18" i="8"/>
  <c r="AT18" i="8"/>
  <c r="AS18" i="8"/>
  <c r="AR18" i="8"/>
  <c r="AV5" i="8"/>
  <c r="AU5" i="8"/>
  <c r="AT5" i="8"/>
  <c r="AS5" i="8"/>
  <c r="AR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Q134" i="7"/>
  <c r="P134" i="7"/>
  <c r="T247" i="3" s="1"/>
  <c r="Q133" i="7"/>
  <c r="D262" i="3" s="1"/>
  <c r="AK261" i="3" s="1"/>
  <c r="P133" i="7"/>
  <c r="D248" i="3" s="1"/>
  <c r="AK247" i="3" s="1"/>
  <c r="O133" i="7"/>
  <c r="N133" i="7"/>
  <c r="M133" i="7"/>
  <c r="L133" i="7"/>
  <c r="Q130" i="7"/>
  <c r="P130" i="7"/>
  <c r="O130" i="7"/>
  <c r="N130" i="7"/>
  <c r="M130" i="7"/>
  <c r="L130" i="7"/>
  <c r="O120" i="7"/>
  <c r="T280" i="3" s="1"/>
  <c r="P116" i="7"/>
  <c r="H247" i="3" s="1"/>
  <c r="L116" i="7"/>
  <c r="M116" i="7" s="1"/>
  <c r="H232" i="3" s="1"/>
  <c r="Q114" i="7"/>
  <c r="P114" i="7"/>
  <c r="O114" i="7"/>
  <c r="M114" i="7"/>
  <c r="L114" i="7"/>
  <c r="Q111" i="7"/>
  <c r="P111" i="7"/>
  <c r="O111" i="7"/>
  <c r="N111" i="7"/>
  <c r="M111" i="7"/>
  <c r="L111" i="7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F5" i="5"/>
  <c r="F4" i="5"/>
  <c r="Q3" i="5"/>
  <c r="P3" i="5"/>
  <c r="K3" i="5"/>
  <c r="F3" i="5"/>
  <c r="L209" i="4"/>
  <c r="U203" i="4"/>
  <c r="Q203" i="4"/>
  <c r="AG180" i="4"/>
  <c r="AG179" i="4"/>
  <c r="O199" i="4" s="1"/>
  <c r="AG178" i="4"/>
  <c r="AG177" i="4"/>
  <c r="AG176" i="4"/>
  <c r="L168" i="4"/>
  <c r="U162" i="4"/>
  <c r="Q162" i="4"/>
  <c r="AG138" i="4"/>
  <c r="W78" i="4" s="1"/>
  <c r="AG136" i="4"/>
  <c r="AG135" i="4"/>
  <c r="AH94" i="4"/>
  <c r="AB90" i="4"/>
  <c r="F90" i="4"/>
  <c r="Y88" i="4"/>
  <c r="T88" i="4"/>
  <c r="P88" i="4"/>
  <c r="AL72" i="4"/>
  <c r="V72" i="4"/>
  <c r="T63" i="4"/>
  <c r="P63" i="4"/>
  <c r="T58" i="4"/>
  <c r="P58" i="4"/>
  <c r="AH53" i="4"/>
  <c r="AB49" i="4"/>
  <c r="F49" i="4"/>
  <c r="Y47" i="4"/>
  <c r="T47" i="4"/>
  <c r="P47" i="4"/>
  <c r="S46" i="4"/>
  <c r="AB42" i="4"/>
  <c r="F42" i="4"/>
  <c r="Y40" i="4"/>
  <c r="T40" i="4"/>
  <c r="P40" i="4"/>
  <c r="W30" i="4"/>
  <c r="W36" i="4" s="1"/>
  <c r="W26" i="4"/>
  <c r="AM23" i="4"/>
  <c r="AL20" i="4"/>
  <c r="V20" i="4"/>
  <c r="AK14" i="4"/>
  <c r="AF14" i="4"/>
  <c r="AT13" i="4"/>
  <c r="AT10" i="4"/>
  <c r="AT9" i="4"/>
  <c r="AT8" i="4"/>
  <c r="AI645" i="3"/>
  <c r="AO644" i="3" s="1"/>
  <c r="AL644" i="3"/>
  <c r="AV644" i="3" s="1"/>
  <c r="AI644" i="3"/>
  <c r="AD640" i="3"/>
  <c r="AL639" i="3"/>
  <c r="AV639" i="3" s="1"/>
  <c r="AI639" i="3"/>
  <c r="AI638" i="3"/>
  <c r="AD638" i="3"/>
  <c r="AS638" i="3" s="1"/>
  <c r="AI637" i="3"/>
  <c r="AS637" i="3" s="1"/>
  <c r="AI636" i="3"/>
  <c r="AI635" i="3"/>
  <c r="AS635" i="3" s="1"/>
  <c r="AA627" i="3"/>
  <c r="AI627" i="3" s="1"/>
  <c r="X621" i="3"/>
  <c r="AF621" i="3" s="1"/>
  <c r="AG616" i="3"/>
  <c r="AC616" i="3"/>
  <c r="Y616" i="3"/>
  <c r="AL611" i="3"/>
  <c r="AH611" i="3"/>
  <c r="AD611" i="3"/>
  <c r="AC604" i="3"/>
  <c r="U604" i="3"/>
  <c r="AA603" i="3"/>
  <c r="AC601" i="3"/>
  <c r="U601" i="3"/>
  <c r="AA600" i="3"/>
  <c r="Q596" i="3"/>
  <c r="U595" i="3"/>
  <c r="V591" i="3"/>
  <c r="AC590" i="3"/>
  <c r="Q584" i="3"/>
  <c r="Z583" i="3"/>
  <c r="Y573" i="3"/>
  <c r="AI572" i="3"/>
  <c r="Y567" i="3"/>
  <c r="AI566" i="3"/>
  <c r="AH554" i="3"/>
  <c r="P580" i="3" s="1"/>
  <c r="AE580" i="3" s="1"/>
  <c r="AH553" i="3"/>
  <c r="AH552" i="3"/>
  <c r="AH551" i="3"/>
  <c r="AL562" i="3" s="1"/>
  <c r="AF572" i="3" s="1"/>
  <c r="AH550" i="3"/>
  <c r="N562" i="3" s="1"/>
  <c r="AF566" i="3" s="1"/>
  <c r="AC546" i="3"/>
  <c r="U546" i="3"/>
  <c r="AA545" i="3"/>
  <c r="AC543" i="3"/>
  <c r="U543" i="3"/>
  <c r="AA542" i="3"/>
  <c r="Q538" i="3"/>
  <c r="U537" i="3"/>
  <c r="V533" i="3"/>
  <c r="AC532" i="3"/>
  <c r="Q527" i="3"/>
  <c r="Z526" i="3"/>
  <c r="T519" i="3"/>
  <c r="AD515" i="3"/>
  <c r="AT514" i="3"/>
  <c r="AG514" i="3"/>
  <c r="AD514" i="3"/>
  <c r="Y514" i="3"/>
  <c r="T511" i="3"/>
  <c r="AD506" i="3"/>
  <c r="AT505" i="3"/>
  <c r="AG505" i="3"/>
  <c r="Y505" i="3"/>
  <c r="AC499" i="3"/>
  <c r="U499" i="3"/>
  <c r="AA498" i="3"/>
  <c r="AC496" i="3"/>
  <c r="U496" i="3"/>
  <c r="AA495" i="3"/>
  <c r="AC491" i="3"/>
  <c r="U491" i="3"/>
  <c r="AA490" i="3"/>
  <c r="AC488" i="3"/>
  <c r="U488" i="3"/>
  <c r="AA487" i="3"/>
  <c r="Q482" i="3"/>
  <c r="U481" i="3"/>
  <c r="Q477" i="3"/>
  <c r="U476" i="3"/>
  <c r="X471" i="3"/>
  <c r="AE470" i="3"/>
  <c r="W464" i="3"/>
  <c r="Z463" i="3"/>
  <c r="Q456" i="3"/>
  <c r="Z455" i="3"/>
  <c r="T447" i="3"/>
  <c r="AH442" i="3"/>
  <c r="AW441" i="3"/>
  <c r="AT441" i="3"/>
  <c r="AO441" i="3"/>
  <c r="AL441" i="3"/>
  <c r="AD441" i="3"/>
  <c r="T438" i="3"/>
  <c r="AI433" i="3"/>
  <c r="AX432" i="3"/>
  <c r="AP432" i="3"/>
  <c r="AM432" i="3"/>
  <c r="AJ432" i="3"/>
  <c r="AE432" i="3"/>
  <c r="T427" i="3"/>
  <c r="AI422" i="3"/>
  <c r="AX421" i="3"/>
  <c r="AU421" i="3"/>
  <c r="AP421" i="3"/>
  <c r="AM421" i="3"/>
  <c r="AJ421" i="3"/>
  <c r="AE421" i="3"/>
  <c r="C424" i="3" s="1"/>
  <c r="T418" i="3"/>
  <c r="AJ413" i="3"/>
  <c r="AY412" i="3"/>
  <c r="AQ412" i="3"/>
  <c r="AN412" i="3"/>
  <c r="AF412" i="3"/>
  <c r="AC405" i="3"/>
  <c r="U405" i="3"/>
  <c r="AA404" i="3"/>
  <c r="AC402" i="3"/>
  <c r="U402" i="3"/>
  <c r="AA401" i="3"/>
  <c r="AC397" i="3"/>
  <c r="U397" i="3"/>
  <c r="AA396" i="3"/>
  <c r="AC394" i="3"/>
  <c r="U394" i="3"/>
  <c r="AA393" i="3"/>
  <c r="Q385" i="3"/>
  <c r="U384" i="3"/>
  <c r="Q380" i="3"/>
  <c r="U379" i="3"/>
  <c r="W372" i="3"/>
  <c r="AF371" i="3"/>
  <c r="W363" i="3"/>
  <c r="AF362" i="3"/>
  <c r="Q355" i="3"/>
  <c r="Z354" i="3"/>
  <c r="W352" i="3"/>
  <c r="AM351" i="3"/>
  <c r="AH351" i="3"/>
  <c r="AD351" i="3"/>
  <c r="T347" i="3"/>
  <c r="Y342" i="3"/>
  <c r="AG341" i="3"/>
  <c r="Z341" i="3"/>
  <c r="T338" i="3"/>
  <c r="AA336" i="3"/>
  <c r="AG335" i="3"/>
  <c r="AD335" i="3"/>
  <c r="Z335" i="3"/>
  <c r="T330" i="3"/>
  <c r="Y328" i="3"/>
  <c r="AG327" i="3"/>
  <c r="AD327" i="3"/>
  <c r="Z327" i="3"/>
  <c r="T324" i="3"/>
  <c r="AA322" i="3"/>
  <c r="AG321" i="3"/>
  <c r="Z321" i="3"/>
  <c r="Z312" i="3"/>
  <c r="Z309" i="3"/>
  <c r="AH305" i="3"/>
  <c r="AH304" i="3"/>
  <c r="AH303" i="3"/>
  <c r="AH300" i="3"/>
  <c r="AQ514" i="3" s="1"/>
  <c r="AH299" i="3"/>
  <c r="AQ505" i="3" s="1"/>
  <c r="AH295" i="3"/>
  <c r="AD505" i="3" s="1"/>
  <c r="AH293" i="3"/>
  <c r="AH291" i="3"/>
  <c r="P523" i="3" s="1"/>
  <c r="AE523" i="3" s="1"/>
  <c r="AH290" i="3"/>
  <c r="AV354" i="3" s="1"/>
  <c r="AV355" i="3" s="1"/>
  <c r="AH289" i="3"/>
  <c r="V283" i="3"/>
  <c r="AS280" i="3"/>
  <c r="AM280" i="3"/>
  <c r="AH280" i="3"/>
  <c r="AF280" i="3"/>
  <c r="G280" i="3"/>
  <c r="D280" i="3"/>
  <c r="V278" i="3"/>
  <c r="D276" i="3"/>
  <c r="BD275" i="3"/>
  <c r="AW275" i="3"/>
  <c r="AR275" i="3"/>
  <c r="AP275" i="3"/>
  <c r="AK275" i="3"/>
  <c r="W275" i="3"/>
  <c r="T275" i="3"/>
  <c r="K275" i="3"/>
  <c r="H275" i="3"/>
  <c r="E275" i="3"/>
  <c r="V269" i="3"/>
  <c r="AM266" i="3"/>
  <c r="AH266" i="3"/>
  <c r="AF266" i="3"/>
  <c r="O266" i="3"/>
  <c r="G266" i="3"/>
  <c r="V264" i="3"/>
  <c r="AW261" i="3"/>
  <c r="AR261" i="3"/>
  <c r="AP261" i="3"/>
  <c r="W261" i="3"/>
  <c r="K261" i="3"/>
  <c r="H261" i="3"/>
  <c r="E261" i="3"/>
  <c r="AM252" i="3"/>
  <c r="AH252" i="3"/>
  <c r="AF252" i="3"/>
  <c r="O252" i="3"/>
  <c r="G252" i="3"/>
  <c r="V250" i="3"/>
  <c r="AW247" i="3"/>
  <c r="AR247" i="3"/>
  <c r="AP247" i="3"/>
  <c r="W247" i="3"/>
  <c r="M247" i="3"/>
  <c r="K247" i="3"/>
  <c r="E247" i="3"/>
  <c r="AS237" i="3"/>
  <c r="AM237" i="3"/>
  <c r="G237" i="3"/>
  <c r="S235" i="3"/>
  <c r="Y233" i="3"/>
  <c r="D233" i="3"/>
  <c r="AK232" i="3" s="1"/>
  <c r="BD232" i="3"/>
  <c r="AW232" i="3"/>
  <c r="AR232" i="3"/>
  <c r="AH237" i="3" s="1"/>
  <c r="AP232" i="3"/>
  <c r="W232" i="3"/>
  <c r="T232" i="3"/>
  <c r="Q232" i="3"/>
  <c r="M232" i="3"/>
  <c r="K232" i="3"/>
  <c r="E232" i="3"/>
  <c r="P216" i="3"/>
  <c r="AE216" i="3" s="1"/>
  <c r="U212" i="3"/>
  <c r="AB211" i="3"/>
  <c r="T207" i="3"/>
  <c r="AK206" i="3"/>
  <c r="AA206" i="3"/>
  <c r="Q206" i="3"/>
  <c r="AB198" i="3"/>
  <c r="U198" i="3"/>
  <c r="O198" i="3"/>
  <c r="AK190" i="3"/>
  <c r="AS190" i="3" s="1"/>
  <c r="AD170" i="3"/>
  <c r="N178" i="3" s="1"/>
  <c r="AD169" i="3"/>
  <c r="AD168" i="3"/>
  <c r="V178" i="3" s="1"/>
  <c r="AD167" i="3"/>
  <c r="R178" i="3" s="1"/>
  <c r="AD166" i="3"/>
  <c r="J174" i="3" s="1"/>
  <c r="AI136" i="3"/>
  <c r="AI135" i="3"/>
  <c r="AI132" i="3"/>
  <c r="AI131" i="3"/>
  <c r="W146" i="3" s="1"/>
  <c r="AF146" i="3" s="1"/>
  <c r="AI130" i="3"/>
  <c r="AI129" i="3"/>
  <c r="B142" i="3" s="1"/>
  <c r="AC121" i="3"/>
  <c r="N112" i="3"/>
  <c r="J112" i="3"/>
  <c r="AH110" i="3"/>
  <c r="X125" i="3" s="1"/>
  <c r="AH109" i="3"/>
  <c r="AH108" i="3"/>
  <c r="AH107" i="3"/>
  <c r="AH104" i="3"/>
  <c r="N116" i="3" s="1"/>
  <c r="G101" i="3"/>
  <c r="K97" i="3"/>
  <c r="J118" i="3" s="1"/>
  <c r="G97" i="3"/>
  <c r="X84" i="3"/>
  <c r="X90" i="3" s="1"/>
  <c r="G82" i="3"/>
  <c r="O75" i="3"/>
  <c r="O67" i="3"/>
  <c r="V45" i="3"/>
  <c r="AE36" i="3"/>
  <c r="AB36" i="3"/>
  <c r="AB35" i="3"/>
  <c r="H71" i="3" s="1"/>
  <c r="AE34" i="3"/>
  <c r="AB34" i="3"/>
  <c r="AB33" i="3"/>
  <c r="Q59" i="3" s="1"/>
  <c r="K58" i="3" s="1"/>
  <c r="AB32" i="3"/>
  <c r="AQ45" i="3" s="1"/>
  <c r="AB31" i="3"/>
  <c r="M27" i="3"/>
  <c r="AQ20" i="3"/>
  <c r="AQ18" i="3"/>
  <c r="L118" i="7" s="1"/>
  <c r="AQ17" i="3"/>
  <c r="AQ15" i="3"/>
  <c r="AQ14" i="3"/>
  <c r="AA45" i="3" s="1"/>
  <c r="AQ10" i="3"/>
  <c r="AQ6" i="3"/>
  <c r="AE50" i="2"/>
  <c r="AE39" i="2"/>
  <c r="AE38" i="2"/>
  <c r="AE37" i="2"/>
  <c r="AE33" i="2"/>
  <c r="AE31" i="2"/>
  <c r="AE30" i="2"/>
  <c r="AE32" i="2" s="1"/>
  <c r="AE29" i="2"/>
  <c r="AB15" i="2"/>
  <c r="S15" i="2"/>
  <c r="S14" i="2"/>
  <c r="AB14" i="2" s="1"/>
  <c r="S12" i="2"/>
  <c r="S13" i="2" s="1"/>
  <c r="AB13" i="2" s="1"/>
  <c r="F108" i="1"/>
  <c r="E109" i="1" s="1"/>
  <c r="F80" i="1"/>
  <c r="C80" i="1"/>
  <c r="Q71" i="1"/>
  <c r="Q70" i="1"/>
  <c r="Q69" i="1"/>
  <c r="Q68" i="1"/>
  <c r="Q67" i="1"/>
  <c r="Q66" i="1"/>
  <c r="Q65" i="1"/>
  <c r="Q64" i="1"/>
  <c r="Q63" i="1"/>
  <c r="Q62" i="1"/>
  <c r="F62" i="1"/>
  <c r="Q61" i="1"/>
  <c r="M61" i="1"/>
  <c r="F61" i="1"/>
  <c r="Q60" i="1"/>
  <c r="M60" i="1"/>
  <c r="C60" i="1"/>
  <c r="AE28" i="2" s="1"/>
  <c r="Q59" i="1"/>
  <c r="M59" i="1"/>
  <c r="R58" i="1"/>
  <c r="Q58" i="1"/>
  <c r="N58" i="1"/>
  <c r="M58" i="1"/>
  <c r="R57" i="1"/>
  <c r="Q57" i="1"/>
  <c r="N57" i="1"/>
  <c r="M57" i="1"/>
  <c r="R56" i="1"/>
  <c r="Q56" i="1"/>
  <c r="N56" i="1"/>
  <c r="M56" i="1"/>
  <c r="F46" i="1"/>
  <c r="F45" i="1"/>
  <c r="O44" i="1"/>
  <c r="R43" i="1"/>
  <c r="Q43" i="1"/>
  <c r="O43" i="1"/>
  <c r="N43" i="1"/>
  <c r="M43" i="1"/>
  <c r="R42" i="1"/>
  <c r="Q42" i="1"/>
  <c r="O42" i="1"/>
  <c r="N42" i="1"/>
  <c r="M42" i="1"/>
  <c r="Q39" i="1"/>
  <c r="P39" i="1"/>
  <c r="O39" i="1"/>
  <c r="N39" i="1"/>
  <c r="M39" i="1"/>
  <c r="B108" i="1" s="1"/>
  <c r="J34" i="1"/>
  <c r="J33" i="1"/>
  <c r="J32" i="1"/>
  <c r="J31" i="1"/>
  <c r="J30" i="1"/>
  <c r="J29" i="1"/>
  <c r="J28" i="1"/>
  <c r="J27" i="1"/>
  <c r="U26" i="1"/>
  <c r="U25" i="1"/>
  <c r="U24" i="1"/>
  <c r="U23" i="1"/>
  <c r="J23" i="1"/>
  <c r="U22" i="1"/>
  <c r="U21" i="1"/>
  <c r="U20" i="1"/>
  <c r="U19" i="1"/>
  <c r="U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AA13" i="1"/>
  <c r="U13" i="1"/>
  <c r="T13" i="1"/>
  <c r="S13" i="1"/>
  <c r="AA12" i="1"/>
  <c r="U12" i="1"/>
  <c r="T12" i="1"/>
  <c r="S12" i="1"/>
  <c r="AA11" i="1"/>
  <c r="U11" i="1"/>
  <c r="T11" i="1"/>
  <c r="S11" i="1"/>
  <c r="AA10" i="1"/>
  <c r="U10" i="1"/>
  <c r="T10" i="1"/>
  <c r="S10" i="1"/>
  <c r="AA3" i="1"/>
  <c r="Z3" i="1"/>
  <c r="Y3" i="1"/>
  <c r="X3" i="1"/>
  <c r="W3" i="1"/>
  <c r="V3" i="1"/>
  <c r="U3" i="1"/>
  <c r="T3" i="1"/>
  <c r="S3" i="1"/>
  <c r="AA2" i="1"/>
  <c r="Z2" i="1"/>
  <c r="Y2" i="1"/>
  <c r="X2" i="1"/>
  <c r="W2" i="1"/>
  <c r="V2" i="1"/>
  <c r="U2" i="1"/>
  <c r="T2" i="1"/>
  <c r="S2" i="1"/>
  <c r="AX18" i="4" l="1"/>
  <c r="T112" i="3"/>
  <c r="P114" i="3" s="1"/>
  <c r="R116" i="3" s="1"/>
  <c r="V116" i="3" s="1"/>
  <c r="R121" i="3" s="1"/>
  <c r="L125" i="7"/>
  <c r="S87" i="4"/>
  <c r="AM75" i="4"/>
  <c r="M35" i="2"/>
  <c r="AE25" i="2" s="1"/>
  <c r="AE24" i="2"/>
  <c r="AE26" i="2"/>
  <c r="D235" i="3"/>
  <c r="L266" i="3"/>
  <c r="T261" i="3"/>
  <c r="AD595" i="3"/>
  <c r="AI590" i="3"/>
  <c r="AD588" i="3"/>
  <c r="AD537" i="3"/>
  <c r="AI532" i="3"/>
  <c r="AD530" i="3"/>
  <c r="AK514" i="3"/>
  <c r="C516" i="3" s="1"/>
  <c r="AK505" i="3"/>
  <c r="C508" i="3" s="1"/>
  <c r="AE45" i="3"/>
  <c r="AQ13" i="3"/>
  <c r="AM45" i="3" s="1"/>
  <c r="AB8" i="2"/>
  <c r="S17" i="2" s="1"/>
  <c r="AB6" i="2" s="1"/>
  <c r="AC10" i="2"/>
  <c r="AN616" i="3"/>
  <c r="S39" i="4"/>
  <c r="W75" i="4"/>
  <c r="W23" i="4"/>
  <c r="AS644" i="3"/>
  <c r="AZ644" i="3"/>
  <c r="AD341" i="3"/>
  <c r="AI441" i="3"/>
  <c r="C444" i="3" s="1"/>
  <c r="AD321" i="3"/>
  <c r="AK412" i="3"/>
  <c r="AD481" i="3"/>
  <c r="AD476" i="3"/>
  <c r="AJ470" i="3"/>
  <c r="AD468" i="3"/>
  <c r="AG463" i="3"/>
  <c r="AD461" i="3"/>
  <c r="AD360" i="3"/>
  <c r="AD384" i="3"/>
  <c r="AD379" i="3"/>
  <c r="AM374" i="3"/>
  <c r="AN371" i="3"/>
  <c r="AD369" i="3"/>
  <c r="AM365" i="3"/>
  <c r="AN362" i="3"/>
  <c r="AU432" i="3"/>
  <c r="C435" i="3" s="1"/>
  <c r="AV412" i="3"/>
  <c r="AK351" i="3"/>
  <c r="P452" i="3"/>
  <c r="AE452" i="3" s="1"/>
  <c r="J26" i="1"/>
  <c r="J35" i="1" s="1"/>
  <c r="AD354" i="3"/>
  <c r="AG515" i="3"/>
  <c r="C517" i="3" s="1"/>
  <c r="AG506" i="3"/>
  <c r="C509" i="3" s="1"/>
  <c r="AK442" i="3"/>
  <c r="C445" i="3" s="1"/>
  <c r="AL433" i="3"/>
  <c r="C436" i="3" s="1"/>
  <c r="AL422" i="3"/>
  <c r="C425" i="3" s="1"/>
  <c r="L424" i="3" s="1"/>
  <c r="AM413" i="3"/>
  <c r="C416" i="3" s="1"/>
  <c r="B180" i="8"/>
  <c r="AP71" i="8"/>
  <c r="AM71" i="8"/>
  <c r="AP70" i="8"/>
  <c r="AM70" i="8"/>
  <c r="AP69" i="8"/>
  <c r="AM69" i="8"/>
  <c r="AP68" i="8"/>
  <c r="AM68" i="8"/>
  <c r="AP67" i="8"/>
  <c r="AM67" i="8"/>
  <c r="AP66" i="8"/>
  <c r="AM66" i="8"/>
  <c r="AP65" i="8"/>
  <c r="AM65" i="8"/>
  <c r="AP64" i="8"/>
  <c r="AM64" i="8"/>
  <c r="AP63" i="8"/>
  <c r="AM63" i="8"/>
  <c r="AP62" i="8"/>
  <c r="AM62" i="8"/>
  <c r="AP61" i="8"/>
  <c r="AM61" i="8"/>
  <c r="AP60" i="8"/>
  <c r="AM60" i="8"/>
  <c r="AP59" i="8"/>
  <c r="AM59" i="8"/>
  <c r="AM58" i="8"/>
  <c r="AP58" i="8"/>
  <c r="AM57" i="8"/>
  <c r="AP57" i="8"/>
  <c r="AP56" i="8"/>
  <c r="AM56" i="8"/>
  <c r="AP55" i="8"/>
  <c r="AM55" i="8"/>
  <c r="Q132" i="7"/>
  <c r="Q120" i="7" s="1"/>
  <c r="T266" i="3" s="1"/>
  <c r="Q131" i="7"/>
  <c r="P132" i="7"/>
  <c r="P120" i="7" s="1"/>
  <c r="T252" i="3" s="1"/>
  <c r="P131" i="7"/>
  <c r="O132" i="7"/>
  <c r="O131" i="7"/>
  <c r="N132" i="7"/>
  <c r="N120" i="7" s="1"/>
  <c r="N131" i="7"/>
  <c r="M132" i="7"/>
  <c r="M120" i="7" s="1"/>
  <c r="T237" i="3" s="1"/>
  <c r="M131" i="7"/>
  <c r="R194" i="4"/>
  <c r="X199" i="4"/>
  <c r="T199" i="4"/>
  <c r="N194" i="4"/>
  <c r="Z194" i="4" s="1"/>
  <c r="AG182" i="4"/>
  <c r="N153" i="4"/>
  <c r="T158" i="4"/>
  <c r="X158" i="4"/>
  <c r="R153" i="4"/>
  <c r="AG137" i="4"/>
  <c r="O158" i="4"/>
  <c r="W46" i="4"/>
  <c r="AE46" i="4" s="1"/>
  <c r="P62" i="4"/>
  <c r="AE62" i="4" s="1"/>
  <c r="AH65" i="4" s="1"/>
  <c r="AT7" i="4"/>
  <c r="AS645" i="3"/>
  <c r="AI648" i="3"/>
  <c r="AS648" i="3" s="1"/>
  <c r="AI647" i="3"/>
  <c r="AS647" i="3" s="1"/>
  <c r="AI646" i="3"/>
  <c r="AS646" i="3" s="1"/>
  <c r="P27" i="5"/>
  <c r="D205" i="1"/>
  <c r="P26" i="5"/>
  <c r="D204" i="1"/>
  <c r="P25" i="5"/>
  <c r="D203" i="1"/>
  <c r="AO639" i="3"/>
  <c r="AS636" i="3"/>
  <c r="P23" i="5"/>
  <c r="D201" i="1"/>
  <c r="R583" i="3"/>
  <c r="AL583" i="3" s="1"/>
  <c r="V590" i="3"/>
  <c r="T575" i="3"/>
  <c r="T569" i="3"/>
  <c r="AB573" i="3"/>
  <c r="AB567" i="3"/>
  <c r="R526" i="3"/>
  <c r="AL526" i="3" s="1"/>
  <c r="V532" i="3"/>
  <c r="AK335" i="3"/>
  <c r="AK321" i="3"/>
  <c r="AC342" i="3"/>
  <c r="C345" i="3" s="1"/>
  <c r="AC328" i="3"/>
  <c r="AQ328" i="3" s="1"/>
  <c r="AC322" i="3"/>
  <c r="AQ322" i="3" s="1"/>
  <c r="AC336" i="3"/>
  <c r="AQ336" i="3" s="1"/>
  <c r="D281" i="3"/>
  <c r="BD276" i="3"/>
  <c r="X278" i="3" s="1"/>
  <c r="AW276" i="3"/>
  <c r="AR276" i="3"/>
  <c r="Y276" i="3"/>
  <c r="O280" i="3"/>
  <c r="AT275" i="3"/>
  <c r="P278" i="3" s="1"/>
  <c r="L280" i="3"/>
  <c r="AZ275" i="3"/>
  <c r="S278" i="3" s="1"/>
  <c r="AJ275" i="3"/>
  <c r="D267" i="3"/>
  <c r="Y262" i="3"/>
  <c r="AR262" i="3"/>
  <c r="AW262" i="3"/>
  <c r="BD262" i="3"/>
  <c r="AR248" i="3"/>
  <c r="BD248" i="3"/>
  <c r="AW248" i="3"/>
  <c r="Y248" i="3"/>
  <c r="D253" i="3"/>
  <c r="L252" i="3"/>
  <c r="AZ247" i="3"/>
  <c r="AT247" i="3"/>
  <c r="P250" i="3" s="1"/>
  <c r="AJ247" i="3"/>
  <c r="AW233" i="3"/>
  <c r="BD233" i="3"/>
  <c r="U235" i="3" s="1"/>
  <c r="AR233" i="3"/>
  <c r="D238" i="3"/>
  <c r="AF237" i="3"/>
  <c r="O237" i="3"/>
  <c r="AZ232" i="3"/>
  <c r="Q235" i="3" s="1"/>
  <c r="AT232" i="3"/>
  <c r="O235" i="3" s="1"/>
  <c r="AA232" i="3"/>
  <c r="Q247" i="3"/>
  <c r="I237" i="3"/>
  <c r="Q237" i="3"/>
  <c r="W237" i="3" s="1"/>
  <c r="L237" i="3"/>
  <c r="AJ232" i="3"/>
  <c r="W42" i="1"/>
  <c r="W43" i="1"/>
  <c r="AD212" i="3"/>
  <c r="Y212" i="3"/>
  <c r="AO212" i="3" s="1"/>
  <c r="AO211" i="3"/>
  <c r="X207" i="3"/>
  <c r="AN207" i="3" s="1"/>
  <c r="AC207" i="3"/>
  <c r="AN206" i="3"/>
  <c r="AU206" i="3" s="1"/>
  <c r="U42" i="1" s="1"/>
  <c r="V202" i="3"/>
  <c r="AG202" i="3" s="1"/>
  <c r="AE198" i="3"/>
  <c r="AJ198" i="3" s="1"/>
  <c r="U43" i="1" s="1"/>
  <c r="O202" i="3"/>
  <c r="AC202" i="3"/>
  <c r="AL202" i="3" s="1"/>
  <c r="V43" i="1" s="1"/>
  <c r="Q211" i="3"/>
  <c r="AK211" i="3"/>
  <c r="AV211" i="3" s="1"/>
  <c r="V42" i="1" s="1"/>
  <c r="U174" i="3"/>
  <c r="P182" i="3" s="1"/>
  <c r="AF182" i="3" s="1"/>
  <c r="Q174" i="3"/>
  <c r="AI134" i="3"/>
  <c r="W151" i="3" s="1"/>
  <c r="F142" i="3"/>
  <c r="J142" i="3" s="1"/>
  <c r="X142" i="3" s="1"/>
  <c r="D154" i="1"/>
  <c r="H15" i="5"/>
  <c r="F118" i="3"/>
  <c r="M118" i="3" s="1"/>
  <c r="N97" i="3"/>
  <c r="Z97" i="3" s="1"/>
  <c r="L86" i="3"/>
  <c r="P88" i="3" s="1"/>
  <c r="AC82" i="3"/>
  <c r="AD84" i="3" s="1"/>
  <c r="AP84" i="3" s="1"/>
  <c r="AK88" i="3"/>
  <c r="AD90" i="3" s="1"/>
  <c r="AP90" i="3" s="1"/>
  <c r="AE75" i="3"/>
  <c r="AB38" i="3"/>
  <c r="L71" i="3" s="1"/>
  <c r="O71" i="3" s="1"/>
  <c r="V71" i="3" s="1"/>
  <c r="Z71" i="3" s="1"/>
  <c r="AB39" i="3" s="1"/>
  <c r="AB37" i="3"/>
  <c r="AE67" i="3"/>
  <c r="AB41" i="3"/>
  <c r="S45" i="3"/>
  <c r="S327" i="3"/>
  <c r="AQ327" i="3" s="1"/>
  <c r="W351" i="3"/>
  <c r="S321" i="3"/>
  <c r="S335" i="3"/>
  <c r="S341" i="3"/>
  <c r="AI640" i="3"/>
  <c r="AS640" i="3" s="1"/>
  <c r="AQ19" i="3"/>
  <c r="AQ16" i="3" s="1"/>
  <c r="L117" i="7"/>
  <c r="N117" i="7"/>
  <c r="P117" i="7"/>
  <c r="D252" i="3" s="1"/>
  <c r="AA572" i="3"/>
  <c r="AP572" i="3" s="1"/>
  <c r="M117" i="7"/>
  <c r="D237" i="3" s="1"/>
  <c r="Q117" i="7"/>
  <c r="D266" i="3" s="1"/>
  <c r="U63" i="8"/>
  <c r="U64" i="8" s="1"/>
  <c r="AA566" i="3"/>
  <c r="Z178" i="3"/>
  <c r="T182" i="3" s="1"/>
  <c r="AJ182" i="3" s="1"/>
  <c r="N41" i="2"/>
  <c r="AE27" i="2" s="1"/>
  <c r="M122" i="3" l="1"/>
  <c r="S250" i="3"/>
  <c r="AP566" i="3"/>
  <c r="AR182" i="3"/>
  <c r="C184" i="3" s="1"/>
  <c r="P184" i="3" s="1"/>
  <c r="S184" i="3" s="1"/>
  <c r="AA184" i="3" s="1"/>
  <c r="O285" i="3" s="1"/>
  <c r="AE23" i="2"/>
  <c r="AE46" i="2" s="1"/>
  <c r="AE48" i="2" s="1"/>
  <c r="P52" i="2" s="1"/>
  <c r="P56" i="2" s="1"/>
  <c r="D222" i="1" s="1"/>
  <c r="L508" i="3"/>
  <c r="O511" i="3" s="1"/>
  <c r="AB511" i="3" s="1"/>
  <c r="AU511" i="3" s="1"/>
  <c r="V530" i="3" s="1"/>
  <c r="L516" i="3"/>
  <c r="O519" i="3" s="1"/>
  <c r="AB519" i="3" s="1"/>
  <c r="AU519" i="3" s="1"/>
  <c r="R530" i="3" s="1"/>
  <c r="Z266" i="3"/>
  <c r="AJ266" i="3"/>
  <c r="AO266" i="3"/>
  <c r="AJ261" i="3"/>
  <c r="AT261" i="3"/>
  <c r="P264" i="3" s="1"/>
  <c r="AZ261" i="3"/>
  <c r="S264" i="3" s="1"/>
  <c r="AU351" i="3"/>
  <c r="R354" i="3" s="1"/>
  <c r="AL354" i="3" s="1"/>
  <c r="C344" i="3"/>
  <c r="K344" i="3" s="1"/>
  <c r="D240" i="3"/>
  <c r="L444" i="3"/>
  <c r="C415" i="3"/>
  <c r="L415" i="3" s="1"/>
  <c r="L435" i="3"/>
  <c r="H31" i="5"/>
  <c r="D209" i="1"/>
  <c r="R455" i="3"/>
  <c r="AL455" i="3" s="1"/>
  <c r="X470" i="3"/>
  <c r="O427" i="3"/>
  <c r="AB427" i="3" s="1"/>
  <c r="AU427" i="3" s="1"/>
  <c r="R461" i="3" s="1"/>
  <c r="U490" i="3"/>
  <c r="AH490" i="3" s="1"/>
  <c r="AQ490" i="3" s="1"/>
  <c r="B181" i="8"/>
  <c r="Q118" i="7"/>
  <c r="Q119" i="7"/>
  <c r="AD261" i="3" s="1"/>
  <c r="Q125" i="7"/>
  <c r="M261" i="3" s="1"/>
  <c r="P118" i="7"/>
  <c r="P119" i="7"/>
  <c r="AD247" i="3" s="1"/>
  <c r="O118" i="7"/>
  <c r="O119" i="7"/>
  <c r="AD275" i="3" s="1"/>
  <c r="O125" i="7"/>
  <c r="M275" i="3" s="1"/>
  <c r="N118" i="7"/>
  <c r="N119" i="7"/>
  <c r="M118" i="7"/>
  <c r="M119" i="7"/>
  <c r="AD232" i="3" s="1"/>
  <c r="K235" i="3" s="1"/>
  <c r="O198" i="4"/>
  <c r="AG198" i="4" s="1"/>
  <c r="X203" i="4"/>
  <c r="R53" i="4"/>
  <c r="J49" i="4"/>
  <c r="AH49" i="4" s="1"/>
  <c r="P31" i="5"/>
  <c r="D216" i="1"/>
  <c r="H32" i="5"/>
  <c r="D210" i="1"/>
  <c r="H35" i="5"/>
  <c r="D213" i="1"/>
  <c r="H34" i="5"/>
  <c r="D212" i="1"/>
  <c r="H33" i="5"/>
  <c r="D211" i="1"/>
  <c r="AS639" i="3"/>
  <c r="AZ639" i="3"/>
  <c r="P24" i="5"/>
  <c r="D202" i="1"/>
  <c r="Q281" i="3"/>
  <c r="AH281" i="3"/>
  <c r="AM281" i="3"/>
  <c r="AS281" i="3"/>
  <c r="X283" i="3" s="1"/>
  <c r="AA280" i="3"/>
  <c r="Z280" i="3"/>
  <c r="AJ280" i="3"/>
  <c r="AO280" i="3"/>
  <c r="Q267" i="3"/>
  <c r="AH267" i="3"/>
  <c r="AM267" i="3"/>
  <c r="AS267" i="3"/>
  <c r="AA266" i="3"/>
  <c r="Q253" i="3"/>
  <c r="AH253" i="3"/>
  <c r="AM253" i="3"/>
  <c r="AS253" i="3"/>
  <c r="AA252" i="3"/>
  <c r="Z252" i="3"/>
  <c r="AJ252" i="3"/>
  <c r="AO252" i="3"/>
  <c r="Q238" i="3"/>
  <c r="H240" i="3" s="1"/>
  <c r="AH238" i="3"/>
  <c r="AM238" i="3"/>
  <c r="AS238" i="3"/>
  <c r="W240" i="3" s="1"/>
  <c r="AA237" i="3"/>
  <c r="D250" i="3"/>
  <c r="AA247" i="3"/>
  <c r="I252" i="3"/>
  <c r="Z237" i="3"/>
  <c r="AJ237" i="3"/>
  <c r="AO237" i="3"/>
  <c r="J156" i="3"/>
  <c r="U156" i="3" s="1"/>
  <c r="AA156" i="3"/>
  <c r="U121" i="3"/>
  <c r="AG121" i="3"/>
  <c r="S122" i="3"/>
  <c r="AH122" i="3"/>
  <c r="S123" i="3" s="1"/>
  <c r="P124" i="3" s="1"/>
  <c r="D148" i="1"/>
  <c r="H38" i="5"/>
  <c r="D144" i="1"/>
  <c r="H12" i="5"/>
  <c r="H13" i="5"/>
  <c r="D145" i="1"/>
  <c r="D206" i="1"/>
  <c r="P28" i="5"/>
  <c r="AI45" i="3"/>
  <c r="C47" i="3" s="1"/>
  <c r="I51" i="3" s="1"/>
  <c r="AQ11" i="3"/>
  <c r="O575" i="3"/>
  <c r="AB575" i="3" s="1"/>
  <c r="AU575" i="3" s="1"/>
  <c r="V588" i="3" s="1"/>
  <c r="U603" i="3"/>
  <c r="AH603" i="3" s="1"/>
  <c r="AQ603" i="3" s="1"/>
  <c r="O569" i="3"/>
  <c r="AB569" i="3" s="1"/>
  <c r="AU569" i="3" s="1"/>
  <c r="R588" i="3" s="1"/>
  <c r="Z588" i="3" s="1"/>
  <c r="Q595" i="3"/>
  <c r="Z595" i="3" s="1"/>
  <c r="AL595" i="3" s="1"/>
  <c r="U600" i="3"/>
  <c r="AH600" i="3" s="1"/>
  <c r="AQ600" i="3" s="1"/>
  <c r="Z153" i="4"/>
  <c r="AY327" i="3"/>
  <c r="AQ321" i="3"/>
  <c r="AY321" i="3" s="1"/>
  <c r="AQ335" i="3"/>
  <c r="AY335" i="3" s="1"/>
  <c r="AH232" i="3"/>
  <c r="H235" i="3"/>
  <c r="L123" i="3" l="1"/>
  <c r="K124" i="3" s="1"/>
  <c r="E125" i="3" s="1"/>
  <c r="T125" i="3" s="1"/>
  <c r="P255" i="3"/>
  <c r="N240" i="3"/>
  <c r="P283" i="3"/>
  <c r="K240" i="3"/>
  <c r="AF235" i="3"/>
  <c r="U545" i="3"/>
  <c r="AH545" i="3" s="1"/>
  <c r="AQ545" i="3" s="1"/>
  <c r="D190" i="1" s="1"/>
  <c r="O242" i="3"/>
  <c r="O271" i="3"/>
  <c r="O257" i="3"/>
  <c r="U542" i="3"/>
  <c r="AH542" i="3" s="1"/>
  <c r="AQ542" i="3" s="1"/>
  <c r="D189" i="1" s="1"/>
  <c r="Q537" i="3"/>
  <c r="Z537" i="3" s="1"/>
  <c r="AL537" i="3" s="1"/>
  <c r="P18" i="5" s="1"/>
  <c r="H43" i="5"/>
  <c r="AO611" i="3"/>
  <c r="AX611" i="3" s="1"/>
  <c r="X371" i="3"/>
  <c r="X362" i="3"/>
  <c r="Z530" i="3"/>
  <c r="R532" i="3" s="1"/>
  <c r="AF532" i="3" s="1"/>
  <c r="AO532" i="3" s="1"/>
  <c r="P269" i="3"/>
  <c r="S269" i="3"/>
  <c r="U498" i="3"/>
  <c r="AH498" i="3" s="1"/>
  <c r="AQ498" i="3" s="1"/>
  <c r="O447" i="3"/>
  <c r="AB447" i="3" s="1"/>
  <c r="AU447" i="3" s="1"/>
  <c r="R468" i="3" s="1"/>
  <c r="U487" i="3"/>
  <c r="AH487" i="3" s="1"/>
  <c r="AQ487" i="3" s="1"/>
  <c r="Q476" i="3"/>
  <c r="Z476" i="3" s="1"/>
  <c r="AL476" i="3" s="1"/>
  <c r="O418" i="3"/>
  <c r="AB418" i="3" s="1"/>
  <c r="AU418" i="3" s="1"/>
  <c r="V461" i="3" s="1"/>
  <c r="Z461" i="3" s="1"/>
  <c r="U495" i="3"/>
  <c r="AH495" i="3" s="1"/>
  <c r="AQ495" i="3" s="1"/>
  <c r="Q481" i="3"/>
  <c r="Z481" i="3" s="1"/>
  <c r="AL481" i="3" s="1"/>
  <c r="O438" i="3"/>
  <c r="AB438" i="3" s="1"/>
  <c r="AU438" i="3" s="1"/>
  <c r="V468" i="3" s="1"/>
  <c r="S283" i="3"/>
  <c r="D182" i="1"/>
  <c r="P43" i="5"/>
  <c r="B182" i="8"/>
  <c r="AG175" i="4"/>
  <c r="AG184" i="4"/>
  <c r="T204" i="4" s="1"/>
  <c r="AG203" i="4" s="1"/>
  <c r="AG186" i="4" s="1"/>
  <c r="L208" i="4" s="1"/>
  <c r="T208" i="4" s="1"/>
  <c r="I250" i="3"/>
  <c r="AH247" i="3"/>
  <c r="L250" i="3" s="1"/>
  <c r="D255" i="3"/>
  <c r="Q252" i="3"/>
  <c r="T240" i="3"/>
  <c r="Q240" i="3"/>
  <c r="G161" i="3"/>
  <c r="U161" i="3" s="1"/>
  <c r="AM156" i="3"/>
  <c r="T365" i="3"/>
  <c r="T374" i="3"/>
  <c r="T55" i="3"/>
  <c r="O53" i="3"/>
  <c r="AK53" i="3" s="1"/>
  <c r="AQ7" i="3"/>
  <c r="AQ9" i="3"/>
  <c r="D197" i="1"/>
  <c r="H28" i="5"/>
  <c r="AP588" i="3"/>
  <c r="R590" i="3"/>
  <c r="AF590" i="3" s="1"/>
  <c r="AO590" i="3" s="1"/>
  <c r="H26" i="5"/>
  <c r="D195" i="1"/>
  <c r="D196" i="1"/>
  <c r="H27" i="5"/>
  <c r="AG141" i="4"/>
  <c r="X162" i="4"/>
  <c r="O157" i="4"/>
  <c r="AG157" i="4" s="1"/>
  <c r="U396" i="3"/>
  <c r="AH396" i="3" s="1"/>
  <c r="AQ396" i="3" s="1"/>
  <c r="O330" i="3"/>
  <c r="AB330" i="3" s="1"/>
  <c r="AU330" i="3" s="1"/>
  <c r="R360" i="3" s="1"/>
  <c r="U393" i="3"/>
  <c r="AH393" i="3" s="1"/>
  <c r="AQ393" i="3" s="1"/>
  <c r="Q379" i="3"/>
  <c r="Z379" i="3" s="1"/>
  <c r="AL379" i="3" s="1"/>
  <c r="O324" i="3"/>
  <c r="AB324" i="3" s="1"/>
  <c r="AU324" i="3" s="1"/>
  <c r="V360" i="3" s="1"/>
  <c r="U404" i="3"/>
  <c r="AH404" i="3" s="1"/>
  <c r="AQ404" i="3" s="1"/>
  <c r="O347" i="3"/>
  <c r="AB347" i="3" s="1"/>
  <c r="AU347" i="3" s="1"/>
  <c r="R369" i="3" s="1"/>
  <c r="U401" i="3"/>
  <c r="AH401" i="3" s="1"/>
  <c r="AQ401" i="3" s="1"/>
  <c r="Q384" i="3"/>
  <c r="Z384" i="3" s="1"/>
  <c r="AL384" i="3" s="1"/>
  <c r="O338" i="3"/>
  <c r="AB338" i="3" s="1"/>
  <c r="AU338" i="3" s="1"/>
  <c r="V369" i="3" s="1"/>
  <c r="S255" i="3"/>
  <c r="AJ240" i="3" l="1"/>
  <c r="K242" i="3"/>
  <c r="Z242" i="3" s="1"/>
  <c r="H19" i="5" s="1"/>
  <c r="P20" i="5"/>
  <c r="AP530" i="3"/>
  <c r="P19" i="5"/>
  <c r="D188" i="1"/>
  <c r="P45" i="5"/>
  <c r="D184" i="1"/>
  <c r="P42" i="5"/>
  <c r="D181" i="1"/>
  <c r="D179" i="1"/>
  <c r="P40" i="5"/>
  <c r="P44" i="5"/>
  <c r="D183" i="1"/>
  <c r="D180" i="1"/>
  <c r="P41" i="5"/>
  <c r="Z468" i="3"/>
  <c r="S463" i="3"/>
  <c r="AC463" i="3" s="1"/>
  <c r="AO463" i="3" s="1"/>
  <c r="AP461" i="3"/>
  <c r="B183" i="8"/>
  <c r="Z369" i="3"/>
  <c r="I255" i="3"/>
  <c r="W252" i="3"/>
  <c r="L255" i="3" s="1"/>
  <c r="Q261" i="3"/>
  <c r="H17" i="5"/>
  <c r="D156" i="1"/>
  <c r="D155" i="1"/>
  <c r="H16" i="5"/>
  <c r="I57" i="3"/>
  <c r="M63" i="3"/>
  <c r="J65" i="3" s="1"/>
  <c r="J67" i="3" s="1"/>
  <c r="AH67" i="3" s="1"/>
  <c r="AB57" i="3"/>
  <c r="K73" i="3"/>
  <c r="K75" i="3" s="1"/>
  <c r="AH75" i="3" s="1"/>
  <c r="AQ21" i="3"/>
  <c r="AQ23" i="3"/>
  <c r="Q25" i="3" s="1"/>
  <c r="D194" i="1"/>
  <c r="H25" i="5"/>
  <c r="AG134" i="4"/>
  <c r="AG143" i="4"/>
  <c r="T163" i="4" s="1"/>
  <c r="AG162" i="4" s="1"/>
  <c r="AG145" i="4" s="1"/>
  <c r="L167" i="4" s="1"/>
  <c r="T167" i="4" s="1"/>
  <c r="D187" i="1"/>
  <c r="P17" i="5"/>
  <c r="D172" i="1"/>
  <c r="P13" i="5"/>
  <c r="D171" i="1"/>
  <c r="P12" i="5"/>
  <c r="P10" i="5"/>
  <c r="D169" i="1"/>
  <c r="D174" i="1"/>
  <c r="P15" i="5"/>
  <c r="D173" i="1"/>
  <c r="P14" i="5"/>
  <c r="P11" i="5"/>
  <c r="D170" i="1"/>
  <c r="AH125" i="3"/>
  <c r="X126" i="3"/>
  <c r="AH126" i="3" s="1"/>
  <c r="Z360" i="3"/>
  <c r="M211" i="4"/>
  <c r="AA12" i="4" s="1"/>
  <c r="AT12" i="4" s="1"/>
  <c r="AG185" i="4"/>
  <c r="P128" i="7"/>
  <c r="BD247" i="3" s="1"/>
  <c r="X250" i="3" s="1"/>
  <c r="AF250" i="3" s="1"/>
  <c r="D159" i="1" l="1"/>
  <c r="AP468" i="3"/>
  <c r="T470" i="3"/>
  <c r="AH470" i="3" s="1"/>
  <c r="AS470" i="3" s="1"/>
  <c r="D177" i="1"/>
  <c r="P38" i="5"/>
  <c r="S371" i="3"/>
  <c r="AJ371" i="3" s="1"/>
  <c r="AV371" i="3" s="1"/>
  <c r="AP369" i="3"/>
  <c r="AA374" i="3"/>
  <c r="AE374" i="3" s="1"/>
  <c r="AV374" i="3" s="1"/>
  <c r="B184" i="8"/>
  <c r="D264" i="3"/>
  <c r="AA261" i="3"/>
  <c r="I264" i="3" s="1"/>
  <c r="AH261" i="3"/>
  <c r="L264" i="3" s="1"/>
  <c r="I266" i="3"/>
  <c r="D140" i="1"/>
  <c r="H9" i="5"/>
  <c r="D141" i="1"/>
  <c r="H10" i="5"/>
  <c r="X25" i="3"/>
  <c r="U27" i="3"/>
  <c r="AH27" i="3" s="1"/>
  <c r="M170" i="4"/>
  <c r="AA11" i="4" s="1"/>
  <c r="AG144" i="4"/>
  <c r="D149" i="1"/>
  <c r="H39" i="5"/>
  <c r="D150" i="1"/>
  <c r="H40" i="5"/>
  <c r="AA365" i="3"/>
  <c r="AE365" i="3" s="1"/>
  <c r="AV365" i="3" s="1"/>
  <c r="S362" i="3"/>
  <c r="AJ362" i="3" s="1"/>
  <c r="AV362" i="3" s="1"/>
  <c r="AP360" i="3"/>
  <c r="P129" i="7"/>
  <c r="AS252" i="3" s="1"/>
  <c r="V255" i="3" s="1"/>
  <c r="AJ255" i="3" s="1"/>
  <c r="K257" i="3" s="1"/>
  <c r="Z257" i="3" s="1"/>
  <c r="P39" i="5" l="1"/>
  <c r="D178" i="1"/>
  <c r="D168" i="1"/>
  <c r="P9" i="5"/>
  <c r="B185" i="8"/>
  <c r="Q128" i="7"/>
  <c r="BD261" i="3" s="1"/>
  <c r="X264" i="3" s="1"/>
  <c r="AH264" i="3" s="1"/>
  <c r="D269" i="3"/>
  <c r="Q266" i="3"/>
  <c r="H7" i="5"/>
  <c r="D137" i="1"/>
  <c r="AT11" i="4"/>
  <c r="AA14" i="4"/>
  <c r="D167" i="1"/>
  <c r="P8" i="5"/>
  <c r="D160" i="1"/>
  <c r="H20" i="5"/>
  <c r="B186" i="8" l="1"/>
  <c r="I269" i="3"/>
  <c r="W266" i="3"/>
  <c r="L269" i="3" s="1"/>
  <c r="Q129" i="7" s="1"/>
  <c r="AS266" i="3" s="1"/>
  <c r="X269" i="3" s="1"/>
  <c r="AF269" i="3" s="1"/>
  <c r="K271" i="3" s="1"/>
  <c r="Z271" i="3" s="1"/>
  <c r="Q275" i="3"/>
  <c r="AT14" i="4"/>
  <c r="W81" i="4"/>
  <c r="B187" i="8" l="1"/>
  <c r="D161" i="1"/>
  <c r="H21" i="5"/>
  <c r="D278" i="3"/>
  <c r="AA275" i="3"/>
  <c r="I278" i="3" s="1"/>
  <c r="AH275" i="3"/>
  <c r="L278" i="3" s="1"/>
  <c r="I280" i="3"/>
  <c r="F7" i="4"/>
  <c r="W31" i="4"/>
  <c r="P98" i="4"/>
  <c r="AE98" i="4" s="1"/>
  <c r="AC101" i="4" s="1"/>
  <c r="AX75" i="4"/>
  <c r="W87" i="4" s="1"/>
  <c r="AE87" i="4" s="1"/>
  <c r="B188" i="8" l="1"/>
  <c r="D283" i="3"/>
  <c r="Q280" i="3"/>
  <c r="W39" i="4"/>
  <c r="AE39" i="4" s="1"/>
  <c r="P57" i="4"/>
  <c r="AE57" i="4" s="1"/>
  <c r="AB60" i="4" s="1"/>
  <c r="AI70" i="4"/>
  <c r="AI18" i="4"/>
  <c r="P32" i="5"/>
  <c r="D217" i="1"/>
  <c r="R94" i="4"/>
  <c r="J90" i="4"/>
  <c r="AH90" i="4" s="1"/>
  <c r="AH278" i="3"/>
  <c r="B189" i="8" l="1"/>
  <c r="I283" i="3"/>
  <c r="W280" i="3"/>
  <c r="L283" i="3" s="1"/>
  <c r="N94" i="4"/>
  <c r="Y94" i="4" s="1"/>
  <c r="AK94" i="4" s="1"/>
  <c r="AT94" i="4" s="1"/>
  <c r="N53" i="4"/>
  <c r="Y53" i="4" s="1"/>
  <c r="AJ53" i="4" s="1"/>
  <c r="AS53" i="4" s="1"/>
  <c r="J42" i="4"/>
  <c r="AH42" i="4" s="1"/>
  <c r="B190" i="8" l="1"/>
  <c r="AF283" i="3"/>
  <c r="K285" i="3" s="1"/>
  <c r="Z285" i="3" s="1"/>
  <c r="B191" i="8" l="1"/>
  <c r="H22" i="5"/>
  <c r="D162" i="1"/>
  <c r="B192" i="8" l="1"/>
  <c r="B193" i="8" l="1"/>
  <c r="B194" i="8" l="1"/>
  <c r="B195" i="8" l="1"/>
  <c r="B196" i="8" l="1"/>
  <c r="B197" i="8" l="1"/>
  <c r="B198" i="8" l="1"/>
  <c r="B199" i="8" l="1"/>
  <c r="B200" i="8" l="1"/>
  <c r="B201" i="8" l="1"/>
  <c r="B202" i="8" l="1"/>
  <c r="B203" i="8" l="1"/>
  <c r="B204" i="8" l="1"/>
  <c r="B205" i="8" l="1"/>
  <c r="B206" i="8" l="1"/>
  <c r="B207" i="8" l="1"/>
  <c r="B208" i="8" l="1"/>
  <c r="B209" i="8" l="1"/>
  <c r="B210" i="8" l="1"/>
  <c r="B211" i="8" l="1"/>
  <c r="B212" i="8" l="1"/>
  <c r="B213" i="8" l="1"/>
  <c r="B214" i="8" l="1"/>
  <c r="B215" i="8" l="1"/>
  <c r="B216" i="8" l="1"/>
  <c r="B217" i="8" l="1"/>
  <c r="B218" i="8" l="1"/>
  <c r="B219" i="8" l="1"/>
  <c r="B220" i="8" l="1"/>
  <c r="B221" i="8" l="1"/>
  <c r="B222" i="8" l="1"/>
  <c r="B223" i="8" l="1"/>
  <c r="B224" i="8" l="1"/>
  <c r="B225" i="8" l="1"/>
  <c r="B226" i="8" l="1"/>
  <c r="B227" i="8" l="1"/>
  <c r="B228" i="8" l="1"/>
  <c r="B229" i="8" l="1"/>
  <c r="B230" i="8" l="1"/>
  <c r="B231" i="8" l="1"/>
  <c r="B232" i="8" l="1"/>
  <c r="B233" i="8" l="1"/>
  <c r="B234" i="8" l="1"/>
  <c r="B235" i="8" l="1"/>
  <c r="B236" i="8" l="1"/>
  <c r="B237" i="8" l="1"/>
  <c r="B238" i="8" l="1"/>
  <c r="B239" i="8" l="1"/>
  <c r="B240" i="8" l="1"/>
  <c r="B241" i="8" l="1"/>
  <c r="B242" i="8" l="1"/>
  <c r="B243" i="8" l="1"/>
  <c r="B244" i="8" l="1"/>
  <c r="B245" i="8" l="1"/>
  <c r="B246" i="8" l="1"/>
  <c r="B247" i="8" l="1"/>
  <c r="B248" i="8" l="1"/>
  <c r="B249" i="8" l="1"/>
  <c r="B25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Mehmet Demir</author>
    <author>Denetim</author>
  </authors>
  <commentList>
    <comment ref="F69" authorId="0" shapeId="0" xr:uid="{1BE60145-CFB2-4713-9B33-2EEE508C93E6}">
      <text>
        <r>
          <rPr>
            <b/>
            <sz val="9"/>
            <color indexed="81"/>
            <rFont val="Tahoma"/>
            <family val="2"/>
            <charset val="162"/>
          </rPr>
          <t>Kontest:
kabin eşik 100mm geçiyorsa bilgi girişi yapınız.</t>
        </r>
      </text>
    </comment>
    <comment ref="B133" authorId="1" shapeId="0" xr:uid="{00000000-0006-0000-0000-000006000000}">
      <text>
        <r>
          <rPr>
            <sz val="10"/>
            <color rgb="FF000000"/>
            <rFont val="Calibri"/>
            <charset val="1"/>
          </rPr>
          <t>Acil frenlemede kabinin yavaşlaması (m/s2).
Girilen deger: 0,8 m/s2 - EN 81-1 kaynakli referans deger,
makine/fren verisi gelene kadar kabul olarak kullanilmistir.
Olcumden hesaplamak icin:  a = v^2 / (2 x s)
  v = beyan hizi (m/s), s = acil durdurmada durma mesafesi (m)
  ornek: v=1 m/s, s=0,60 m  -&gt;  a = 0,83 m/s2
EN 81-20 m.5.9.2.2.2 uyarinca 1 gn (9,81 m/s2) asilamaz.
Bu tesiste kayma siniri 3,35 m/s2 dir.
KESIN VERI GELINCE GUNCELLEYINIZ.</t>
        </r>
      </text>
    </comment>
  </commentList>
</comments>
</file>

<file path=xl/sharedStrings.xml><?xml version="1.0" encoding="utf-8"?>
<sst xmlns="http://schemas.openxmlformats.org/spreadsheetml/2006/main" count="3964" uniqueCount="1366">
  <si>
    <t>Kapı İç Yükseklikleri</t>
  </si>
  <si>
    <t>DOSYA BİLGİLERİ</t>
  </si>
  <si>
    <t>GÜVENLİK EKİPMANLARI GİRİŞİ</t>
  </si>
  <si>
    <t>ŞABLON KULLANIM NOTLARI  (sürüm v6)</t>
  </si>
  <si>
    <t>DOSYA NO</t>
  </si>
  <si>
    <t>1) Proje kimlik alanları (firma, adres, iletişim, yetkili, dosya no, asansör adresi, ada, parsel, seri no, imal yılı, motor marka ve seri no) BOŞALTILMIŞTIR.</t>
  </si>
  <si>
    <t>FİRMA ANTETİ</t>
  </si>
  <si>
    <t>2) Mühendislik girdileri örnek değerlerle BIRAKILMIŞTIR - boş bırakılırsa formüller hata verir. Her projede 59-133. satırların tamamını gözden geçirin.</t>
  </si>
  <si>
    <t>KİLİTLER</t>
  </si>
  <si>
    <t>3) DİKKAT - G36 hücresi 'FREN BLOKLARI / MARKASI' etiketinin yanındadır ama aslında GÜVENLİK TERTİBATI TİPİ girdisidir; k1 darbe katsayısını belirler.</t>
  </si>
  <si>
    <t xml:space="preserve"> </t>
  </si>
  <si>
    <t>TARİH</t>
  </si>
  <si>
    <t>MARKASI</t>
  </si>
  <si>
    <t>Sadece şu üçünden biri yazılabilir:  Kaymalı  /  Ani Frenlemeli Makaralı  /  Ani Frenlemeli.  Marka adı yazılırsa ray hesabı #N/A verir.</t>
  </si>
  <si>
    <t>MODELİ</t>
  </si>
  <si>
    <t>4) F127 (Kabin Kapısı Ağırlığı) ve F128 (Mekanizma Payı) kapı modeline bağlıdır, projeye değil. Kapı üreticinizin kataloğundan bir kez girip sabit tutun.</t>
  </si>
  <si>
    <t>FİRMA BİLGİLERİ</t>
  </si>
  <si>
    <t>KAT NO</t>
  </si>
  <si>
    <t>YÜK.(mm)</t>
  </si>
  <si>
    <t>5) B133 (Acil Frenleme a) GEÇİCİ bir kabuldür ve mukavemet hesabına girer. Makine/fren verisi geldiğinde MUTLAKA güncelleyin.</t>
  </si>
  <si>
    <t>6) TEKNİK sayfası U:AE sütunlarındaki marka ve sertifika listeleri BOŞTUR. Doldurulmadan sertifika alanları dolmaz.</t>
  </si>
  <si>
    <t>ASANSÖR MONTE EDEN</t>
  </si>
  <si>
    <t>1.DURAK</t>
  </si>
  <si>
    <t>KAPSAM SINIRLARI VE AÇIK KALEMLER</t>
  </si>
  <si>
    <t>ADRES</t>
  </si>
  <si>
    <t>2.DURAK</t>
  </si>
  <si>
    <t>7) Yalnızca TAHRİKLİ (halatlı) asansörler içindir. Hidrolik asansör hesabı yoktur.</t>
  </si>
  <si>
    <t>3.DURAK</t>
  </si>
  <si>
    <t>8) Karşı ağırlık rayları yalnızca 'normal çalışma' yük durumu için hesaplanır. Referans hesapta ayrıca 'karşı ağırlık zıplaması' ve 'emniyet fren</t>
  </si>
  <si>
    <t>İLETİŞİM NO</t>
  </si>
  <si>
    <t>4.DURAK</t>
  </si>
  <si>
    <t>çalışması' durumları da vardır - bu dosyada YOKTUR. Karşı ağırlıkta güvenlik tertibatı varsa bu dosya YETERSİZDİR.</t>
  </si>
  <si>
    <t>YETKİLİ/UNVAN</t>
  </si>
  <si>
    <t>5.DURAK</t>
  </si>
  <si>
    <t>9) Makine Konstrüksiyonu bölümü makine dairesi kaidesi içindir; makine dairesiz (MRL) tesisatta konsol/şase hesabı ayrıca yapılmalıdır.</t>
  </si>
  <si>
    <t>6.DURAK</t>
  </si>
  <si>
    <t>10) Ray boynu eğilmesi KAYMALI paten formülüyle hesaplanır ve paydasındaki paten uzunluğu terimi doğrulanamamıştır. Makaralı paten kullanılıyorsa</t>
  </si>
  <si>
    <t>7.DURAK</t>
  </si>
  <si>
    <t>formül farklıdır (sigmaF = 1,85 x Fx / c^2). Paten tipini teyit edin.</t>
  </si>
  <si>
    <t>8.DURAK</t>
  </si>
  <si>
    <t>11) Dosyada bulunmayan hesaplar: tampon strok/seçimi, güvenlik tertibatı seçimi, fren momenti, kabin şasesi, ray konsolu ve dübel, kabin ve imdat</t>
  </si>
  <si>
    <t>9.DURAK</t>
  </si>
  <si>
    <t>aydınlatması, kısa devre, havalandırma, halat spesifik basıncı (p &lt;= pmax).</t>
  </si>
  <si>
    <t>PROJE BİLGİLERİ</t>
  </si>
  <si>
    <t>10.DURAK</t>
  </si>
  <si>
    <t>12) TAKİP: kuyu dibi sığınma hacmi yüksekliğinde marj yalnızca 10 mm'dir. Tampon babası / strok / kuyu dibi kotu değişirse yeniden kontrol edin.</t>
  </si>
  <si>
    <t>DOSYA NUMARASI</t>
  </si>
  <si>
    <t>11.DURAK</t>
  </si>
  <si>
    <t>ASANSÖR ADRESİ</t>
  </si>
  <si>
    <t>12.DURAK</t>
  </si>
  <si>
    <t>GİRDİ SINIR KONTROLÜ  —  bu satırlar '!' gösteriyorsa hesapta #N/A çıkar</t>
  </si>
  <si>
    <t>ADA</t>
  </si>
  <si>
    <t>13.DURAK</t>
  </si>
  <si>
    <t>PARSEL</t>
  </si>
  <si>
    <t>14.DURAK</t>
  </si>
  <si>
    <t>15.DURAK</t>
  </si>
  <si>
    <t>16.DURAK</t>
  </si>
  <si>
    <t>17.DURAK</t>
  </si>
  <si>
    <t>18.DURAK</t>
  </si>
  <si>
    <t>19.DURAK</t>
  </si>
  <si>
    <t>20.DURAK</t>
  </si>
  <si>
    <t>FREN BLOKLARI</t>
  </si>
  <si>
    <t>Kaymalı</t>
  </si>
  <si>
    <t>12 x 0,75</t>
  </si>
  <si>
    <t>24 x 0,75</t>
  </si>
  <si>
    <t>Yükleme</t>
  </si>
  <si>
    <t>Fren</t>
  </si>
  <si>
    <t>Bloke</t>
  </si>
  <si>
    <t>Barit</t>
  </si>
  <si>
    <t>Kauçuk</t>
  </si>
  <si>
    <t>KABİN TAMPONU</t>
  </si>
  <si>
    <t>Sertleştirilmemiş</t>
  </si>
  <si>
    <t>Döküm</t>
  </si>
  <si>
    <t>Poliüretan</t>
  </si>
  <si>
    <t>Sertleştirilmiş</t>
  </si>
  <si>
    <t>SERTİFİKA NO</t>
  </si>
  <si>
    <t>VEREN KURUM</t>
  </si>
  <si>
    <t>SERİ NO</t>
  </si>
  <si>
    <t>ASANSÖR TEKNİK BİLGİLERİ</t>
  </si>
  <si>
    <t>ASANSÖR SERİ NO</t>
  </si>
  <si>
    <t>AĞIRLIK TAMPONU</t>
  </si>
  <si>
    <t>TİPİ</t>
  </si>
  <si>
    <t>EK ASANSÖR SERİ NO'LAR</t>
  </si>
  <si>
    <t>BEYAN YÜKÜ (Kg)</t>
  </si>
  <si>
    <t>KİŞİ SAYISI</t>
  </si>
  <si>
    <t>BEYAN HIZI (m/s)</t>
  </si>
  <si>
    <t>İMAL YILI</t>
  </si>
  <si>
    <t>SEYİR MESAFESİ (m)</t>
  </si>
  <si>
    <t xml:space="preserve">KAT ADEDİ </t>
  </si>
  <si>
    <t>DURAK ADEDİ</t>
  </si>
  <si>
    <t>KAT KAPISI</t>
  </si>
  <si>
    <t>Teleskopik Sol</t>
  </si>
  <si>
    <t>KABİN PERVAZ UZUNLUKLARI</t>
  </si>
  <si>
    <t>KABİN KAPISI</t>
  </si>
  <si>
    <t>UZUN PERVAZ</t>
  </si>
  <si>
    <t>KISA PERVAZ</t>
  </si>
  <si>
    <t>GENİŞLİK (mm)</t>
  </si>
  <si>
    <t>YÜKSEKLİK (mm)</t>
  </si>
  <si>
    <t>KABİN RAYLARI</t>
  </si>
  <si>
    <t>AĞIRLIK RAYLARI</t>
  </si>
  <si>
    <t>KABİN EBATLARI</t>
  </si>
  <si>
    <t>89 x 62 x 15,88</t>
  </si>
  <si>
    <t>50 x 50 x 5</t>
  </si>
  <si>
    <t>DERİNLİK (mm)</t>
  </si>
  <si>
    <t>KABİN AĞIRLIĞI (Kg.)</t>
  </si>
  <si>
    <t>Kabin merkezinin y-exenindeki kaçıklığı ( mm )</t>
  </si>
  <si>
    <t>KARŞI AĞIRLIK YERİ</t>
  </si>
  <si>
    <t>Sağ</t>
  </si>
  <si>
    <t>MAK. DA. GENİ.(m)</t>
  </si>
  <si>
    <t>MAK. DA. DERİNLİK(m)</t>
  </si>
  <si>
    <t>MAK.DA.YÜK</t>
  </si>
  <si>
    <t>KARŞI AĞIRLIK (Kg.)</t>
  </si>
  <si>
    <t>Kuyu Boyu(mm)</t>
  </si>
  <si>
    <t>MUKAVEMET HESAPLARI VERİ GİRİŞİ</t>
  </si>
  <si>
    <t>KATTAKİ DAİRE SAYISI</t>
  </si>
  <si>
    <t>MAKİNE MOTOR</t>
  </si>
  <si>
    <t>OTURMA ALANI OLAN KAT SAYISI</t>
  </si>
  <si>
    <t>BİNA TİPİ</t>
  </si>
  <si>
    <t>KONUT</t>
  </si>
  <si>
    <t>GÜCÜ (kW)</t>
  </si>
  <si>
    <t>ASKI HALATLARI</t>
  </si>
  <si>
    <t>C (Sap.Kasnak Yük.)</t>
  </si>
  <si>
    <t>mm</t>
  </si>
  <si>
    <t>ADET</t>
  </si>
  <si>
    <t>D (Makine Yatak Yük.)</t>
  </si>
  <si>
    <t>ÇAP (mm)</t>
  </si>
  <si>
    <t>D1 (Tahrik Kas. Çapı)</t>
  </si>
  <si>
    <t>ASKI ORANI                   1:</t>
  </si>
  <si>
    <t>D2(Saptırma Kas.Çapı)</t>
  </si>
  <si>
    <t>Şase Yüksekliği</t>
  </si>
  <si>
    <t>REGÜLATÖR HALATI</t>
  </si>
  <si>
    <t>E (Dikine Kiriş Malz.)</t>
  </si>
  <si>
    <t>NPU</t>
  </si>
  <si>
    <t>F (Yan Yatak Malz.)</t>
  </si>
  <si>
    <t>Yan Yatak Boyu</t>
  </si>
  <si>
    <t>Kasnak Kanal Şekli</t>
  </si>
  <si>
    <t>V Kanal</t>
  </si>
  <si>
    <t>FLEXIBLE KABLO</t>
  </si>
  <si>
    <t>Kanal İşleme Şekli</t>
  </si>
  <si>
    <t>1. Kablo Tipi</t>
  </si>
  <si>
    <t>Kaide Yüksekliği</t>
  </si>
  <si>
    <t>2.Kablo Tipi</t>
  </si>
  <si>
    <t>Halat Arası</t>
  </si>
  <si>
    <t>KONSOLLAR ARASI EN UZUN MESAFE (mm)</t>
  </si>
  <si>
    <t>Kuyu Genişliği (KG)</t>
  </si>
  <si>
    <t>Kabin Rayları</t>
  </si>
  <si>
    <t>Kuyu Derinliği (KD)</t>
  </si>
  <si>
    <t>Ağırlık Rayları</t>
  </si>
  <si>
    <t>Ray-Kapı Arası (RK)</t>
  </si>
  <si>
    <t>Ağırlık Ray Merkezi- Duvar Arası (AD)</t>
  </si>
  <si>
    <t>RAY SAYISI</t>
  </si>
  <si>
    <t>Kuyu Dibi Yüksekliği (KY)</t>
  </si>
  <si>
    <t>Ray Arası (RA)</t>
  </si>
  <si>
    <t>Tampon Baba Yükseklikleri</t>
  </si>
  <si>
    <t>Ağırlık Malzemesi</t>
  </si>
  <si>
    <t>Kabin Tamponu</t>
  </si>
  <si>
    <t>Ağırlık Ray Arası (mm)</t>
  </si>
  <si>
    <t>Ağırlık Tamponu</t>
  </si>
  <si>
    <t>Kabin Tamponu Ezilme Miktarı (mm)</t>
  </si>
  <si>
    <t>Regülatör Kasnak Çapı (Dreg)</t>
  </si>
  <si>
    <t>Kabin Tamponu - Kabin Çarpma Plakası Arası Mesafe (mm)</t>
  </si>
  <si>
    <t>Regülatör Kanal Açısı</t>
  </si>
  <si>
    <t>°</t>
  </si>
  <si>
    <t>Kabin Tampon Uzunluğu (mm)</t>
  </si>
  <si>
    <t>Regülatör Sürtünme Faktörü (μ)</t>
  </si>
  <si>
    <t>Ağırlık Tamponu Ezilme Miktarı (mm)</t>
  </si>
  <si>
    <t>Regülatör Gergi Ağırlığı (Gra)</t>
  </si>
  <si>
    <t>kg</t>
  </si>
  <si>
    <t>Ağırlık Tamponu - Ağırlık Çarpma Plakası Arası Mesafe (mm)</t>
  </si>
  <si>
    <t>Ağırlık Tampon Uzunluğu</t>
  </si>
  <si>
    <t>Makine-Motor Ağırlığı (Gm)</t>
  </si>
  <si>
    <t>Kabin Paten Arası (mm)</t>
  </si>
  <si>
    <t>Kabin Kapısı Ağırlığı (F_D1)</t>
  </si>
  <si>
    <t>Ağırlık Paten Arası (mm)</t>
  </si>
  <si>
    <t>Kapı Mekanizma Ağ.Mrk. Payı</t>
  </si>
  <si>
    <t>Ana Giriş Üstü Durak (D)</t>
  </si>
  <si>
    <t>↑ xp hesabına girer — kapı üreticisinden teyit ediniz</t>
  </si>
  <si>
    <t>Makine Tipi</t>
  </si>
  <si>
    <t>Ray Çeliği Rm (N/mm2)</t>
  </si>
  <si>
    <t>Son Kat Yüksekliği (mm)</t>
  </si>
  <si>
    <t>"En üst durak Yüksekliği + Kaide Yüksekliği - 200" olarak hesaplayıp soldaki kutuya girin."</t>
  </si>
  <si>
    <t>Acil Frenleme a (m/s2)</t>
  </si>
  <si>
    <t>Makine/fren verisinden giriniz (EN 81-20: en çok 1 gn).</t>
  </si>
  <si>
    <t>HESAP KONTROL LİSTESİ</t>
  </si>
  <si>
    <t xml:space="preserve">1. Asansör Motor Gücünün Hesaplanması </t>
  </si>
  <si>
    <t>N : Asansör motor gücü</t>
  </si>
  <si>
    <t>Sayfa 1</t>
  </si>
  <si>
    <t>2. Makine Konstrüksiyonunun Hesaplanması</t>
  </si>
  <si>
    <t>σe : Kaide yatay kirişlerinde eğilme momenti ve gerilmesi</t>
  </si>
  <si>
    <t>Sayfa 2</t>
  </si>
  <si>
    <t>σb : Dikine kirişlerin bükülme kontrolü</t>
  </si>
  <si>
    <t xml:space="preserve">3. Kullanılabilir Kabin Alanı </t>
  </si>
  <si>
    <t>Kullanılabilir en büyük kabin alanı</t>
  </si>
  <si>
    <t>Kullanılabilir en küçük kabin alanı</t>
  </si>
  <si>
    <t>4. Askı Halatlarının Hesaplanması</t>
  </si>
  <si>
    <t>Tahrik kasnağı &amp; askı halatı oranı (Dt/dh)</t>
  </si>
  <si>
    <t>Halat güvenlik katsayısı (Sf ≥ Smin)</t>
  </si>
  <si>
    <t>Halat gerçek emniyet katsayısı (n.Tmin/Fmax)</t>
  </si>
  <si>
    <t xml:space="preserve">5. Hız Regülatör Halatının Hesaplanması </t>
  </si>
  <si>
    <t>Regülatör kasnağı &amp; halat oranı</t>
  </si>
  <si>
    <t>Sayfa 3</t>
  </si>
  <si>
    <t>F'reg  : Durdurma tertibatının çalışmasında oluşan gergi kuvveti</t>
  </si>
  <si>
    <t>Regülatör halatı emniyet katsayısı</t>
  </si>
  <si>
    <t xml:space="preserve">6. Tahrik Yeteneğinin Hesaplanması </t>
  </si>
  <si>
    <t>Kabinin yüklenmesi (%125 yüklü kabin en alt durakta dururken)</t>
  </si>
  <si>
    <t>Sayfa 4</t>
  </si>
  <si>
    <t>Durdurma tertibatının çalışması (%100 yüklü kabin en alt durakta)</t>
  </si>
  <si>
    <t>Sayfa 5</t>
  </si>
  <si>
    <t>Durdurma tertibatının çalışması (Boş kabin en üst durakta)</t>
  </si>
  <si>
    <t>Kabinin bloke edilmesi (Ağırlık tampona oturduğunda boş kabin en üstte)</t>
  </si>
  <si>
    <t>7. Kabin Kılavuz Raylarının Hesaplanması</t>
  </si>
  <si>
    <t>Güvenlik Tertibatının Çalışması :</t>
  </si>
  <si>
    <t>σc : Birleşik gerilme - Durum 1 x-ekseni</t>
  </si>
  <si>
    <t>Sayfa 7</t>
  </si>
  <si>
    <t>σc : Birleşik gerilme - Durum 2 y-ekseni</t>
  </si>
  <si>
    <t>σF : Ray boynu eğilmesi - Durum 1 x-ekseni</t>
  </si>
  <si>
    <t>σF : Ray boynu eğilmesi - Durum 2 y-ekseni</t>
  </si>
  <si>
    <t>dx : Eğilme Miktarı - Durum 1 x-ekseni</t>
  </si>
  <si>
    <t>dy : Eğilme Miktarı - Durum 1 x-ekseni</t>
  </si>
  <si>
    <t>dx : Eğilme Miktarı - Durum 2 x-ekseni</t>
  </si>
  <si>
    <t>dy : Eğilme Miktarı - Durum 2 y-ekseni</t>
  </si>
  <si>
    <t>Normal Kullanma, Hareket :</t>
  </si>
  <si>
    <t>σ : Birleşik gerilme - Durum 1 x-exseni</t>
  </si>
  <si>
    <t>Sayfa 8</t>
  </si>
  <si>
    <t>σ : Birleşik gerilme - Durum 2 y-exseni</t>
  </si>
  <si>
    <t>Sayfa 9</t>
  </si>
  <si>
    <t>dx : Eğilme Miktarı - Durum 2 y-ekseni</t>
  </si>
  <si>
    <t>Normal Kullanma, Yükleme :</t>
  </si>
  <si>
    <t>σ : Birleşik gerilme</t>
  </si>
  <si>
    <t>σF : Ray boynu eğilmesi</t>
  </si>
  <si>
    <t>Sayfa 10</t>
  </si>
  <si>
    <t>dx : Eğilme Miktarı</t>
  </si>
  <si>
    <t>dy : Eğilme Miktarı</t>
  </si>
  <si>
    <t>8. Karşı Ağırlık Kılavuz Raylarının Hesaplanması</t>
  </si>
  <si>
    <t>Sayfa 11</t>
  </si>
  <si>
    <t>9. Güvenlik Mesafeleri</t>
  </si>
  <si>
    <t>Üst Güvenlik Boşluğu (5.7.1) :</t>
  </si>
  <si>
    <t>Üst paten - Rayın üst ucu arası</t>
  </si>
  <si>
    <t>Kabin üstü - Kuyu tavanının en alt kısmı arası</t>
  </si>
  <si>
    <t xml:space="preserve">Revizyon kutusu - Kuyu tavanının en alt kısmı arası </t>
  </si>
  <si>
    <t xml:space="preserve">Paten/Halat Bağlantısı - Kuyu tavanının en alt kısmı arası </t>
  </si>
  <si>
    <t>Kabin üstündeki güvenlik boşluğu</t>
  </si>
  <si>
    <t>Karşı ağırlık üst pateni - Rayın üst ucu arası</t>
  </si>
  <si>
    <t>Alt Güvenlik Boşluğu (5.7.3) :</t>
  </si>
  <si>
    <t>Kuyu dibindeki güvenlik boşluğu</t>
  </si>
  <si>
    <t>Kuyu tabanı - Kabinin en alt kısımları arası (Tam kapanmış tampon yüksekliği)</t>
  </si>
  <si>
    <t>Kuyu tabanı - Kabin eteği arası</t>
  </si>
  <si>
    <t>Kuyu tabanı - Kabin kapısı en alt kısmı arası</t>
  </si>
  <si>
    <t>Regülatör alt makarası - Kabin en alt kısmı (süspansiyon) arası</t>
  </si>
  <si>
    <t>10. Elektrik Hesaplamaları</t>
  </si>
  <si>
    <t>Motor gerilim düşüm hesabı</t>
  </si>
  <si>
    <t>Aydınlatma gerilim düşüm hesabı</t>
  </si>
  <si>
    <t>Kuyu aydınlatma hesabı</t>
  </si>
  <si>
    <t>Bakınız Elk. Hesapları</t>
  </si>
  <si>
    <t>Makine dairesi aydınlatma hesabı</t>
  </si>
  <si>
    <t>11. Trafik Hesabı (MMO 697)</t>
  </si>
  <si>
    <t>Gerekli asansör adedi kontrolü</t>
  </si>
  <si>
    <t>Trafik Sf 1/1</t>
  </si>
  <si>
    <t>ASANSÖR TRAFİK HESABI</t>
  </si>
  <si>
    <t>Binada bulunan insan sayısının hesabı (B) :</t>
  </si>
  <si>
    <t>B = b + (η . b )</t>
  </si>
  <si>
    <t>B</t>
  </si>
  <si>
    <t>=</t>
  </si>
  <si>
    <t>Kişi</t>
  </si>
  <si>
    <t>b = Σc</t>
  </si>
  <si>
    <t xml:space="preserve">b :Binada Bulunan Toplam İnsan Sayısı </t>
  </si>
  <si>
    <t>b</t>
  </si>
  <si>
    <t>c :Bir Bağımsız Bölümde Sürekli Bulunan İnsan Sayısı</t>
  </si>
  <si>
    <t>Katta bulunan daire sayısı</t>
  </si>
  <si>
    <t>Toplam Daire sayısı</t>
  </si>
  <si>
    <t xml:space="preserve">Yatak Odası Sayısı </t>
  </si>
  <si>
    <t>(Tablo 1)</t>
  </si>
  <si>
    <t xml:space="preserve">Diğer Oda Sayısı </t>
  </si>
  <si>
    <t xml:space="preserve">η : Yedek Artış Oranı </t>
  </si>
  <si>
    <t>η</t>
  </si>
  <si>
    <t>b&lt;200 kişi η = %30</t>
  </si>
  <si>
    <t>b&gt;200 kişi η = %25</t>
  </si>
  <si>
    <t>Asansörün bir seferi için gerekli seyir zamanı ( TR ):</t>
  </si>
  <si>
    <t>TR = 2.H.tv + (S + 1).ts + 2.P.tp</t>
  </si>
  <si>
    <t>TR</t>
  </si>
  <si>
    <t>s</t>
  </si>
  <si>
    <t>H</t>
  </si>
  <si>
    <t>Ortalama en yüksek dönüş katı</t>
  </si>
  <si>
    <t>(Tablo3)</t>
  </si>
  <si>
    <t>tv</t>
  </si>
  <si>
    <t>Katlar arası geçiş zamanı</t>
  </si>
  <si>
    <t>S</t>
  </si>
  <si>
    <t xml:space="preserve">Ortalama durak adedi </t>
  </si>
  <si>
    <t>(Tablo 5)</t>
  </si>
  <si>
    <t>ts</t>
  </si>
  <si>
    <t>Kabinin her duruştaki zaman kaybı</t>
  </si>
  <si>
    <t>P</t>
  </si>
  <si>
    <t>Kabindeki kişi adedi</t>
  </si>
  <si>
    <t>tp</t>
  </si>
  <si>
    <t xml:space="preserve">Kişi transfer zamanı </t>
  </si>
  <si>
    <t>(Tablo 8)</t>
  </si>
  <si>
    <t>Sm</t>
  </si>
  <si>
    <t>Seyir Mesafesi</t>
  </si>
  <si>
    <t>m</t>
  </si>
  <si>
    <t>D</t>
  </si>
  <si>
    <t>Ana giriş üstü durak adedi</t>
  </si>
  <si>
    <t>h</t>
  </si>
  <si>
    <t>Katlar arası mesafe</t>
  </si>
  <si>
    <t>v</t>
  </si>
  <si>
    <t>Kabin Hızı</t>
  </si>
  <si>
    <t>m/s</t>
  </si>
  <si>
    <t>h / v</t>
  </si>
  <si>
    <t>ta</t>
  </si>
  <si>
    <t>:</t>
  </si>
  <si>
    <t xml:space="preserve">Kapı açılma zamanı </t>
  </si>
  <si>
    <t>(Tablo 4)</t>
  </si>
  <si>
    <t>tk</t>
  </si>
  <si>
    <t xml:space="preserve">Kapı kapanma zamanı </t>
  </si>
  <si>
    <t>tg</t>
  </si>
  <si>
    <t xml:space="preserve">Tek katı geçme zamanı </t>
  </si>
  <si>
    <t>(Tablo 6)</t>
  </si>
  <si>
    <t>+</t>
  </si>
  <si>
    <t>-</t>
  </si>
  <si>
    <t>Gerekli asansör sayısının hesabı (L) :</t>
  </si>
  <si>
    <t>Binada 5 dakikada taşınacak insan sayısı ( R ) ;</t>
  </si>
  <si>
    <t>R</t>
  </si>
  <si>
    <t>5.60.(0,8.P) / TR</t>
  </si>
  <si>
    <t>L</t>
  </si>
  <si>
    <t>B.k / R</t>
  </si>
  <si>
    <t>Adet</t>
  </si>
  <si>
    <t>k</t>
  </si>
  <si>
    <t xml:space="preserve">Taşınacak insan yüzdesi </t>
  </si>
  <si>
    <t>(Tablo 9)</t>
  </si>
  <si>
    <t>%</t>
  </si>
  <si>
    <t>Binada gerekli asansör sayısı;</t>
  </si>
  <si>
    <t xml:space="preserve"> 'dir.</t>
  </si>
  <si>
    <t>Sf 1/1</t>
  </si>
  <si>
    <t>Binada mevcut asansör adedi;</t>
  </si>
  <si>
    <t>Mevcut asansör adedi ≥ Gerekli asansör adedi olduğundan;</t>
  </si>
  <si>
    <t>ASANSÖR MUKAVEMET HESAPLARI</t>
  </si>
  <si>
    <t>Asansör Motor Gücünün Hesaplanması (MMO 208/7- 2.4)</t>
  </si>
  <si>
    <t>Pm</t>
  </si>
  <si>
    <t>Makine miline gelen en büyük döndürme kuvveti</t>
  </si>
  <si>
    <t>F1</t>
  </si>
  <si>
    <t>Ga</t>
  </si>
  <si>
    <t>kg.</t>
  </si>
  <si>
    <t>Gs</t>
  </si>
  <si>
    <t>Sürtünme Yükü</t>
  </si>
  <si>
    <t>Gmax</t>
  </si>
  <si>
    <t>Maksimum artan yük</t>
  </si>
  <si>
    <t>Dt</t>
  </si>
  <si>
    <t>Tahrik kasnak çapı</t>
  </si>
  <si>
    <t>mm.</t>
  </si>
  <si>
    <t>Kabin ve aksesuarlarının yükü</t>
  </si>
  <si>
    <t>Q</t>
  </si>
  <si>
    <t>Gh</t>
  </si>
  <si>
    <t>Karşı ağırlık yükü</t>
  </si>
  <si>
    <t>1/2</t>
  </si>
  <si>
    <t>Beyan yükü</t>
  </si>
  <si>
    <t>Boş Kabin Ağırlığı</t>
  </si>
  <si>
    <t>Toplam halat ağırlığı</t>
  </si>
  <si>
    <t>gh</t>
  </si>
  <si>
    <t>x</t>
  </si>
  <si>
    <t>lh</t>
  </si>
  <si>
    <t>nh</t>
  </si>
  <si>
    <t>dh</t>
  </si>
  <si>
    <t>Halat çapı</t>
  </si>
  <si>
    <t>Halatın 1 m deki ağırlığı</t>
  </si>
  <si>
    <t>(TS 12385-5  /  8x19 Lif Özlü)</t>
  </si>
  <si>
    <t>Halat uzunluğu</t>
  </si>
  <si>
    <t>m.</t>
  </si>
  <si>
    <t>Halat sayısı</t>
  </si>
  <si>
    <t>adet</t>
  </si>
  <si>
    <t>M</t>
  </si>
  <si>
    <t>Moment değeri</t>
  </si>
  <si>
    <t>x (</t>
  </si>
  <si>
    <t>/ 2 )</t>
  </si>
  <si>
    <t>kg.m</t>
  </si>
  <si>
    <t xml:space="preserve">Motor verimi </t>
  </si>
  <si>
    <t>N</t>
  </si>
  <si>
    <t>Hesaplanan asansör motor gücü</t>
  </si>
  <si>
    <t xml:space="preserve">Gmax x V / (η x 102) </t>
  </si>
  <si>
    <t>kW</t>
  </si>
  <si>
    <t>Binada gerekli asansör için</t>
  </si>
  <si>
    <t>en az</t>
  </si>
  <si>
    <t>KW,</t>
  </si>
  <si>
    <t>HP gücünde makine motor kullanılacaktır.</t>
  </si>
  <si>
    <t>Kullanılan motorun gücü</t>
  </si>
  <si>
    <t>≥</t>
  </si>
  <si>
    <t>olduğundan;</t>
  </si>
  <si>
    <t>&lt;</t>
  </si>
  <si>
    <t>Makine Konstrüksiyonunun Hesaplanması (MMO 208/4- m.3.4.6)</t>
  </si>
  <si>
    <t>k1</t>
  </si>
  <si>
    <t>Darbe katsayısı (TS EN 81-20 Çizelge 14)</t>
  </si>
  <si>
    <t>Gm</t>
  </si>
  <si>
    <t>Makine motor ağırlığı</t>
  </si>
  <si>
    <t>(Üretici kataloğudan)</t>
  </si>
  <si>
    <t>Yan yatak boyu</t>
  </si>
  <si>
    <t>Yan yatak malzemesi</t>
  </si>
  <si>
    <t>L1</t>
  </si>
  <si>
    <t>Dikine kirişin boyu</t>
  </si>
  <si>
    <t>Dikine kiriş malzemesi</t>
  </si>
  <si>
    <t>A</t>
  </si>
  <si>
    <t>Dikine kirişin kesit alanı</t>
  </si>
  <si>
    <t>mm2</t>
  </si>
  <si>
    <t>Imin</t>
  </si>
  <si>
    <t>Dikine kirişin eylemsizlik momenti</t>
  </si>
  <si>
    <t>ω</t>
  </si>
  <si>
    <t>Omega değeri</t>
  </si>
  <si>
    <t>σem</t>
  </si>
  <si>
    <t>Emniyet Gerilmesi (ST 37 için)</t>
  </si>
  <si>
    <t>N/mm2</t>
  </si>
  <si>
    <t>Wx</t>
  </si>
  <si>
    <t>Yatay kirişin mukavemet momenti</t>
  </si>
  <si>
    <t>mm3</t>
  </si>
  <si>
    <t>Kaide üzerindeki en büyük kuvvet :</t>
  </si>
  <si>
    <t>F = k1 * gn * (Q + P + Gh + Ga + Gm ) =</t>
  </si>
  <si>
    <t>*</t>
  </si>
  <si>
    <t>(</t>
  </si>
  <si>
    <t>)</t>
  </si>
  <si>
    <t>F</t>
  </si>
  <si>
    <t>Yan yatak putreline gelen kuvvet :</t>
  </si>
  <si>
    <t>F / 2</t>
  </si>
  <si>
    <t>.</t>
  </si>
  <si>
    <t>X</t>
  </si>
  <si>
    <t>FB</t>
  </si>
  <si>
    <t>FA</t>
  </si>
  <si>
    <t>F1 =</t>
  </si>
  <si>
    <t>C</t>
  </si>
  <si>
    <t>L-X =</t>
  </si>
  <si>
    <t>Kaide yatay kirişlerinde eğilme momenti ve gerilmesi :</t>
  </si>
  <si>
    <t>Mmax = FA . X</t>
  </si>
  <si>
    <t>Mmax</t>
  </si>
  <si>
    <t>Nmm</t>
  </si>
  <si>
    <t>σe</t>
  </si>
  <si>
    <t>Mmax / Wx =</t>
  </si>
  <si>
    <t>N/ mm2</t>
  </si>
  <si>
    <t>ise</t>
  </si>
  <si>
    <t>Dikine kirişlerin bükülme kontrolü :</t>
  </si>
  <si>
    <t>λ</t>
  </si>
  <si>
    <t>L1 / imin  =</t>
  </si>
  <si>
    <t>/</t>
  </si>
  <si>
    <t>σb</t>
  </si>
  <si>
    <t xml:space="preserve">FB x </t>
  </si>
  <si>
    <t>Sf 1/9</t>
  </si>
  <si>
    <t>Kullanılabilir Kabin Alanı (TS EN 81-20 m.5.4.2)</t>
  </si>
  <si>
    <t>TS EN 81-20 Çizelge 6'dan;</t>
  </si>
  <si>
    <t>Kg için</t>
  </si>
  <si>
    <t>kullanılabilir en büyük kabin alanı</t>
  </si>
  <si>
    <t>m2</t>
  </si>
  <si>
    <t>dir.</t>
  </si>
  <si>
    <t>Kabin Alanı =</t>
  </si>
  <si>
    <t>Kabin genişliği  x Kabin derinliği =</t>
  </si>
  <si>
    <t>≤</t>
  </si>
  <si>
    <t>Kabindeki insan sayısı :</t>
  </si>
  <si>
    <t>kişi</t>
  </si>
  <si>
    <t>TS EN 81-20 Çizelge 8'den;</t>
  </si>
  <si>
    <t>kişi için kullanılabilir en küçük kabin alanı</t>
  </si>
  <si>
    <t>Askı Halatlarının Hesaplanması (TS EN 81-50)</t>
  </si>
  <si>
    <t>Tahrik kasnağı &amp; askı halatı oranı  (TS EN 81-20 m.5.5.2.1) :</t>
  </si>
  <si>
    <t>40  olmalıdır.</t>
  </si>
  <si>
    <t>Halat güvenlik katsayısının hesaplanması  (TS EN 81-50 m.5.12) :</t>
  </si>
  <si>
    <t>Kanal Tipi :</t>
  </si>
  <si>
    <t>g</t>
  </si>
  <si>
    <t>Kanal açısı</t>
  </si>
  <si>
    <t>Alt kesilme açısı</t>
  </si>
  <si>
    <t>Nequiv(t): Kasnaklarının eşdeğer sayısı (TS EN 81-50 Çizelge 2)</t>
  </si>
  <si>
    <t>Nps</t>
  </si>
  <si>
    <t>Tek yönde bükülmeli kasnak sayısı</t>
  </si>
  <si>
    <t>Npr</t>
  </si>
  <si>
    <t>Ters yönde bükülmeli kasnak sayısı</t>
  </si>
  <si>
    <t>Dp</t>
  </si>
  <si>
    <t>Tahrik Kasnağı Hariç Diğer Tüm Kasnakların Ortalama Çapı</t>
  </si>
  <si>
    <t>r</t>
  </si>
  <si>
    <t>Halat askı oranı</t>
  </si>
  <si>
    <t>Tmin</t>
  </si>
  <si>
    <t>Halatın en küçük kopma değeri ( TS 12385-5)</t>
  </si>
  <si>
    <t>Smin</t>
  </si>
  <si>
    <t>Min. Halat güvenlik katsayısı (EN 81-20 m.5.5.2.2)</t>
  </si>
  <si>
    <t>Kp = (Dt/Dp)4 =</t>
  </si>
  <si>
    <t>Nequiv(p)=</t>
  </si>
  <si>
    <t>Kp x ( Nps + 4. Npr )</t>
  </si>
  <si>
    <t>Nequiv = Nequiv(t) + Nequiv(p) =</t>
  </si>
  <si>
    <t xml:space="preserve">Dt  /  dh = </t>
  </si>
  <si>
    <t>Sf =10 [2,6834 - [ log [(695,85 . 10 ^ 6 . Nequiv ) / (Dt / dh) ^ 8,567] / log (77,09 . (Dt / dh ) ^ -2,894)]]</t>
  </si>
  <si>
    <t>Sf =</t>
  </si>
  <si>
    <t>[</t>
  </si>
  <si>
    <t>[Log</t>
  </si>
  <si>
    <t>[(695850000</t>
  </si>
  <si>
    <t>) /</t>
  </si>
  <si>
    <t>]</t>
  </si>
  <si>
    <t>Log (</t>
  </si>
  <si>
    <t>(-2,894)]]</t>
  </si>
  <si>
    <t>[ Log</t>
  </si>
  <si>
    <t>) / (</t>
  </si>
  <si>
    <t>Log</t>
  </si>
  <si>
    <t>)]</t>
  </si>
  <si>
    <t>( Log</t>
  </si>
  <si>
    <t xml:space="preserve">Log </t>
  </si>
  <si>
    <t>Sf</t>
  </si>
  <si>
    <t>S = n x Tmin / Fmax</t>
  </si>
  <si>
    <t>Hız Regülatör Halatının Hesaplanması :</t>
  </si>
  <si>
    <t>Dreg</t>
  </si>
  <si>
    <t>Regülatör kasnak çapı</t>
  </si>
  <si>
    <t>dreg</t>
  </si>
  <si>
    <t>Regülatör halat çapı</t>
  </si>
  <si>
    <t>μ</t>
  </si>
  <si>
    <t>Sürtünme faktörü (TS EN 81-20 m.5.6.2.2.1.3.b)</t>
  </si>
  <si>
    <t>α'</t>
  </si>
  <si>
    <t>Regülatör kasnağı sarılma açısı</t>
  </si>
  <si>
    <t>Halat ağırlığı (TS 12385-5)</t>
  </si>
  <si>
    <t>Kg</t>
  </si>
  <si>
    <t>Gra</t>
  </si>
  <si>
    <t>Regülatör alt ağırlığı ve kasnak kütlesi</t>
  </si>
  <si>
    <t>T'min</t>
  </si>
  <si>
    <t>Halatın en küçük kopma yükü (TS 12385-5)</t>
  </si>
  <si>
    <t>Regülatör kasnağı &amp; halat oranı (TS EN 81-20 m.5.6.2.2.1.3):</t>
  </si>
  <si>
    <t>30  olmalıdır.</t>
  </si>
  <si>
    <t>Regülatör halatında oluşan gergi kuvveti (TS EN 81-50 m.5.11.2.3) :</t>
  </si>
  <si>
    <t>Sürtünme değeri:</t>
  </si>
  <si>
    <t>f</t>
  </si>
  <si>
    <t>efα'</t>
  </si>
  <si>
    <t xml:space="preserve">Sin </t>
  </si>
  <si>
    <t>(g/2 )</t>
  </si>
  <si>
    <t>Güvenlik tertibatını çalıştırmak için gerekli kuvvet :</t>
  </si>
  <si>
    <t>Freg</t>
  </si>
  <si>
    <t>F1 = F2</t>
  </si>
  <si>
    <t>gn</t>
  </si>
  <si>
    <t>(gh</t>
  </si>
  <si>
    <t>Gra)</t>
  </si>
  <si>
    <t>Durdurma tertibatının çalışmasında oluşan gergi kuvveti (TS EN 81-20 m.5.6.2.2.1.d):</t>
  </si>
  <si>
    <t>F'reg  = Freg * efα'   =</t>
  </si>
  <si>
    <t>F'reg</t>
  </si>
  <si>
    <t>Sf 2/9</t>
  </si>
  <si>
    <t>Regülatör halatı emniyet katsayısı  (TS EN 81-20 m.5.6.2.2.1.3.b) :</t>
  </si>
  <si>
    <t>Tahrik Yeteneğinin Hesaplanması (TS EN 81-50 m.5.11.2)</t>
  </si>
  <si>
    <t>Ra :</t>
  </si>
  <si>
    <t>Halat Arası (Ray merkezleri arası mesafe)</t>
  </si>
  <si>
    <t>C  :</t>
  </si>
  <si>
    <t>Saptırma kasnağı milinin yerden yüksekliği</t>
  </si>
  <si>
    <t xml:space="preserve">D  : </t>
  </si>
  <si>
    <t>Tahrik kasnak mili yatak yüksekliği</t>
  </si>
  <si>
    <t>R1 :</t>
  </si>
  <si>
    <t>Tahrik kasnağı yarıçapı</t>
  </si>
  <si>
    <t>H  :</t>
  </si>
  <si>
    <t>Makine şasesi yüksekliği</t>
  </si>
  <si>
    <t>Halat Sarılma Açısı (α) :</t>
  </si>
  <si>
    <t>Kasnak merkezleri arası yatay mesafe (A) ;</t>
  </si>
  <si>
    <t>A = Ra - 2 x R1   =</t>
  </si>
  <si>
    <t>Kasnak merkezleri arası düşey mesafe (B) ;</t>
  </si>
  <si>
    <t>H - C + D</t>
  </si>
  <si>
    <t>Sarılma Açısı (α) :</t>
  </si>
  <si>
    <t xml:space="preserve">tan </t>
  </si>
  <si>
    <t>θ</t>
  </si>
  <si>
    <t>A  /  B</t>
  </si>
  <si>
    <t>Arctan</t>
  </si>
  <si>
    <t>radyan</t>
  </si>
  <si>
    <t>α</t>
  </si>
  <si>
    <t>Sürtünme katsayısı  μ için kabuller (TS EN 81-50 Şekil 8) :</t>
  </si>
  <si>
    <t>Yükleme için</t>
  </si>
  <si>
    <t>Durdurma tertibatı çalışması için</t>
  </si>
  <si>
    <t>0,1 / ( 1 + v / 10 ) =</t>
  </si>
  <si>
    <t xml:space="preserve">/ </t>
  </si>
  <si>
    <t>Kabinin bloke edildiği durumlar için</t>
  </si>
  <si>
    <t>Sürtünme faktörü ( f )  (TS EN 81-50 m.5.11.2.3) :</t>
  </si>
  <si>
    <t>Kabinin yüklenmesi (Sertleştirilmiş kanallar için);</t>
  </si>
  <si>
    <t xml:space="preserve">f = </t>
  </si>
  <si>
    <t>Sin</t>
  </si>
  <si>
    <t>γ</t>
  </si>
  <si>
    <t>Durdurma tertibatının çalışması (Sertleştirilmiş kanallar için);</t>
  </si>
  <si>
    <t>Kabinin yüklenmesi (Sertleştirilmemiş kanallar için);</t>
  </si>
  <si>
    <t>4 x (1 - Sin β / 2)</t>
  </si>
  <si>
    <t>π - β - Sin β</t>
  </si>
  <si>
    <t>Durdurma tertibatının çalışması (Sertleştirilmemiş kanallar için);</t>
  </si>
  <si>
    <t>Kabinin bloke edilmesi;</t>
  </si>
  <si>
    <t>f =</t>
  </si>
  <si>
    <t>Tahrik yeteneğinin kontrolü (TS EN 81-50 m.5.11.3) :</t>
  </si>
  <si>
    <t>T1</t>
  </si>
  <si>
    <t>(P+Q+MCRcar+MTrav).(gn±a)</t>
  </si>
  <si>
    <t>MComp</t>
  </si>
  <si>
    <t>.gn +</t>
  </si>
  <si>
    <t>MSRcar.(gn ± a.</t>
  </si>
  <si>
    <t>r2+2</t>
  </si>
  <si>
    <t>)  ±  (</t>
  </si>
  <si>
    <t>iPTD . mPTD</t>
  </si>
  <si>
    <t>. a)</t>
  </si>
  <si>
    <t>±</t>
  </si>
  <si>
    <t>(mDP . a)I</t>
  </si>
  <si>
    <t>2.r</t>
  </si>
  <si>
    <t>2 . r</t>
  </si>
  <si>
    <t>(mPcar.iPcar.a)</t>
  </si>
  <si>
    <t>]III ±</t>
  </si>
  <si>
    <t>FRcar</t>
  </si>
  <si>
    <t>T2</t>
  </si>
  <si>
    <t>(Mcwt+MCRcwt).(gn±a)</t>
  </si>
  <si>
    <t>MCorp . gn</t>
  </si>
  <si>
    <t>MSRcwt.(gn± a.</t>
  </si>
  <si>
    <t>) ± (</t>
  </si>
  <si>
    <t>(mDP . a)II</t>
  </si>
  <si>
    <t xml:space="preserve">±             </t>
  </si>
  <si>
    <t>FRcwt</t>
  </si>
  <si>
    <t>Kabinin yüklenmesi (%125 yüklü kabin en alt durakta dururken);</t>
  </si>
  <si>
    <t>. (</t>
  </si>
  <si>
    <t xml:space="preserve">± </t>
  </si>
  <si>
    <t>.(</t>
  </si>
  <si>
    <t>) ±</t>
  </si>
  <si>
    <t>e fα</t>
  </si>
  <si>
    <t>Sf 3/9</t>
  </si>
  <si>
    <t>Acil Frenleme (%100 yüklü kabin en alt durakta);</t>
  </si>
  <si>
    <t>Acil Frenleme (Boş kabin en üst durakta) ;</t>
  </si>
  <si>
    <t>).</t>
  </si>
  <si>
    <t>Karşı ağırlığın asılı kalması (Boş kabin en üstte);</t>
  </si>
  <si>
    <t>Kabin Kılavuz Raylarının Hesaplanması (TS EN 81-50 m.5.10)</t>
  </si>
  <si>
    <t>Patenler arası düşey mesafe</t>
  </si>
  <si>
    <t>l</t>
  </si>
  <si>
    <t>Ray Konsolları arasındaki en uzun mesafe</t>
  </si>
  <si>
    <t>Mg:</t>
  </si>
  <si>
    <t>Klavuz rayların bir hattının kütlesi</t>
  </si>
  <si>
    <t>MY:</t>
  </si>
  <si>
    <t>Raylara bağlı yardımcı donanım kütlesi</t>
  </si>
  <si>
    <t>xc :</t>
  </si>
  <si>
    <t xml:space="preserve">Kabin merkezinin, Kılavuz ray sisteminin ilgili eksenlerine olan mesafeleri </t>
  </si>
  <si>
    <t>yc :</t>
  </si>
  <si>
    <t>xp :</t>
  </si>
  <si>
    <t xml:space="preserve">Boş kabinin ağırlık merkezinin, kılavuz ray sisteminin ilgili eksenlere olan mesafeleri   </t>
  </si>
  <si>
    <t>yp :</t>
  </si>
  <si>
    <t>xs :</t>
  </si>
  <si>
    <t>Askı noktasının, kılavuz ray sisteminin ilgili eksenlerine olan mesafeleri</t>
  </si>
  <si>
    <t>ys :</t>
  </si>
  <si>
    <t>xi :</t>
  </si>
  <si>
    <t>İlgili kabin kapısının,   kılavuz ray sisteminin ilgili eksenlerine olan olan mesafeleri</t>
  </si>
  <si>
    <t>yi :</t>
  </si>
  <si>
    <t>i</t>
  </si>
  <si>
    <t>Kapı Pozisyonu</t>
  </si>
  <si>
    <t>E</t>
  </si>
  <si>
    <t>Elastisite Modülü</t>
  </si>
  <si>
    <t>Fs :</t>
  </si>
  <si>
    <t>Eşik kuvveti (TS EN 81-20 Çizelge 13)</t>
  </si>
  <si>
    <t>sperm :</t>
  </si>
  <si>
    <t>Güv.tertibatı çalışmasında izin verilen gerilme ( TS EN 81-20 m.5.7.3.1)</t>
  </si>
  <si>
    <t>Normal kullanmada izin verilen gerilme (TS EN 81-20 m.5.7.3.1)</t>
  </si>
  <si>
    <t>dperm :</t>
  </si>
  <si>
    <t>İzin verilen en büyük eğilme miktarı (TS EN 81-20 m.5.7.4.6)</t>
  </si>
  <si>
    <t>Beyan yükü ağırlık merkezinin kılavuz ray sisteminin ilgili eksenlerine olan mesafeleri;</t>
  </si>
  <si>
    <t>Durum 1 x-ekseni  için :</t>
  </si>
  <si>
    <t>xQ</t>
  </si>
  <si>
    <t xml:space="preserve"> =</t>
  </si>
  <si>
    <t>xc</t>
  </si>
  <si>
    <t xml:space="preserve"> +</t>
  </si>
  <si>
    <t>Dx</t>
  </si>
  <si>
    <t>ve</t>
  </si>
  <si>
    <t>yQ</t>
  </si>
  <si>
    <t>yc</t>
  </si>
  <si>
    <t>Durum 2 y-ekseni için :</t>
  </si>
  <si>
    <t>Dy</t>
  </si>
  <si>
    <t>Sf 4/9</t>
  </si>
  <si>
    <t>Güvenlik Tertibatının Çalışması (TS EN 81-50 m.C.2.1 ) :</t>
  </si>
  <si>
    <t>Eğilme Gerilmesi :</t>
  </si>
  <si>
    <t>Durum 1 x-ekseni;</t>
  </si>
  <si>
    <t>Fx =</t>
  </si>
  <si>
    <t>k1 x gn x (Q x xQ + P x xp)</t>
  </si>
  <si>
    <t>n x h</t>
  </si>
  <si>
    <t>My</t>
  </si>
  <si>
    <t>3 x Fx x l</t>
  </si>
  <si>
    <t>sy</t>
  </si>
  <si>
    <t>Wy</t>
  </si>
  <si>
    <t>Fy =</t>
  </si>
  <si>
    <t>k1 x gn x (Q x yQ + P x yp)</t>
  </si>
  <si>
    <t>n / 2 x h</t>
  </si>
  <si>
    <t>Mx</t>
  </si>
  <si>
    <t>3 x Fy x l</t>
  </si>
  <si>
    <t>sx</t>
  </si>
  <si>
    <t>Durum 2 y-ekseni;</t>
  </si>
  <si>
    <t>Burkulma :</t>
  </si>
  <si>
    <t>Fv</t>
  </si>
  <si>
    <t>k1 x gn x (P + Q)</t>
  </si>
  <si>
    <t>Mg . gn + FP</t>
  </si>
  <si>
    <t>n</t>
  </si>
  <si>
    <t>σk</t>
  </si>
  <si>
    <t>(Fv + k3 x MY) x ω</t>
  </si>
  <si>
    <t>Birleşik Gerilme :</t>
  </si>
  <si>
    <t>σ</t>
  </si>
  <si>
    <t>σx</t>
  </si>
  <si>
    <t>σy</t>
  </si>
  <si>
    <t>σperm</t>
  </si>
  <si>
    <t>σ =</t>
  </si>
  <si>
    <t>σm</t>
  </si>
  <si>
    <t>(Fv + k3 x MY)</t>
  </si>
  <si>
    <t>0,9 x</t>
  </si>
  <si>
    <t>Flanş Eğilmesi :</t>
  </si>
  <si>
    <t>σF =</t>
  </si>
  <si>
    <t>Fxx(h1-b-f)x6</t>
  </si>
  <si>
    <t>c2x(1+2x(h1-f))</t>
  </si>
  <si>
    <t>Sf 5/9</t>
  </si>
  <si>
    <t>Sehim Miktarları :</t>
  </si>
  <si>
    <t>dx</t>
  </si>
  <si>
    <t>0,7 x</t>
  </si>
  <si>
    <t>Fx x l3</t>
  </si>
  <si>
    <t>dperm</t>
  </si>
  <si>
    <t>48 x E x Iy</t>
  </si>
  <si>
    <t>dy</t>
  </si>
  <si>
    <t>Fy x l3</t>
  </si>
  <si>
    <t>48 x E x Ix</t>
  </si>
  <si>
    <t>Durum 2 x-ekseni;</t>
  </si>
  <si>
    <t>Normal Çalışma, İşletme (TS EN 81-50 m.C.2.2 ) :</t>
  </si>
  <si>
    <t>k2 x gn x [Q x (xQ - xs) + P x (xp - xs)]</t>
  </si>
  <si>
    <t>k2 x gn x [Q x (yQ - ys) + P x (yp - ys)]</t>
  </si>
  <si>
    <t>x[</t>
  </si>
  <si>
    <t>(n/2) x h</t>
  </si>
  <si>
    <t xml:space="preserve">Burkulma : </t>
  </si>
  <si>
    <t>σv</t>
  </si>
  <si>
    <t>Sf 6/9</t>
  </si>
  <si>
    <t>Fv + k3 x MY</t>
  </si>
  <si>
    <t>Normal Çalışma, Yükleme (TS EN 81-50 m.C.2.3 ) :</t>
  </si>
  <si>
    <t>gn x P x (xp - xs) + Fs x (xi - xs)</t>
  </si>
  <si>
    <t>gn x P x (yp - ys) + Fs x (yi - ys)</t>
  </si>
  <si>
    <t>Fy=</t>
  </si>
  <si>
    <t>Fv + k3 x M</t>
  </si>
  <si>
    <t>Sf 7/9</t>
  </si>
  <si>
    <t>Karşı Ağırlık Kılavuz Raylarının Hesaplanması (TS EN 81-50 m.5.10)</t>
  </si>
  <si>
    <t>Dxa:</t>
  </si>
  <si>
    <t>Karşı ağırlık derinliği</t>
  </si>
  <si>
    <t>Dya:</t>
  </si>
  <si>
    <t>Karşı ağırlık genişliği</t>
  </si>
  <si>
    <t>ha:</t>
  </si>
  <si>
    <t>la:</t>
  </si>
  <si>
    <t>Karşı ağırlık raylarının bir hattının kütlesi</t>
  </si>
  <si>
    <t>Ma:</t>
  </si>
  <si>
    <t>xsa:</t>
  </si>
  <si>
    <t>ysa:</t>
  </si>
  <si>
    <t>Normal çalışma, işletme (TS EN 81-50 m.C.2.2) :</t>
  </si>
  <si>
    <t>Merkezden Kaçıklık :</t>
  </si>
  <si>
    <t>xG</t>
  </si>
  <si>
    <t>Dxa . 0,10</t>
  </si>
  <si>
    <t>yG</t>
  </si>
  <si>
    <t>Dya . 0,05</t>
  </si>
  <si>
    <t>Eğilme gerilmesi :</t>
  </si>
  <si>
    <t>k2 x gn x (P + Q/2) x (xG - xsa)</t>
  </si>
  <si>
    <t>n x ha</t>
  </si>
  <si>
    <t>3 x Fx x la</t>
  </si>
  <si>
    <t>k2 x gn x (P + Q/2) x (yG - ysa)</t>
  </si>
  <si>
    <t>3 x Fy x la</t>
  </si>
  <si>
    <t>(Fv + k3 x Ma)</t>
  </si>
  <si>
    <t>Fv + k3 x Ma</t>
  </si>
  <si>
    <t>Fx x la3</t>
  </si>
  <si>
    <t>Fy x la3</t>
  </si>
  <si>
    <t>Sf 8/9</t>
  </si>
  <si>
    <t>Kuyu Tabanına Gelen Yüklerin Hesaplanması (TS EN 81-20 m.5.2.1.8)</t>
  </si>
  <si>
    <t>Kuyu Alt Boşluğu Tabanının Dayanımı:</t>
  </si>
  <si>
    <t>Kabin raylarına gelen kuvvetler ;</t>
  </si>
  <si>
    <t>FKR</t>
  </si>
  <si>
    <t>F2</t>
  </si>
  <si>
    <t>gn x Gr x LR</t>
  </si>
  <si>
    <t>Fk</t>
  </si>
  <si>
    <t>Ağırlık raylarına gelen kuvvetler ;</t>
  </si>
  <si>
    <t>FAR</t>
  </si>
  <si>
    <t>F4</t>
  </si>
  <si>
    <t>gn x Gar x Lar</t>
  </si>
  <si>
    <t>Ma</t>
  </si>
  <si>
    <t>Kabin tamponlarına gelen kuvvetler ;</t>
  </si>
  <si>
    <t>Fkt</t>
  </si>
  <si>
    <t>F3 =</t>
  </si>
  <si>
    <t>4 x gn x (P + Q)</t>
  </si>
  <si>
    <t>Ağırlık tamponlarına gelen kuvvetler ;</t>
  </si>
  <si>
    <t>Fat</t>
  </si>
  <si>
    <t>F5</t>
  </si>
  <si>
    <t>4 x gn x (P + q x Q)</t>
  </si>
  <si>
    <t>Sığınma Alanları ve Açıklıkların Uygunluğu (TS EN 81-20 m.5.2.5.7 - m.5.2.5.8):</t>
  </si>
  <si>
    <t>Kabin tavanı üzerindeki sığınma alanları ve açıklıklar(m.5.2.5.7) :</t>
  </si>
  <si>
    <t>Karşı ağırlık tam kapanmış tampon üzerinde otururken :</t>
  </si>
  <si>
    <t>HESAPLANAN</t>
  </si>
  <si>
    <t>b- Üst paten - Rayın üst ucu arası min. ;</t>
  </si>
  <si>
    <t>c.2- Kabin üstü - Kuyu tavanının en alt kısmı arası min. ;</t>
  </si>
  <si>
    <t>a- Revizyon kutusu - Kuyu tavanının en alt kısmı arası min. ;</t>
  </si>
  <si>
    <t>b- Paten/Halat Bağlantısı - Kuyu tavanının en alt kısmı arası min. ;</t>
  </si>
  <si>
    <t xml:space="preserve">Ç.3.- Kabin üstünde </t>
  </si>
  <si>
    <t>m ebatlarında güvenlik boşluğu (EN 81-20 Çizelge 3 - çömelmiş duruş)</t>
  </si>
  <si>
    <t>Ç.2- Kabin tam kapanmış tampon üzerinde otururken;                                                    Karşı ağırlık üst pateni - Rayın üst ucu arası min. ;</t>
  </si>
  <si>
    <t>Kuyu boşluğundaki sığınma alanları ve açıklıklar (m.5.2.5.8) :</t>
  </si>
  <si>
    <t>Kabin tam kapanmış tampon üzerinde otururken;</t>
  </si>
  <si>
    <t xml:space="preserve">Ç.4- Kuyu dibinde </t>
  </si>
  <si>
    <t>a- Kuyu tabanı - Kabinin en alt kısımları arası (Tam kapanmış tampon yüksekliği) min. ;</t>
  </si>
  <si>
    <t>a.1- Kuyu tabanı - Kabin eteği arası min. ;</t>
  </si>
  <si>
    <t>a.2- Kılavuz Raylar - Kabinin en alt kısmı arası min. ;</t>
  </si>
  <si>
    <t>b- Regülatör alt makarası - Kabin en alt kısmı (süspansiyon) arası min. ;</t>
  </si>
  <si>
    <t>Sf 9/9</t>
  </si>
  <si>
    <t>ASANSÖR ELEKTRİK HESAPLARI</t>
  </si>
  <si>
    <t>ASANSÖR YÜKLEME CETVELİ</t>
  </si>
  <si>
    <t>TABLO ADI</t>
  </si>
  <si>
    <t>TABLO GÜCÜ (W)</t>
  </si>
  <si>
    <t>SİGORTA</t>
  </si>
  <si>
    <t>K.A.K.R</t>
  </si>
  <si>
    <t>LİNYE NO</t>
  </si>
  <si>
    <t>SORTİ SAYISI</t>
  </si>
  <si>
    <t>KABLO KESİTİ (mm2)</t>
  </si>
  <si>
    <t>GÜÇ      (W)</t>
  </si>
  <si>
    <t>AÇIKLAMA</t>
  </si>
  <si>
    <t>TİP</t>
  </si>
  <si>
    <t>AYDINLATMA</t>
  </si>
  <si>
    <t>MOTOR</t>
  </si>
  <si>
    <t>PRİZ</t>
  </si>
  <si>
    <t>TAS</t>
  </si>
  <si>
    <t>3X25 A</t>
  </si>
  <si>
    <t>25A, 30mA</t>
  </si>
  <si>
    <t>4 x 4</t>
  </si>
  <si>
    <t>ASANSÖR MOTORU</t>
  </si>
  <si>
    <t>3 x 2,5</t>
  </si>
  <si>
    <t>MAKİNA DAİRESİ PRİZ</t>
  </si>
  <si>
    <t>KUYU DİBİ PRİZ</t>
  </si>
  <si>
    <t>KABİN ÜSTÜ PRİZ</t>
  </si>
  <si>
    <t>2 x 1,5</t>
  </si>
  <si>
    <t>KUYU AYDINLATMA</t>
  </si>
  <si>
    <t>MAKİNA DAİRESİ AYDINLATMA</t>
  </si>
  <si>
    <t>KABİN AYDINLATMA</t>
  </si>
  <si>
    <t>TABLO CÜGÜ</t>
  </si>
  <si>
    <t>1. Asansör Motoru Gerilim Düşümü Hesabı</t>
  </si>
  <si>
    <t>AT</t>
  </si>
  <si>
    <t>NYM</t>
  </si>
  <si>
    <t>NYY</t>
  </si>
  <si>
    <t>ŞEBEKE</t>
  </si>
  <si>
    <t xml:space="preserve">L1 </t>
  </si>
  <si>
    <t>L2</t>
  </si>
  <si>
    <t>AT ile TAS Arası Hat Uzunluğu</t>
  </si>
  <si>
    <t>TAS ile Pm Arası Hat Uzunluğu</t>
  </si>
  <si>
    <t>U</t>
  </si>
  <si>
    <t>Şebeke Gerilimi</t>
  </si>
  <si>
    <t>V</t>
  </si>
  <si>
    <t>e</t>
  </si>
  <si>
    <t>Yüzde Gerilim Düşümü</t>
  </si>
  <si>
    <t>Asansör Motor Gücü</t>
  </si>
  <si>
    <t>PTAS</t>
  </si>
  <si>
    <t>Kolon Hattı için Gerekli olan Güç</t>
  </si>
  <si>
    <t>K</t>
  </si>
  <si>
    <t>Özgül İletkenlik Katsayısı (Cu)</t>
  </si>
  <si>
    <t>Ω.mm²</t>
  </si>
  <si>
    <t>S1</t>
  </si>
  <si>
    <t>AT-TAS Arası Kullanılan Kablo Kesiti</t>
  </si>
  <si>
    <t>mm²</t>
  </si>
  <si>
    <t>S2</t>
  </si>
  <si>
    <t>TAS - Motor Arası Kullanılan Kablo Kesiti</t>
  </si>
  <si>
    <t>ηm</t>
  </si>
  <si>
    <t>Motor verimi (şebekeden çekilen güç için)</t>
  </si>
  <si>
    <t>Pşeb</t>
  </si>
  <si>
    <t>Motorun şebekeden çektiği güç</t>
  </si>
  <si>
    <t>AT-TAS Arası % Gerilim Düşümü:</t>
  </si>
  <si>
    <t>e1</t>
  </si>
  <si>
    <t>100 x L1 x P</t>
  </si>
  <si>
    <t>K x U2 x S1</t>
  </si>
  <si>
    <t>;</t>
  </si>
  <si>
    <t>olduğundan; seçilen kablo kesiti</t>
  </si>
  <si>
    <t>TAS - Asansör Motoru Arası % Gerilim Düşümü:</t>
  </si>
  <si>
    <t>e2</t>
  </si>
  <si>
    <t>100 x L2 x Pm</t>
  </si>
  <si>
    <t>K x U2 x S2</t>
  </si>
  <si>
    <t>Toplam Gerilim Düşümü:</t>
  </si>
  <si>
    <t>eT</t>
  </si>
  <si>
    <t>Akım Kontrolü:</t>
  </si>
  <si>
    <t>I</t>
  </si>
  <si>
    <t>√3 x U x Cosq</t>
  </si>
  <si>
    <t>AT-TAS arası seçilen 4x6 mm2 NYM kablo</t>
  </si>
  <si>
    <t>taşıdığından;</t>
  </si>
  <si>
    <t>Im</t>
  </si>
  <si>
    <t xml:space="preserve">TAS- Asansör Motoru arası seçilen 4x4 mm2 NYY kablo </t>
  </si>
  <si>
    <t>2. Aydınlatma Gerilim Düşümü Hesabı</t>
  </si>
  <si>
    <t>L3</t>
  </si>
  <si>
    <t>▼</t>
  </si>
  <si>
    <t>Pa=</t>
  </si>
  <si>
    <t>TAS ile Pa Arası Hat Uzunluğu</t>
  </si>
  <si>
    <t>Pa</t>
  </si>
  <si>
    <t>Toplam güç</t>
  </si>
  <si>
    <t>S3</t>
  </si>
  <si>
    <t>TAS - Pa Arası Kullanılan Kablo Kesiti</t>
  </si>
  <si>
    <t>TAS - Pa Arası % Gerilim Düşümü:</t>
  </si>
  <si>
    <t>e3</t>
  </si>
  <si>
    <t>200 x L3 x P</t>
  </si>
  <si>
    <t>K x U2 x S3</t>
  </si>
  <si>
    <t>Ia</t>
  </si>
  <si>
    <t>U x Cosq</t>
  </si>
  <si>
    <t>TAS- Pa arası seçilen 2x1,5 mm2 NYY kablo</t>
  </si>
  <si>
    <t>Tablo 1: Oda verimi tablosu</t>
  </si>
  <si>
    <t>Tavan</t>
  </si>
  <si>
    <t>Duvar</t>
  </si>
  <si>
    <t>Zemin</t>
  </si>
  <si>
    <t>Oda Endeksi</t>
  </si>
  <si>
    <t>ODA VERİM (η)</t>
  </si>
  <si>
    <t>Tablo 2: Yansıtma Faktörleri</t>
  </si>
  <si>
    <t>Ty</t>
  </si>
  <si>
    <t>Zy</t>
  </si>
  <si>
    <t>Tavanın yansıtma katsayısı</t>
  </si>
  <si>
    <t>Duvarın yansıtma katsayısı</t>
  </si>
  <si>
    <t>Zeminin yansıtma katsayısı</t>
  </si>
  <si>
    <t>Açık Gri</t>
  </si>
  <si>
    <t>Orta Gri</t>
  </si>
  <si>
    <t>Koyu Gri</t>
  </si>
  <si>
    <t>Beyaz</t>
  </si>
  <si>
    <t>3. Kuyu Aydınlatma Hesabı</t>
  </si>
  <si>
    <t xml:space="preserve">Oda endeksi </t>
  </si>
  <si>
    <t>ak</t>
  </si>
  <si>
    <t>Kuyu Genişliği</t>
  </si>
  <si>
    <t>bk</t>
  </si>
  <si>
    <t>Kuyu Derinliği</t>
  </si>
  <si>
    <t>hk</t>
  </si>
  <si>
    <t>Işık kaynağının çalışma düzlemine olan yüksekliği</t>
  </si>
  <si>
    <t>Kuyu yüksekliği</t>
  </si>
  <si>
    <t>H1</t>
  </si>
  <si>
    <t>Çalışma düzlemi yüksekliği</t>
  </si>
  <si>
    <t>Gerekli ortalama aydınlık düzeyi değeri</t>
  </si>
  <si>
    <t>Lux</t>
  </si>
  <si>
    <t>Ak</t>
  </si>
  <si>
    <t>Aydınlatılacak bölgenin alanı</t>
  </si>
  <si>
    <t>d</t>
  </si>
  <si>
    <t>Tesisin kirlenme faktörü</t>
  </si>
  <si>
    <t>Tesisin ışığı yansıtma verimi</t>
  </si>
  <si>
    <t>Minimum Lamba Sayısı</t>
  </si>
  <si>
    <t>ΦT</t>
  </si>
  <si>
    <t>Gerekli toplam ışık akısı</t>
  </si>
  <si>
    <t>lm.</t>
  </si>
  <si>
    <t>ΦL</t>
  </si>
  <si>
    <t>Bir ampulün verdiği ışık akısı</t>
  </si>
  <si>
    <t>Tavanın yansıtma katsayısı (Orta gri)(Tablo 2)</t>
  </si>
  <si>
    <t>Duvarın yansıtma katsayısı (Orta gri)(Tablo 2)</t>
  </si>
  <si>
    <t>Zeminin yansıtma katsayısı (Orta gri)(Tablo 2)</t>
  </si>
  <si>
    <t>Asansör Kuyusu Kesit Alanı:</t>
  </si>
  <si>
    <t>Kapalı Alan İndeksi:</t>
  </si>
  <si>
    <t>hk x (H + bk)</t>
  </si>
  <si>
    <t>Gerekli toplam Işık Akısı:</t>
  </si>
  <si>
    <t>d x Ek x Ak</t>
  </si>
  <si>
    <t>lm</t>
  </si>
  <si>
    <t>Minimum Lamba sayısı:</t>
  </si>
  <si>
    <t>Asansör kuyusunda en az</t>
  </si>
  <si>
    <t xml:space="preserve">Adet, </t>
  </si>
  <si>
    <t>W LED armatür kullanılmalıdır.</t>
  </si>
  <si>
    <t>4. Makina Dairesi Aydınlatma Hesabı</t>
  </si>
  <si>
    <t>amd</t>
  </si>
  <si>
    <t>Makine Dairesi Genişliği</t>
  </si>
  <si>
    <t>bmd</t>
  </si>
  <si>
    <t>Makina Dairesi Derinliği</t>
  </si>
  <si>
    <t>hmd</t>
  </si>
  <si>
    <t>Oda yüksekliği</t>
  </si>
  <si>
    <t>Amd</t>
  </si>
  <si>
    <t>Makina Dairesi Alanı</t>
  </si>
  <si>
    <t>hmd x (amd + bmd)</t>
  </si>
  <si>
    <t>Makina Dairesinde en az</t>
  </si>
  <si>
    <t>W flüoresan kullanılmalıdır.</t>
  </si>
  <si>
    <t>5.Temel Topraklama Hesabı</t>
  </si>
  <si>
    <t>NOT: TEMEL TOPRAKLAMA HESABI BİNA ELEKTRİK TESİSATI PROJESİNDE MEVCUT OLUP, ASANSÖR TOPRAK HATTI BİNA TOPRAKLAMASI EŞ POTANSİYEL BARA (EPB) İLE İRTİBATLANDIRILMIŞTIR.</t>
  </si>
  <si>
    <t>ELEKTRİKLİ ASANSÖR MUKAVEMET HESABI  DOĞRULAMA RAPORU</t>
  </si>
  <si>
    <t>KONTEST HİZMET NUMARASI</t>
  </si>
  <si>
    <t>ADA/PARSEL</t>
  </si>
  <si>
    <t>MONTAJ ADRESİ</t>
  </si>
  <si>
    <t>Normal Kullanma, Hareket(Karşı Ağırlık) :</t>
  </si>
  <si>
    <t>Elektriksel Hesaplamalar</t>
  </si>
  <si>
    <t>Askı Halatlarının Hesaplanması :</t>
  </si>
  <si>
    <t>Normal Kullanma, Hareket (Kabin Rayları) :</t>
  </si>
  <si>
    <t>σ : Birleşik gerilme - Durum 1 x-ekseni</t>
  </si>
  <si>
    <t>σ : Birleşik gerilme - Durum 2 y-ekseni</t>
  </si>
  <si>
    <t>Trafik Hesabı (MMO 697) :</t>
  </si>
  <si>
    <t>Onaylayan Teknik Uzman</t>
  </si>
  <si>
    <t>Tarih / İmza</t>
  </si>
  <si>
    <t>BEYAN YÜKÜ</t>
  </si>
  <si>
    <t>KİŞİ</t>
  </si>
  <si>
    <t>KABİN AĞ.</t>
  </si>
  <si>
    <t>KARŞI A.AĞ.</t>
  </si>
  <si>
    <t>BEYAN HIZI</t>
  </si>
  <si>
    <t>KAPI G.</t>
  </si>
  <si>
    <t>KAPI Y.</t>
  </si>
  <si>
    <t>GİRİŞLER</t>
  </si>
  <si>
    <t>KARŞI A. YERİ</t>
  </si>
  <si>
    <t>RAY ÖL.</t>
  </si>
  <si>
    <t>Max. Em. Ger.</t>
  </si>
  <si>
    <t>Min. Em. Ger.</t>
  </si>
  <si>
    <t>KABİN GİRİŞ</t>
  </si>
  <si>
    <t>Rm (N/mm2)</t>
  </si>
  <si>
    <t>σperm normal</t>
  </si>
  <si>
    <t>σperm güv.tert.</t>
  </si>
  <si>
    <t>TS EN 81-20 Çizelge 21</t>
  </si>
  <si>
    <t>FİRMA LİSTESİ</t>
  </si>
  <si>
    <t>KAPI KİLİDİ MARKALARI</t>
  </si>
  <si>
    <t>KUMANDA KARTI MARKALARI</t>
  </si>
  <si>
    <t>FREN BLOĞU MARKALARI</t>
  </si>
  <si>
    <t>HIZ REGÜLATÖRÜ MARKALARI</t>
  </si>
  <si>
    <t>TAMPON MARKALARI</t>
  </si>
  <si>
    <t>TAMPON MODELİ</t>
  </si>
  <si>
    <t>Bu tablolar BOŞ bırakılmıştır - marka/sertifika bilgilerini buraya girin.</t>
  </si>
  <si>
    <t>Manuel Sağ</t>
  </si>
  <si>
    <t>Kremayer</t>
  </si>
  <si>
    <t>Manuel Sol</t>
  </si>
  <si>
    <t>Sol</t>
  </si>
  <si>
    <t>70 x 65 x 9</t>
  </si>
  <si>
    <t>Otomatik Merkezi</t>
  </si>
  <si>
    <t>Arka</t>
  </si>
  <si>
    <t>Teleskopik Sağ</t>
  </si>
  <si>
    <t>90 x 75 x 16</t>
  </si>
  <si>
    <t>125 x 82 x 16</t>
  </si>
  <si>
    <t>127 x 89 x 16</t>
  </si>
  <si>
    <t>Durumlar;</t>
  </si>
  <si>
    <t>Bloke etme</t>
  </si>
  <si>
    <t>Frenleme</t>
  </si>
  <si>
    <t xml:space="preserve"> : yalnız en üst konumda duran kabinde;</t>
  </si>
  <si>
    <t xml:space="preserve">Normal </t>
  </si>
  <si>
    <t>%125 Yüklü kabin en altta</t>
  </si>
  <si>
    <t>%100 Yüklü Kabin Tampona oturduğunda</t>
  </si>
  <si>
    <t>Karşı A. Tampona Oturduğunda Boş Kabin En Üstte</t>
  </si>
  <si>
    <t>% 100 Yüklü Kabin En Altta</t>
  </si>
  <si>
    <t>Boş Kabin En üstte</t>
  </si>
  <si>
    <t>II</t>
  </si>
  <si>
    <t xml:space="preserve"> : saptırma kasnağı kabin veya karşı ağırlık tarafında;</t>
  </si>
  <si>
    <t>III</t>
  </si>
  <si>
    <t xml:space="preserve"> : yalnız halat askı oranı &gt; 1 ise;</t>
  </si>
  <si>
    <t>IV</t>
  </si>
  <si>
    <t>: yalnız en üst konumda duran karşı ağırlıkta;</t>
  </si>
  <si>
    <t xml:space="preserve"> : yalnız halat askı oranı &gt; 1 ise.</t>
  </si>
  <si>
    <t>mPcar</t>
  </si>
  <si>
    <t xml:space="preserve"> : Kabin tarafındaki kasnağın indirgenmiş kütlesi JPcar / R2 (kg);</t>
  </si>
  <si>
    <t>mPcwt</t>
  </si>
  <si>
    <t xml:space="preserve"> : Karşı ağırlık tarafındaki kasnağın indirgenmiş kütlesi JPcwt / R2 (kg);</t>
  </si>
  <si>
    <t>mPTD</t>
  </si>
  <si>
    <t xml:space="preserve"> : Dengeleme halatı gergi tertibatı kasnaklarının (2 adet kasnak) indirgenmiş kütlesi JPDT / R2 (kg);</t>
  </si>
  <si>
    <t>mDP</t>
  </si>
  <si>
    <t xml:space="preserve"> : Kabin / karşı ağırlık tarafındaki saptırma kasnağının indirgenmiş kütlesi JDP / R2 (kg);</t>
  </si>
  <si>
    <t>ns</t>
  </si>
  <si>
    <t xml:space="preserve"> : Askı halatlarının sayısı;</t>
  </si>
  <si>
    <t>nc</t>
  </si>
  <si>
    <t xml:space="preserve"> : Dengeleme halatlarının/ zincirlerinin sayısı;</t>
  </si>
  <si>
    <t>nt</t>
  </si>
  <si>
    <t xml:space="preserve"> : Kabin bükülgen kablolarının sayısı;</t>
  </si>
  <si>
    <t xml:space="preserve"> : Boş kabin ve kabine asılı parçaların, meselâ: kabin bükülme kablosunun kabin tarafından taşınan kısmı ve</t>
  </si>
  <si>
    <t>varsa dengeleme halatları/zincirlerinin vb. kütlelerinin toplamı (kg);</t>
  </si>
  <si>
    <t xml:space="preserve"> : Beyan yükü (kg);</t>
  </si>
  <si>
    <t>Mcwt</t>
  </si>
  <si>
    <t xml:space="preserve"> : Kasnaklar dahil karşı ağırlığın kütlesi (kg);</t>
  </si>
  <si>
    <t>MSR</t>
  </si>
  <si>
    <t xml:space="preserve"> : Askı halatlarının gerçek kütlesi ([0,5 H ± y] ⋅ ns ⋅ askı halatının birim uzunluk başına kütlesi) (kg);</t>
  </si>
  <si>
    <t xml:space="preserve">MSRcar </t>
  </si>
  <si>
    <t>: Kabin tarafındaki kütle MSR (kg);</t>
  </si>
  <si>
    <t>MSRcwt</t>
  </si>
  <si>
    <t xml:space="preserve"> : Karşı ağırlık tarafındaki kütle MSR (kg);</t>
  </si>
  <si>
    <t>MCR</t>
  </si>
  <si>
    <t xml:space="preserve"> : Dengeleme halatlarının/ zincirlerinin gerçek kütlesi ([0,5 H ± y] ⋅ nc ⋅ halatın/ zincirin birim uzunluk başına</t>
  </si>
  <si>
    <t>kütlesi) (kg);</t>
  </si>
  <si>
    <t>MCRcar</t>
  </si>
  <si>
    <t xml:space="preserve"> : Kabin tarafındaki kütle MCR (kg);</t>
  </si>
  <si>
    <t>MCRcwt</t>
  </si>
  <si>
    <t xml:space="preserve"> : Karşı ağırlık tarafındaki kütle MCR (kg);</t>
  </si>
  <si>
    <t>MTrav</t>
  </si>
  <si>
    <t xml:space="preserve"> : Kabin bükülgen kablolarının gerçek kütlesi ([0,25 H ± 0,5 y] ⋅ nt ⋅ bükülgen kablonun birim uzunluk başına</t>
  </si>
  <si>
    <t xml:space="preserve"> : Kasnaklar dahil dengeleme halatı gergi tertibatının kütlesi (kg);</t>
  </si>
  <si>
    <t xml:space="preserve"> : Kuyudaki sürtünme kuvveti (kabin tarafındaki yatakların verimleri, raylardaki sürtünme, vb. ) (N);</t>
  </si>
  <si>
    <t>: Kuyudaki sürtünme kuvveti (karşı ağırlık tarafındaki yatakların verimleri, raylardaki sürtünme, vb. ) (N);</t>
  </si>
  <si>
    <t xml:space="preserve"> : Seyir mesafesi (m);</t>
  </si>
  <si>
    <t>ycar</t>
  </si>
  <si>
    <t xml:space="preserve"> : Kabinin seyir mesafesinin ortasına olan uzaklığı (m), (0,5 H seviyesinde y=0);</t>
  </si>
  <si>
    <t>ycwt</t>
  </si>
  <si>
    <t xml:space="preserve"> : Karşı ağırlığın seyir mesafesinin ortasına olan uzaklığı (m), (0,5 H seviyesinde y=0);</t>
  </si>
  <si>
    <t xml:space="preserve"> : Halat askı katsayısı</t>
  </si>
  <si>
    <t>a</t>
  </si>
  <si>
    <t xml:space="preserve"> : Kabinin frenleme ivmesi (pozitif değer) (m/s2);</t>
  </si>
  <si>
    <t xml:space="preserve">gn </t>
  </si>
  <si>
    <t>: Standard yerçekimi ivmesi (m/s2);</t>
  </si>
  <si>
    <t>iPcar</t>
  </si>
  <si>
    <t xml:space="preserve"> : Kabin tarafındaki kasnakların sayısı (saptırma kasnağı hariç);</t>
  </si>
  <si>
    <t>iPcwt</t>
  </si>
  <si>
    <t xml:space="preserve"> : Karşı ağırlık tarafındaki kasnakların sayısı (saptırma kasnağı hariç);</t>
  </si>
  <si>
    <t>iPDT</t>
  </si>
  <si>
    <t xml:space="preserve"> : Gergi tertibatı için makara sayısı;</t>
  </si>
  <si>
    <t>TRAFİK HESAP TABLOLARI</t>
  </si>
  <si>
    <t>Tablo--1</t>
  </si>
  <si>
    <t>Tablo--2</t>
  </si>
  <si>
    <t>Tablo--3</t>
  </si>
  <si>
    <t>Tablo--5.1 Ta(s)</t>
  </si>
  <si>
    <t>Tablo--6</t>
  </si>
  <si>
    <t>Bina Tipi</t>
  </si>
  <si>
    <t>Ana giriş üzerindeki kat adedi</t>
  </si>
  <si>
    <t>Kabin Kapasitesi (P)</t>
  </si>
  <si>
    <t>Kapı Tipi</t>
  </si>
  <si>
    <t>Hız (m/s)</t>
  </si>
  <si>
    <t>Tg (s)</t>
  </si>
  <si>
    <t>diğer odaların her biri için</t>
  </si>
  <si>
    <t>&lt;1</t>
  </si>
  <si>
    <t>her daire bir yatak odasi için</t>
  </si>
  <si>
    <t>Genişlik (mm)</t>
  </si>
  <si>
    <t>OTEL</t>
  </si>
  <si>
    <t>Her yatak için</t>
  </si>
  <si>
    <t>İŞ MERKEZİ</t>
  </si>
  <si>
    <t>Çalışma Alanının her 12 m2 si için</t>
  </si>
  <si>
    <t>OKUL</t>
  </si>
  <si>
    <t>Sınıf odasının her 10 m2 si için</t>
  </si>
  <si>
    <t>HASTANE</t>
  </si>
  <si>
    <t>RESMİ BİNA</t>
  </si>
  <si>
    <t>Tek kullanımlı her 12 m2 si için</t>
  </si>
  <si>
    <t>OTOPARK TİCARİ</t>
  </si>
  <si>
    <t>Ticari amaçlı araç adedi başına</t>
  </si>
  <si>
    <t>OTOPARK ÖZEL</t>
  </si>
  <si>
    <t>Özel amaçlı araç adedi başına</t>
  </si>
  <si>
    <t>Tablo--9</t>
  </si>
  <si>
    <t>Tablo--10</t>
  </si>
  <si>
    <t>Standart</t>
  </si>
  <si>
    <t>Yükseltilmiş</t>
  </si>
  <si>
    <t>Sınıf</t>
  </si>
  <si>
    <t>Tablo--5.2 Tk(s)</t>
  </si>
  <si>
    <t>Konut</t>
  </si>
  <si>
    <t>Otel</t>
  </si>
  <si>
    <t>İş Merkezi</t>
  </si>
  <si>
    <t>Çoklu</t>
  </si>
  <si>
    <t>Tekil</t>
  </si>
  <si>
    <t xml:space="preserve">Okul </t>
  </si>
  <si>
    <t>Hastane</t>
  </si>
  <si>
    <t>Otopark</t>
  </si>
  <si>
    <t>Yüksek bina asansörlerinin hesabı için yükleltilmiş değerlerin seçilmesi tavsiye edilir.</t>
  </si>
  <si>
    <t>Tablo--8</t>
  </si>
  <si>
    <t>Kapı Genişliği (m)</t>
  </si>
  <si>
    <t>Tp(s)</t>
  </si>
  <si>
    <t>&gt;=1</t>
  </si>
  <si>
    <t>ASKI HALATLAR (TS 12385-5)</t>
  </si>
  <si>
    <t>EN 81-1 Çizelge G.2</t>
  </si>
  <si>
    <t>U Profil</t>
  </si>
  <si>
    <t>I Profil</t>
  </si>
  <si>
    <t>ÇAP</t>
  </si>
  <si>
    <t>1 m AĞIRLIĞI</t>
  </si>
  <si>
    <t>KOPMA MUK.</t>
  </si>
  <si>
    <t>SINIFI</t>
  </si>
  <si>
    <t>Darbe Tipi</t>
  </si>
  <si>
    <t>Değer</t>
  </si>
  <si>
    <t>Ölçüler - mm</t>
  </si>
  <si>
    <t>F     cm2</t>
  </si>
  <si>
    <t>G     kg/m</t>
  </si>
  <si>
    <t>ey       cm</t>
  </si>
  <si>
    <t>xm     cm</t>
  </si>
  <si>
    <t>Sx          cm</t>
  </si>
  <si>
    <t>Flanş Delikleri DIN 997</t>
  </si>
  <si>
    <t>Flaş Delikleri DIN 997</t>
  </si>
  <si>
    <t>6x19 Lif Özlü</t>
  </si>
  <si>
    <t>x-x</t>
  </si>
  <si>
    <t>y-y</t>
  </si>
  <si>
    <t>Ani Frenlemeli Makaralı</t>
  </si>
  <si>
    <t xml:space="preserve">s                 r1 </t>
  </si>
  <si>
    <t>t</t>
  </si>
  <si>
    <t>r2</t>
  </si>
  <si>
    <t>c</t>
  </si>
  <si>
    <t>h-2c</t>
  </si>
  <si>
    <t>t1</t>
  </si>
  <si>
    <t>Jx     cm4</t>
  </si>
  <si>
    <t>Wx     cm3</t>
  </si>
  <si>
    <t>Ix       cm</t>
  </si>
  <si>
    <t xml:space="preserve"> Jy      cm4</t>
  </si>
  <si>
    <t xml:space="preserve">Wy      cm3 </t>
  </si>
  <si>
    <t>Iy      cm</t>
  </si>
  <si>
    <t>d1</t>
  </si>
  <si>
    <t>W1</t>
  </si>
  <si>
    <t>n-2c</t>
  </si>
  <si>
    <t>Ani Frenlemeli</t>
  </si>
  <si>
    <t>Yuvarlatılmış kenarlı U - profili (Sıcak Haddelenmiş) DIN 1026</t>
  </si>
  <si>
    <t>Flanş iç yüzeyleri eğik Dar Flaşlı I profilleri I serisi,sıcak haddelenmiş Dın 1025 Bölüm 1</t>
  </si>
  <si>
    <t>1370/1770</t>
  </si>
  <si>
    <t>Hareket halinde</t>
  </si>
  <si>
    <t>k2</t>
  </si>
  <si>
    <t>30x15</t>
  </si>
  <si>
    <t>8x19 Lif Özlü</t>
  </si>
  <si>
    <t>40x20</t>
  </si>
  <si>
    <t>50x25</t>
  </si>
  <si>
    <t>13**)</t>
  </si>
  <si>
    <t>17|13</t>
  </si>
  <si>
    <t>EN 81-1 Çizelge G.3</t>
  </si>
  <si>
    <t>EN 81-50 Çizelge 2</t>
  </si>
  <si>
    <t>Kanal Şekli</t>
  </si>
  <si>
    <t>Açı</t>
  </si>
  <si>
    <t>Nequiv(t)</t>
  </si>
  <si>
    <t>21|17</t>
  </si>
  <si>
    <t>Altı Kesik V Kanal</t>
  </si>
  <si>
    <t>Yarım Daire Kanal</t>
  </si>
  <si>
    <t>Altı Kesik Yarım Daire Kanal</t>
  </si>
  <si>
    <t>23|21</t>
  </si>
  <si>
    <t>Yarım Daire Kanal (Çift Sarım)</t>
  </si>
  <si>
    <t>P+Q</t>
  </si>
  <si>
    <t>P+Q/2</t>
  </si>
  <si>
    <t>HMT2</t>
  </si>
  <si>
    <t>HPT3</t>
  </si>
  <si>
    <t>HMT1</t>
  </si>
  <si>
    <t>Flexibl Kablolar ( Nergiz )</t>
  </si>
  <si>
    <t>Raylar (ISO 7465)</t>
  </si>
  <si>
    <t>Gr (kg/m)</t>
  </si>
  <si>
    <t>A (mm2)</t>
  </si>
  <si>
    <t>Ix (mm4)</t>
  </si>
  <si>
    <t>Iy (mm4)</t>
  </si>
  <si>
    <t>Wx (mm3)</t>
  </si>
  <si>
    <t>Wy (mm3)</t>
  </si>
  <si>
    <t>ix (mm)</t>
  </si>
  <si>
    <t>iy (mm)</t>
  </si>
  <si>
    <t>c (mm)</t>
  </si>
  <si>
    <t>e (mm)</t>
  </si>
  <si>
    <t>Karşı Ağırlık Malzemesi</t>
  </si>
  <si>
    <t>Tamponlar (HAS)</t>
  </si>
  <si>
    <t>Nominal Kesit</t>
  </si>
  <si>
    <t>En (mm)</t>
  </si>
  <si>
    <t>Yükseklik (mm)</t>
  </si>
  <si>
    <t>Ağırlık (kg/m)</t>
  </si>
  <si>
    <t>Derinlik (mm)</t>
  </si>
  <si>
    <t>HMT4-1</t>
  </si>
  <si>
    <t>HMT4-2</t>
  </si>
  <si>
    <t>HPT2</t>
  </si>
  <si>
    <t>HPT4</t>
  </si>
  <si>
    <t>Max Yük</t>
  </si>
  <si>
    <t>Pik Döküm</t>
  </si>
  <si>
    <t>Strok</t>
  </si>
  <si>
    <t>12 x 1,00</t>
  </si>
  <si>
    <t>Yükseklik</t>
  </si>
  <si>
    <t>24 x 1,00</t>
  </si>
  <si>
    <t>h1</t>
  </si>
  <si>
    <t>h1-b-f</t>
  </si>
  <si>
    <t>h1-f</t>
  </si>
  <si>
    <t xml:space="preserve">EN 81-20 - madde 5.4.2 </t>
  </si>
  <si>
    <t xml:space="preserve">Kütle </t>
  </si>
  <si>
    <t>Kişi Sayısı</t>
  </si>
  <si>
    <t>E.B. Alan</t>
  </si>
  <si>
    <t>E.K.Alan</t>
  </si>
  <si>
    <t>KOD</t>
  </si>
  <si>
    <t>SAYFA / HÜCRE</t>
  </si>
  <si>
    <t>SORUN</t>
  </si>
  <si>
    <t>YAPILAN DEĞİŞİKLİK</t>
  </si>
  <si>
    <t>A1</t>
  </si>
  <si>
    <t>11-Muk!AH289</t>
  </si>
  <si>
    <t>Kabin paten arası TABLOLAR!U64 (karşı ağırlık çerçeve yüksekliği, 3559,52) üzerinden geliyordu; ray kuvvetleri %32 düşük çıkıyordu</t>
  </si>
  <si>
    <t xml:space="preserve"> ="Veri Girişi"!B127 (2700 mm) girdisine bağlandı</t>
  </si>
  <si>
    <t>A2</t>
  </si>
  <si>
    <t>11-Muk!AH552</t>
  </si>
  <si>
    <t>Ağırlık paten arası 3800 sabit yazılıydı</t>
  </si>
  <si>
    <t xml:space="preserve"> ="Veri Girişi"!B128 (3600 mm) girdisine bağlandı</t>
  </si>
  <si>
    <t>A3</t>
  </si>
  <si>
    <t>11-Muk!AF250</t>
  </si>
  <si>
    <t>V2621 (sayfa dışı) referansı; FRcar = 104,38 N terimi T1 den düşmüştü</t>
  </si>
  <si>
    <t xml:space="preserve"> =D250+I250+L250+P250+S250+V250-X250</t>
  </si>
  <si>
    <t>11-Muk!L255</t>
  </si>
  <si>
    <t>W2632 (sayfa dışı) referansı</t>
  </si>
  <si>
    <t>W252 ye düzeltildi</t>
  </si>
  <si>
    <t>A4</t>
  </si>
  <si>
    <t>11-Muk!AL202</t>
  </si>
  <si>
    <t>Sertleştirilmiş V kanal sürtünme faktörü çarpma ile hesaplanıyordu (0,0296)</t>
  </si>
  <si>
    <t xml:space="preserve"> =AC202/AG202 -&gt; f = mu/sin(gama/2) = 0,2792</t>
  </si>
  <si>
    <t>A5</t>
  </si>
  <si>
    <t>11-Muk!Q584</t>
  </si>
  <si>
    <t>Karşı ağırlık rayı σv hesabında kabin rayı kesiti (1577 mm²) okunuyordu</t>
  </si>
  <si>
    <t>"Veri Girişi"!F73 (ağırlık rayı, 475 mm²)</t>
  </si>
  <si>
    <t>A6</t>
  </si>
  <si>
    <t>11-Muk!K242/K257/K271</t>
  </si>
  <si>
    <t>T1/T2 oranı küçük/büyük yönünde alınıyordu; acil frenleme kontrolü kendiliğinden geçiyordu</t>
  </si>
  <si>
    <t>MAX(T1/T2 ; T2/T1) — EN 81-50 m.5.11.3 (T1 daima büyük olan)</t>
  </si>
  <si>
    <t>Askı Tipleri!P134,Q134</t>
  </si>
  <si>
    <t>Frenleme ivmesi 0,6 x gn = 5,886 m/s² sabit yazılıydı</t>
  </si>
  <si>
    <t xml:space="preserve"> ="Veri Girişi"!B133 girdisine bağlandı (değer korundu)</t>
  </si>
  <si>
    <t>A7</t>
  </si>
  <si>
    <t>11-Muk!satır 126</t>
  </si>
  <si>
    <t>Halatın GERÇEK emniyet katsayısı hiç hesaplanmıyordu; yalnız Sf ≥ 12 karşılaştırması vardı</t>
  </si>
  <si>
    <t>S = n x Tmin / Fmax ≥ MAX(Sf ; Smin) kontrolü eklendi (18,46 ≥ 15,92)</t>
  </si>
  <si>
    <t>A8</t>
  </si>
  <si>
    <t>Askı Tipleri!118-120</t>
  </si>
  <si>
    <t>MSRcar/MSRcwt boş hücrelere (B89, AQ18, AQ19) bakıyor, halat kütlesi 0 çıkıyordu</t>
  </si>
  <si>
    <t>(0,5H ± y) x ns x gh formülleri yazıldı</t>
  </si>
  <si>
    <t>B1</t>
  </si>
  <si>
    <t>Veri Girişi!E11,G11,E24,E25,E27</t>
  </si>
  <si>
    <t>Durak tablosunda mükerrer/hatalı "1.DURAK" satırları</t>
  </si>
  <si>
    <t>Temizlendi (tablo 12. satırdan başlıyor)</t>
  </si>
  <si>
    <t>11-Muk!AH291,AH554,AH611,AC616,AI134</t>
  </si>
  <si>
    <t>SUM(G13:G25) ilk durak yüksekliğini dışarıda bırakıyordu; ray kütlesi %11 düşüktü</t>
  </si>
  <si>
    <t>SUM(G12:G34) — Mg 254,8 -&gt; 291,9 kg</t>
  </si>
  <si>
    <t>B2</t>
  </si>
  <si>
    <t>11-Muk!639,644</t>
  </si>
  <si>
    <t>Sığınma alanı ölçüleri 0,65x0,45x0,95 m (EN 81-20 Çizelge 3 e uymuyor)</t>
  </si>
  <si>
    <t>0,50 x 0,70 x 1,00 m (çömelmiş duruş); "en az" koşulu &lt;= yapıldı</t>
  </si>
  <si>
    <t>B3</t>
  </si>
  <si>
    <t>TEKNİK!P1:R4 + AH304/AH305</t>
  </si>
  <si>
    <t>σperm ray profiline bağlıydı; çelik sınıfı bilinmiyordu</t>
  </si>
  <si>
    <t>Rm girdisi (Veri Girişi!B131) + EN 81-20 Çizelge 21 tablosu</t>
  </si>
  <si>
    <t>11-Muk!AD360,AD369,AD588,AI590,AD595</t>
  </si>
  <si>
    <t>Sabit 205 / 165 N/mm² yazılıydı</t>
  </si>
  <si>
    <t>AH304 / AH305 referansına çevrildi</t>
  </si>
  <si>
    <t>B4</t>
  </si>
  <si>
    <t>11-Muk!AF362,AF371,Z463</t>
  </si>
  <si>
    <t>MY birleşik gerilmede 250 N, burkulmada 150 N idi</t>
  </si>
  <si>
    <t>Tümü AH292 ye bağlandı</t>
  </si>
  <si>
    <t>11-Muk!AC463</t>
  </si>
  <si>
    <t>Normal kullanma Durum 1 birleşik gerilmesinde Fv terimi eksikti</t>
  </si>
  <si>
    <t xml:space="preserve"> =(AE452+(W463*Z463))/W464+S463 (EN 81-50 C.2.2)</t>
  </si>
  <si>
    <t>B5</t>
  </si>
  <si>
    <t>11-Muk!AQ22</t>
  </si>
  <si>
    <t>Motor verimi askı oranına bağlıydı (2:1 de 0,87 veriyordu)</t>
  </si>
  <si>
    <t>Makine tipi girdisine bağlandı (Veri Girişi!B130)</t>
  </si>
  <si>
    <t>B6</t>
  </si>
  <si>
    <t>11-Muk!AQ23</t>
  </si>
  <si>
    <t>Motor gücü sürtünmesiz Pm ile, moment Gmax ile hesaplanıyordu</t>
  </si>
  <si>
    <t>N = Gmax x v / (η x 102) — 5,75 -&gt; 6,57 kW</t>
  </si>
  <si>
    <t>B7</t>
  </si>
  <si>
    <t>10-Trafik!AB15</t>
  </si>
  <si>
    <t>PRODUCT(P15;1) boş hücreye bakıyordu</t>
  </si>
  <si>
    <t>PRODUCT(S15;1)</t>
  </si>
  <si>
    <t>10-Trafik!AE32</t>
  </si>
  <si>
    <t>Katlar arası mesafe tek duraktan (G17) okunuyordu</t>
  </si>
  <si>
    <t>Ortalama: seyir / (durak-1)</t>
  </si>
  <si>
    <t>10-Trafik!AE31 + TABLOLAR!5. satır</t>
  </si>
  <si>
    <t>"Oturma alanı olan kat sayısı" hem daire sayısı hem D olarak kullanılıyordu</t>
  </si>
  <si>
    <t>Ayrı girdi: Veri Girişi!B129 (Ana giriş üstü durak adedi)</t>
  </si>
  <si>
    <t>10-Trafik!A54:P56</t>
  </si>
  <si>
    <t>Trafik hesabının sonuç (verdict) satırı yoktu</t>
  </si>
  <si>
    <t>Mevcut adet ≥ gerekli adet kontrolü eklendi</t>
  </si>
  <si>
    <t>B8</t>
  </si>
  <si>
    <t>RAPOR!37:45</t>
  </si>
  <si>
    <t>8 kabin rayı kontrolü, halat kontrolleri ve trafik raporda yoktu</t>
  </si>
  <si>
    <t>12 kalem eklendi, imza bloğu 49-51 e taşındı</t>
  </si>
  <si>
    <t>RAPOR koşullu biçim.</t>
  </si>
  <si>
    <t>40 adet "UYGUN DEĞİLDİR" kuralı silinmiş hücrelere bakıyordu; kırmızı uyarı hiç çalışmıyordu</t>
  </si>
  <si>
    <t>Her kural kendi hücresine yönlendirildi</t>
  </si>
  <si>
    <t>Veri Girişi!147:150, 221:222</t>
  </si>
  <si>
    <t>Kontrol listesinde askı halatları ve trafik yoktu</t>
  </si>
  <si>
    <t>Eklendi, bölüm numaraları güncellendi</t>
  </si>
  <si>
    <t>B9</t>
  </si>
  <si>
    <t>Veri Girişi!F45,F46,F61,F62</t>
  </si>
  <si>
    <t>VLOOKUP formülleri silinmiş bir aralığa (REF hatası) bakıyordu; sertifika no / veren kurum hiç dolmuyordu</t>
  </si>
  <si>
    <t>TEKNİK!AC2:AE21 tablosuna bağlandı (tablo boş, doldurulacak)</t>
  </si>
  <si>
    <t>Tanımlı adlar</t>
  </si>
  <si>
    <t>firmalistesi, kapıkilitmarka, kumandakartmarka, frenblokmarka, hızregülatörmarka, tamponmarka tanımlı adlarının tamamı REF hatası veriyordu</t>
  </si>
  <si>
    <t>TEKNİK!U:AA sütunlarındaki listelere yönlendirildi (listeler boş)</t>
  </si>
  <si>
    <t>B10</t>
  </si>
  <si>
    <t>TABLOLAR!U63</t>
  </si>
  <si>
    <t>HLOOKUP un else dalında arama değeri ve sütun no eksikti; "Pik Döküm" seçilince çökerdi</t>
  </si>
  <si>
    <t>Tamamlandı</t>
  </si>
  <si>
    <t xml:space="preserve"> -</t>
  </si>
  <si>
    <t>TABLOLAR!P60,Q60</t>
  </si>
  <si>
    <t>50x50x5 rayın atalet yarıçapları (ix, iy) boştu</t>
  </si>
  <si>
    <t xml:space="preserve"> =SQRT(I/A) ile hesaplandı</t>
  </si>
  <si>
    <t>11-Muk (13 hücre)</t>
  </si>
  <si>
    <t>π yerine 3,14 kullanılıyordu</t>
  </si>
  <si>
    <t>PI() ile değiştirildi</t>
  </si>
  <si>
    <t>12-Elk!P58,P63</t>
  </si>
  <si>
    <t>√3 yerine 1,73</t>
  </si>
  <si>
    <t>SQRT(3)</t>
  </si>
  <si>
    <t>12-Elk!W28,W79,R99</t>
  </si>
  <si>
    <t>Şebeke 380 / 220 V</t>
  </si>
  <si>
    <t>400 / 230 V (TS EN 60038)</t>
  </si>
  <si>
    <t>12-Elk!A35:AB36,AT7,W46,P62</t>
  </si>
  <si>
    <t>Akım ve gerilim düşümü motorun MİL gücünden hesaplanıyordu</t>
  </si>
  <si>
    <t>Motor verimi girdisi (ηm=0,85) + şebekeden çekilen güç</t>
  </si>
  <si>
    <t>12-Elk!AG146,R170,U170</t>
  </si>
  <si>
    <t>Kuyu aydınlatması 75 W akkor telli lamba</t>
  </si>
  <si>
    <t>12 W / 1200 lm LED — 7 adet yerine 6 adet</t>
  </si>
  <si>
    <t>11-Muk!AB32,AI129,AI131,AI132,AI135</t>
  </si>
  <si>
    <t>Makine ağırlığı ve regülatör verileri sabit yazılıydı</t>
  </si>
  <si>
    <t>Veri Girişi!F121-F126 girdilerine bağlandı</t>
  </si>
  <si>
    <t>Tüm sayfalar</t>
  </si>
  <si>
    <t>10-Trafik, TEKNİK, Askı Tipleri, TABLOLAR gizliydi</t>
  </si>
  <si>
    <t>Görünür yapıldı</t>
  </si>
  <si>
    <t>NOT</t>
  </si>
  <si>
    <t>Veri Girişi!B133</t>
  </si>
  <si>
    <t>ACİL FRENLEME YAVAŞLAMASI</t>
  </si>
  <si>
    <t>a = 0,8 m/s2 girildi (EN 81-1 referans degeri, gecici kabul). Kayma siniri 3,35 m/s2. Makine/fren verisi gelince guncelleyiniz.</t>
  </si>
  <si>
    <t>AÇIK</t>
  </si>
  <si>
    <t>TEKNİK!U:AE</t>
  </si>
  <si>
    <t>Marka ve sertifika listeleri boş</t>
  </si>
  <si>
    <t>Kendi marka/model/sertifika bilgilerinizi giriniz.</t>
  </si>
  <si>
    <t>Dosyada hiç olmayan hesaplar</t>
  </si>
  <si>
    <t>Tampon strok/seçim, güvenlik tertibatı seçim kontrolü, fren momenti, kabin şasesi, ray konsolu ve dübel, kabin döşemesi/kapı yükleri, kabin aydınlatma (100 lx), imdat aydınlatması (5 lx/1 sa), kısa devre ve topraklama, havalandırma. Bunlar dosyada bulunmayan girdi verisi gerektirir.</t>
  </si>
  <si>
    <t xml:space="preserve">
ELEKTRİKLİ ASANSÖR MUKAVEMET HESABI  DOĞRULAMA 
(Doküman adı: KON-FR113 / Rev:06)</t>
  </si>
  <si>
    <t>Regülatör Halat Çapları</t>
  </si>
  <si>
    <t>Dişlisiz</t>
  </si>
  <si>
    <t>* *1. Motor Gücü Sorununu Çözdük (4,9 kW için):*
* Neden kurtarmıyordu? Tablo eski klasik asansör kabulüyle fazladan $+15\text{ kg}$ sürtünme ekliyor ve verimi düşük alıyordu.
* Ne yaptık? 11-Muk sayfasında sürtünmeyi 0 (AQ8), verimi ise gerçek MRL değeri olan 0.92 (AQ22) yaparak motoru *UYGUN* hale getirdik.</t>
  </si>
  <si>
    <t>MUKAVEMET AQ 8 DEĞERİNİ 50 DEĞİLDE 15 VEYA 0 ALABİLİRİZ 
MOTOR VERİMİNİ DE GÜNCEL MOTORLAR İÇİN YÜZDE 92 OLARAK ALABİLİRİZ</t>
  </si>
  <si>
    <t>AQ 8 50 DEN 0 A DEĞİŞTİRİLDİ
MOTOR VERİMİ AQ 22 90 DAN 92 YAPILDI</t>
  </si>
  <si>
    <t>* *2. Halat Güvenlik Katsayısı Formülünü Düzelttik (T126):*
* Neden kurtarmıyordu? Tablo $2:1$ palangalı sistemde halat yükünü $2$'ye bölmeyi unutmuştu ($1:1$ gibi hesaplıyordu).
* Ne yaptık? T126 hücresine palanga bölüsünü ekleyerek formülü =AQ20*AH109/(9.81*AQ11/AH108) yaptık;</t>
  </si>
  <si>
    <t>T26 FORMÜLASYONDAKİ HATA DÜZELTİLDİ</t>
  </si>
  <si>
    <t>ASKI ORANI HESABA DAHİL EDİLDİ</t>
  </si>
  <si>
    <t xml:space="preserve">* *3. 240 mm Kasnak Hatasını Giderdik:*
* Neden kurtarmıyordu? F105 hücresi yanlışlıkla "V Kanal" seçili kaldığı için aşınma katsayısını ($N_{equiv}$) şişirip gereken emniyet sınırını $23,61$'e fırlatıyordu.
* Ne yaptık? Veri Girişi!F105 hücresini gerçekte olduğu gibi *"Altı Kesik Yarım Daire Kanal"* yaptık; </t>
  </si>
  <si>
    <t>VERİ GİRİŞİNDE F105 KASNAK KANALI V KESİK KANALLI OLARAK SEÇİLDİ</t>
  </si>
  <si>
    <t>* *Hesap Formülü Kaynağı:*
* *TMMOB Makina Mühendisleri Odası (MMO) Yayın No: 208/7* — Asansör Avan ve Mukavemet Projesi Hazırlama Esasları, *Bölüm 2.4 (Asansör Motor Gücünün Hesaplanması)*
* *Verim ($\eta = 0,92$) ve Sürtünme Kaynağı:*
* *IEC 60034-30-1 / EN 60034-1 Standartları:* Senkron Sabit Mıknatıslı (PMSM / Dişlisiz) motorlarda IE4/IE5 süper/ultra premium verim sınıfı referansı ($\eta \ge \%90-\%93$).
* *2014/33/AB Asansör Direktifi Motor Teknik Föyleri:* MRL Dişlisiz asansör motor katalogları (Akar Asansör SML Serisi, Montanari MGV, Ziehl-Abegg SM200 vb. teknik föylerinde verim $\eta = 0,90 - 0,93$ olarak belirtilir).
* *Sürtünme Direnci ($G_s = 0$):* MMO yönergesinde yer alan $50\text{ kg}$ sürtünme terimi, eski kaymalı döküm patenler ve sonsuz vidalı dişli kutusu kayıpları içindir. Rulmanlı saptırma makarası ve teflon/roller paten kullanılan MRL sistemlerde bu kayıp ihmal edilebilir mertebededir ($G_s \approx 0$).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</si>
</sst>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dd/mm/yy"/>
    <numFmt numFmtId="166" formatCode="0.0"/>
    <numFmt numFmtId="167" formatCode="0.000"/>
    <numFmt numFmtId="168" formatCode="0.0000"/>
    <numFmt numFmtId="169" formatCode=";;;"/>
  </numFmts>
  <fonts count="88">
    <font>
      <sz val="10"/>
      <color rgb="FF000000"/>
      <name val="Calibri"/>
      <charset val="1"/>
    </font>
    <font>
      <sz val="10"/>
      <color theme="1"/>
      <name val="Calibri"/>
      <family val="2"/>
      <charset val="162"/>
    </font>
    <font>
      <b/>
      <sz val="14"/>
      <name val="Arial"/>
      <family val="2"/>
      <charset val="162"/>
    </font>
    <font>
      <sz val="10"/>
      <color theme="1"/>
      <name val="arial"/>
      <charset val="1"/>
    </font>
    <font>
      <b/>
      <sz val="11"/>
      <name val="Arial"/>
      <family val="2"/>
      <charset val="162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Calibri"/>
      <family val="2"/>
      <charset val="162"/>
    </font>
    <font>
      <b/>
      <sz val="10"/>
      <color theme="1"/>
      <name val="arial"/>
      <charset val="1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0"/>
      <color rgb="FFFF0000"/>
      <name val="arial"/>
      <charset val="1"/>
    </font>
    <font>
      <b/>
      <sz val="10"/>
      <color theme="1"/>
      <name val="arial"/>
      <charset val="1"/>
    </font>
    <font>
      <b/>
      <sz val="11"/>
      <color rgb="FFFF0000"/>
      <name val="arial"/>
      <charset val="1"/>
    </font>
    <font>
      <u/>
      <sz val="10"/>
      <name val="arial"/>
      <charset val="1"/>
    </font>
    <font>
      <u/>
      <sz val="10"/>
      <color rgb="FF0000FF"/>
      <name val="arial"/>
      <charset val="1"/>
    </font>
    <font>
      <b/>
      <sz val="8"/>
      <name val="arial"/>
      <charset val="1"/>
    </font>
    <font>
      <b/>
      <sz val="9"/>
      <name val="arial"/>
      <charset val="1"/>
    </font>
    <font>
      <b/>
      <sz val="10"/>
      <name val="arial"/>
      <charset val="162"/>
    </font>
    <font>
      <b/>
      <sz val="7"/>
      <name val="arial"/>
      <charset val="1"/>
    </font>
    <font>
      <b/>
      <sz val="6"/>
      <name val="arial"/>
      <charset val="1"/>
    </font>
    <font>
      <b/>
      <sz val="9"/>
      <color rgb="FFFF0000"/>
      <name val="arial"/>
      <charset val="1"/>
    </font>
    <font>
      <b/>
      <sz val="12"/>
      <name val="Arial"/>
      <family val="2"/>
      <charset val="162"/>
    </font>
    <font>
      <u/>
      <sz val="10"/>
      <color theme="10"/>
      <name val="Calibri"/>
      <family val="2"/>
      <charset val="162"/>
    </font>
    <font>
      <u/>
      <sz val="10"/>
      <name val="Arial"/>
      <family val="2"/>
      <charset val="162"/>
    </font>
    <font>
      <b/>
      <sz val="14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u/>
      <sz val="10"/>
      <name val="Times New Roman"/>
      <family val="1"/>
      <charset val="162"/>
    </font>
    <font>
      <sz val="12"/>
      <name val="arial"/>
      <charset val="1"/>
    </font>
    <font>
      <sz val="10"/>
      <name val="Times New Roman"/>
      <family val="1"/>
      <charset val="162"/>
    </font>
    <font>
      <sz val="10"/>
      <color rgb="FF0000FF"/>
      <name val="Times New Roman"/>
      <family val="1"/>
      <charset val="162"/>
    </font>
    <font>
      <sz val="10"/>
      <color rgb="FFFFFFFF"/>
      <name val="Times New Roman"/>
      <family val="1"/>
      <charset val="162"/>
    </font>
    <font>
      <b/>
      <u/>
      <sz val="12"/>
      <name val="Times New Roman"/>
      <family val="1"/>
      <charset val="162"/>
    </font>
    <font>
      <sz val="9"/>
      <name val="Times New Roman"/>
      <family val="1"/>
      <charset val="162"/>
    </font>
    <font>
      <b/>
      <sz val="9"/>
      <name val="Times New Roman"/>
      <family val="1"/>
      <charset val="162"/>
    </font>
    <font>
      <sz val="9"/>
      <name val="arial"/>
      <charset val="1"/>
    </font>
    <font>
      <sz val="9"/>
      <color rgb="FFFFFFFF"/>
      <name val="Times New Roman"/>
      <family val="1"/>
      <charset val="162"/>
    </font>
    <font>
      <b/>
      <i/>
      <sz val="9"/>
      <name val="Times New Roman"/>
      <family val="1"/>
      <charset val="162"/>
    </font>
    <font>
      <b/>
      <i/>
      <sz val="9"/>
      <name val="Arial"/>
      <family val="2"/>
      <charset val="162"/>
    </font>
    <font>
      <sz val="9"/>
      <name val="Arial"/>
      <family val="2"/>
      <charset val="162"/>
    </font>
    <font>
      <u/>
      <sz val="9"/>
      <name val="Times New Roman"/>
      <family val="1"/>
      <charset val="162"/>
    </font>
    <font>
      <b/>
      <sz val="9"/>
      <name val="Arial"/>
      <family val="2"/>
      <charset val="162"/>
    </font>
    <font>
      <u/>
      <sz val="9"/>
      <name val="Arial"/>
      <family val="2"/>
      <charset val="162"/>
    </font>
    <font>
      <sz val="9"/>
      <color rgb="FF008000"/>
      <name val="Times New Roman"/>
      <family val="1"/>
      <charset val="162"/>
    </font>
    <font>
      <sz val="9"/>
      <name val="Noto Sans Symbols"/>
      <charset val="1"/>
    </font>
    <font>
      <vertAlign val="superscript"/>
      <sz val="9"/>
      <name val="Times New Roman"/>
      <family val="1"/>
      <charset val="162"/>
    </font>
    <font>
      <i/>
      <sz val="9"/>
      <name val="Times New Roman"/>
      <family val="1"/>
      <charset val="162"/>
    </font>
    <font>
      <u/>
      <sz val="9"/>
      <name val="arial"/>
      <charset val="1"/>
    </font>
    <font>
      <sz val="8"/>
      <name val="Times New Roman"/>
      <family val="1"/>
      <charset val="162"/>
    </font>
    <font>
      <b/>
      <sz val="9"/>
      <color rgb="FFFF0000"/>
      <name val="Times New Roman"/>
      <family val="1"/>
      <charset val="162"/>
    </font>
    <font>
      <sz val="9"/>
      <color rgb="FFFF0000"/>
      <name val="Times New Roman"/>
      <family val="1"/>
      <charset val="162"/>
    </font>
    <font>
      <b/>
      <i/>
      <sz val="11"/>
      <name val="Calibri"/>
      <family val="2"/>
      <charset val="162"/>
    </font>
    <font>
      <b/>
      <sz val="10"/>
      <name val="Calibri"/>
      <family val="2"/>
      <charset val="162"/>
    </font>
    <font>
      <b/>
      <sz val="1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1"/>
      <name val="arial"/>
      <charset val="162"/>
    </font>
    <font>
      <b/>
      <sz val="9"/>
      <name val="arial"/>
      <charset val="162"/>
    </font>
    <font>
      <sz val="10"/>
      <color rgb="FFFF0000"/>
      <name val="Calibri"/>
      <family val="2"/>
      <charset val="162"/>
    </font>
    <font>
      <b/>
      <sz val="12"/>
      <color theme="1"/>
      <name val="arial"/>
      <charset val="1"/>
    </font>
    <font>
      <b/>
      <sz val="10"/>
      <color theme="1"/>
      <name val="Times New Roman"/>
      <family val="1"/>
      <charset val="162"/>
    </font>
    <font>
      <sz val="9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1"/>
      <color theme="1"/>
      <name val="arial"/>
      <charset val="1"/>
    </font>
    <font>
      <b/>
      <sz val="9"/>
      <color theme="1"/>
      <name val="Arial"/>
      <family val="2"/>
      <charset val="162"/>
    </font>
    <font>
      <sz val="10"/>
      <color theme="1"/>
      <name val="Times New Roman"/>
      <family val="1"/>
      <charset val="162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FF0000"/>
      <name val="Arial"/>
      <family val="2"/>
      <charset val="162"/>
    </font>
    <font>
      <b/>
      <sz val="12"/>
      <name val="Calibri"/>
      <family val="2"/>
      <charset val="162"/>
    </font>
    <font>
      <b/>
      <sz val="12"/>
      <color theme="0"/>
      <name val="Arial"/>
      <family val="2"/>
      <charset val="162"/>
    </font>
    <font>
      <sz val="12"/>
      <color theme="0"/>
      <name val="Calibri"/>
      <family val="2"/>
      <charset val="162"/>
    </font>
    <font>
      <sz val="10"/>
      <color rgb="FF000000"/>
      <name val="Calibri"/>
      <family val="2"/>
      <charset val="162"/>
    </font>
    <font>
      <sz val="9"/>
      <color rgb="FF000000"/>
      <name val="Calibri"/>
      <family val="2"/>
      <charset val="162"/>
    </font>
    <font>
      <b/>
      <sz val="9"/>
      <color rgb="FFFF0000"/>
      <name val="Calibri"/>
      <family val="2"/>
      <charset val="162"/>
    </font>
    <font>
      <sz val="10"/>
      <color theme="0"/>
      <name val="Arial"/>
      <family val="2"/>
      <charset val="162"/>
    </font>
    <font>
      <b/>
      <sz val="10"/>
      <color theme="0"/>
      <name val="Arial"/>
      <family val="2"/>
      <charset val="162"/>
    </font>
    <font>
      <sz val="10"/>
      <color theme="0"/>
      <name val="Calibri"/>
      <family val="2"/>
      <charset val="162"/>
    </font>
    <font>
      <sz val="11"/>
      <color theme="0"/>
      <name val="Calibri"/>
      <family val="2"/>
      <charset val="162"/>
    </font>
    <font>
      <b/>
      <sz val="10"/>
      <color theme="0"/>
      <name val="Calibri"/>
      <family val="2"/>
      <charset val="162"/>
    </font>
    <font>
      <sz val="10"/>
      <color rgb="FFFF0000"/>
      <name val="Arial"/>
      <family val="2"/>
      <charset val="162"/>
    </font>
    <font>
      <b/>
      <sz val="10"/>
      <color rgb="FFFF0000"/>
      <name val="Arial"/>
      <family val="2"/>
      <charset val="162"/>
    </font>
    <font>
      <sz val="11"/>
      <color rgb="FFFF0000"/>
      <name val="Calibri"/>
      <family val="2"/>
      <charset val="162"/>
    </font>
    <font>
      <sz val="10"/>
      <color theme="0"/>
      <name val="Arimo"/>
      <charset val="162"/>
    </font>
    <font>
      <b/>
      <sz val="9"/>
      <color indexed="81"/>
      <name val="Tahoma"/>
      <family val="2"/>
      <charset val="16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rgb="FFB9CDE5"/>
      </patternFill>
    </fill>
    <fill>
      <patternFill patternType="solid">
        <fgColor rgb="FFFBD4B4"/>
        <bgColor rgb="FFD9D9D9"/>
      </patternFill>
    </fill>
    <fill>
      <patternFill patternType="solid">
        <fgColor rgb="FF548DD4"/>
        <bgColor rgb="FF3366FF"/>
      </patternFill>
    </fill>
    <fill>
      <patternFill patternType="solid">
        <fgColor rgb="FFF2F2F2"/>
        <bgColor rgb="FFEBF1DE"/>
      </patternFill>
    </fill>
    <fill>
      <patternFill patternType="solid">
        <fgColor rgb="FFFFFF99"/>
        <bgColor rgb="FFFFF2CC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00B0F0"/>
        <bgColor rgb="FF33CCCC"/>
      </patternFill>
    </fill>
    <fill>
      <patternFill patternType="solid">
        <fgColor theme="0"/>
        <bgColor rgb="FFF2F2F2"/>
      </patternFill>
    </fill>
    <fill>
      <patternFill patternType="solid">
        <fgColor rgb="FFCCECFF"/>
        <bgColor rgb="FFD9D9D9"/>
      </patternFill>
    </fill>
    <fill>
      <patternFill patternType="solid">
        <fgColor theme="4" tint="0.59987182226020086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BF1D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9CDE5"/>
      </patternFill>
    </fill>
    <fill>
      <patternFill patternType="solid">
        <fgColor theme="5" tint="-0.249977111117893"/>
        <bgColor rgb="FF3366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952">
    <xf numFmtId="0" fontId="0" fillId="0" borderId="0" xfId="0"/>
    <xf numFmtId="0" fontId="1" fillId="0" borderId="0" xfId="0" applyFont="1"/>
    <xf numFmtId="0" fontId="5" fillId="0" borderId="3" xfId="0" applyFont="1" applyBorder="1"/>
    <xf numFmtId="49" fontId="8" fillId="0" borderId="5" xfId="0" applyNumberFormat="1" applyFont="1" applyBorder="1"/>
    <xf numFmtId="164" fontId="8" fillId="0" borderId="8" xfId="0" applyNumberFormat="1" applyFont="1" applyBorder="1" applyAlignment="1">
      <alignment horizontal="left"/>
    </xf>
    <xf numFmtId="0" fontId="6" fillId="5" borderId="9" xfId="0" applyFont="1" applyFill="1" applyBorder="1"/>
    <xf numFmtId="0" fontId="6" fillId="6" borderId="10" xfId="0" applyFont="1" applyFill="1" applyBorder="1"/>
    <xf numFmtId="0" fontId="6" fillId="0" borderId="11" xfId="0" applyFont="1" applyBorder="1" applyAlignment="1">
      <alignment horizontal="center"/>
    </xf>
    <xf numFmtId="49" fontId="5" fillId="9" borderId="2" xfId="0" applyNumberFormat="1" applyFont="1" applyFill="1" applyBorder="1" applyProtection="1">
      <protection locked="0"/>
    </xf>
    <xf numFmtId="1" fontId="5" fillId="5" borderId="5" xfId="0" applyNumberFormat="1" applyFont="1" applyFill="1" applyBorder="1" applyAlignment="1" applyProtection="1">
      <alignment horizontal="center"/>
      <protection locked="0"/>
    </xf>
    <xf numFmtId="0" fontId="8" fillId="9" borderId="5" xfId="0" applyFont="1" applyFill="1" applyBorder="1" applyProtection="1">
      <protection locked="0"/>
    </xf>
    <xf numFmtId="0" fontId="7" fillId="2" borderId="4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49" fontId="5" fillId="9" borderId="20" xfId="0" applyNumberFormat="1" applyFont="1" applyFill="1" applyBorder="1" applyProtection="1">
      <protection locked="0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Protection="1"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6" fillId="5" borderId="9" xfId="0" applyFont="1" applyFill="1" applyBorder="1" applyProtection="1">
      <protection locked="0"/>
    </xf>
    <xf numFmtId="0" fontId="6" fillId="6" borderId="21" xfId="0" applyFont="1" applyFill="1" applyBorder="1" applyProtection="1">
      <protection locked="0"/>
    </xf>
    <xf numFmtId="0" fontId="5" fillId="10" borderId="10" xfId="0" applyFont="1" applyFill="1" applyBorder="1" applyAlignment="1">
      <alignment horizontal="center"/>
    </xf>
    <xf numFmtId="0" fontId="6" fillId="5" borderId="4" xfId="0" applyFont="1" applyFill="1" applyBorder="1" applyProtection="1">
      <protection locked="0"/>
    </xf>
    <xf numFmtId="0" fontId="6" fillId="6" borderId="2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165" fontId="5" fillId="10" borderId="10" xfId="0" applyNumberFormat="1" applyFont="1" applyFill="1" applyBorder="1" applyAlignment="1">
      <alignment horizontal="center"/>
    </xf>
    <xf numFmtId="165" fontId="5" fillId="10" borderId="17" xfId="0" applyNumberFormat="1" applyFont="1" applyFill="1" applyBorder="1" applyAlignment="1">
      <alignment horizontal="center"/>
    </xf>
    <xf numFmtId="0" fontId="6" fillId="5" borderId="18" xfId="0" applyFont="1" applyFill="1" applyBorder="1" applyProtection="1">
      <protection locked="0"/>
    </xf>
    <xf numFmtId="49" fontId="5" fillId="0" borderId="20" xfId="0" applyNumberFormat="1" applyFont="1" applyBorder="1" applyProtection="1">
      <protection locked="0"/>
    </xf>
    <xf numFmtId="0" fontId="13" fillId="0" borderId="3" xfId="0" applyFont="1" applyBorder="1" applyProtection="1">
      <protection hidden="1"/>
    </xf>
    <xf numFmtId="0" fontId="5" fillId="0" borderId="24" xfId="0" applyFont="1" applyBorder="1"/>
    <xf numFmtId="0" fontId="6" fillId="2" borderId="20" xfId="0" applyFont="1" applyFill="1" applyBorder="1" applyAlignment="1">
      <alignment vertical="center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vertical="center"/>
    </xf>
    <xf numFmtId="0" fontId="5" fillId="9" borderId="31" xfId="0" applyFont="1" applyFill="1" applyBorder="1" applyAlignment="1" applyProtection="1">
      <alignment horizontal="center" vertical="center"/>
      <protection locked="0"/>
    </xf>
    <xf numFmtId="0" fontId="6" fillId="11" borderId="28" xfId="0" applyFont="1" applyFill="1" applyBorder="1" applyAlignment="1" applyProtection="1">
      <alignment horizontal="center" vertical="center" wrapText="1"/>
      <protection locked="0"/>
    </xf>
    <xf numFmtId="49" fontId="6" fillId="11" borderId="32" xfId="0" applyNumberFormat="1" applyFont="1" applyFill="1" applyBorder="1" applyAlignment="1" applyProtection="1">
      <alignment horizontal="center" vertical="center"/>
      <protection locked="0"/>
    </xf>
    <xf numFmtId="0" fontId="5" fillId="9" borderId="5" xfId="0" applyFont="1" applyFill="1" applyBorder="1" applyAlignment="1" applyProtection="1">
      <alignment horizontal="center" vertical="center"/>
      <protection locked="0"/>
    </xf>
    <xf numFmtId="0" fontId="5" fillId="0" borderId="33" xfId="0" applyFont="1" applyBorder="1"/>
    <xf numFmtId="1" fontId="5" fillId="9" borderId="5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/>
    <xf numFmtId="0" fontId="5" fillId="9" borderId="3" xfId="0" applyFont="1" applyFill="1" applyBorder="1" applyAlignment="1" applyProtection="1">
      <alignment horizontal="center"/>
      <protection locked="0"/>
    </xf>
    <xf numFmtId="0" fontId="5" fillId="0" borderId="34" xfId="0" applyFont="1" applyBorder="1"/>
    <xf numFmtId="0" fontId="16" fillId="0" borderId="3" xfId="0" applyFont="1" applyBorder="1" applyAlignment="1">
      <alignment vertical="center" wrapText="1"/>
    </xf>
    <xf numFmtId="0" fontId="5" fillId="11" borderId="5" xfId="0" applyFont="1" applyFill="1" applyBorder="1" applyAlignment="1" applyProtection="1">
      <alignment horizontal="center" vertical="top" wrapText="1"/>
      <protection locked="0"/>
    </xf>
    <xf numFmtId="0" fontId="6" fillId="7" borderId="1" xfId="0" applyFont="1" applyFill="1" applyBorder="1"/>
    <xf numFmtId="0" fontId="6" fillId="9" borderId="35" xfId="0" applyFont="1" applyFill="1" applyBorder="1"/>
    <xf numFmtId="0" fontId="5" fillId="0" borderId="36" xfId="0" applyFont="1" applyBorder="1" applyAlignment="1">
      <alignment horizontal="left" vertical="center"/>
    </xf>
    <xf numFmtId="0" fontId="6" fillId="0" borderId="11" xfId="0" applyFont="1" applyBorder="1"/>
    <xf numFmtId="0" fontId="6" fillId="0" borderId="34" xfId="0" applyFont="1" applyBorder="1" applyAlignment="1">
      <alignment vertical="top" wrapText="1"/>
    </xf>
    <xf numFmtId="0" fontId="6" fillId="2" borderId="4" xfId="0" applyFont="1" applyFill="1" applyBorder="1"/>
    <xf numFmtId="0" fontId="18" fillId="2" borderId="4" xfId="0" applyFont="1" applyFill="1" applyBorder="1" applyAlignment="1">
      <alignment shrinkToFit="1"/>
    </xf>
    <xf numFmtId="49" fontId="5" fillId="5" borderId="5" xfId="0" applyNumberFormat="1" applyFont="1" applyFill="1" applyBorder="1" applyAlignment="1" applyProtection="1">
      <alignment horizontal="right" vertical="center"/>
      <protection locked="0"/>
    </xf>
    <xf numFmtId="166" fontId="5" fillId="5" borderId="5" xfId="0" applyNumberFormat="1" applyFont="1" applyFill="1" applyBorder="1" applyAlignment="1" applyProtection="1">
      <alignment horizontal="right" vertical="center"/>
      <protection locked="0"/>
    </xf>
    <xf numFmtId="0" fontId="6" fillId="2" borderId="7" xfId="0" applyFont="1" applyFill="1" applyBorder="1"/>
    <xf numFmtId="49" fontId="5" fillId="5" borderId="8" xfId="0" applyNumberFormat="1" applyFont="1" applyFill="1" applyBorder="1" applyAlignment="1" applyProtection="1">
      <alignment horizontal="right" vertical="center"/>
      <protection locked="0"/>
    </xf>
    <xf numFmtId="0" fontId="6" fillId="2" borderId="9" xfId="0" applyFont="1" applyFill="1" applyBorder="1"/>
    <xf numFmtId="0" fontId="20" fillId="9" borderId="21" xfId="0" applyFont="1" applyFill="1" applyBorder="1" applyAlignment="1" applyProtection="1">
      <alignment horizontal="center"/>
      <protection locked="0"/>
    </xf>
    <xf numFmtId="49" fontId="6" fillId="9" borderId="2" xfId="0" applyNumberFormat="1" applyFont="1" applyFill="1" applyBorder="1" applyAlignment="1" applyProtection="1">
      <alignment horizontal="center"/>
      <protection locked="0"/>
    </xf>
    <xf numFmtId="0" fontId="6" fillId="9" borderId="2" xfId="0" applyFont="1" applyFill="1" applyBorder="1" applyAlignment="1" applyProtection="1">
      <alignment horizontal="left"/>
      <protection locked="0"/>
    </xf>
    <xf numFmtId="0" fontId="5" fillId="9" borderId="21" xfId="0" applyFont="1" applyFill="1" applyBorder="1" applyAlignment="1" applyProtection="1">
      <alignment horizontal="center"/>
      <protection hidden="1"/>
    </xf>
    <xf numFmtId="0" fontId="5" fillId="11" borderId="21" xfId="0" applyFont="1" applyFill="1" applyBorder="1" applyAlignment="1" applyProtection="1">
      <alignment horizontal="center"/>
      <protection hidden="1"/>
    </xf>
    <xf numFmtId="0" fontId="5" fillId="11" borderId="2" xfId="0" applyFont="1" applyFill="1" applyBorder="1" applyAlignment="1" applyProtection="1">
      <alignment horizontal="center"/>
      <protection hidden="1"/>
    </xf>
    <xf numFmtId="0" fontId="6" fillId="0" borderId="38" xfId="0" applyFont="1" applyBorder="1"/>
    <xf numFmtId="0" fontId="5" fillId="9" borderId="2" xfId="0" applyFont="1" applyFill="1" applyBorder="1" applyProtection="1">
      <protection locked="0"/>
    </xf>
    <xf numFmtId="0" fontId="5" fillId="9" borderId="39" xfId="0" applyFont="1" applyFill="1" applyBorder="1" applyProtection="1">
      <protection locked="0"/>
    </xf>
    <xf numFmtId="0" fontId="5" fillId="0" borderId="0" xfId="0" applyFont="1" applyProtection="1">
      <protection hidden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29" xfId="0" applyFont="1" applyBorder="1"/>
    <xf numFmtId="0" fontId="6" fillId="0" borderId="34" xfId="0" applyFont="1" applyBorder="1"/>
    <xf numFmtId="49" fontId="5" fillId="0" borderId="34" xfId="0" applyNumberFormat="1" applyFont="1" applyBorder="1"/>
    <xf numFmtId="0" fontId="5" fillId="0" borderId="37" xfId="0" applyFont="1" applyBorder="1"/>
    <xf numFmtId="0" fontId="7" fillId="0" borderId="14" xfId="0" applyFont="1" applyBorder="1" applyAlignment="1" applyProtection="1">
      <alignment vertical="center"/>
      <protection hidden="1"/>
    </xf>
    <xf numFmtId="0" fontId="7" fillId="0" borderId="40" xfId="0" applyFont="1" applyBorder="1" applyProtection="1">
      <protection hidden="1"/>
    </xf>
    <xf numFmtId="49" fontId="8" fillId="0" borderId="40" xfId="0" applyNumberFormat="1" applyFont="1" applyBorder="1" applyProtection="1">
      <protection hidden="1"/>
    </xf>
    <xf numFmtId="0" fontId="7" fillId="0" borderId="40" xfId="0" applyFont="1" applyBorder="1" applyAlignment="1" applyProtection="1">
      <alignment vertical="center"/>
      <protection hidden="1"/>
    </xf>
    <xf numFmtId="49" fontId="8" fillId="0" borderId="40" xfId="0" applyNumberFormat="1" applyFont="1" applyBorder="1" applyAlignment="1">
      <alignment horizontal="center" vertical="center"/>
    </xf>
    <xf numFmtId="0" fontId="8" fillId="0" borderId="3" xfId="0" applyFont="1" applyBorder="1"/>
    <xf numFmtId="0" fontId="8" fillId="0" borderId="11" xfId="0" applyFont="1" applyBorder="1" applyProtection="1">
      <protection hidden="1"/>
    </xf>
    <xf numFmtId="0" fontId="7" fillId="0" borderId="41" xfId="0" applyFont="1" applyBorder="1" applyProtection="1">
      <protection hidden="1"/>
    </xf>
    <xf numFmtId="49" fontId="8" fillId="0" borderId="41" xfId="0" applyNumberFormat="1" applyFont="1" applyBorder="1" applyProtection="1">
      <protection hidden="1"/>
    </xf>
    <xf numFmtId="0" fontId="25" fillId="0" borderId="0" xfId="0" applyFont="1" applyAlignment="1">
      <alignment horizontal="center"/>
    </xf>
    <xf numFmtId="0" fontId="8" fillId="0" borderId="42" xfId="0" applyFont="1" applyBorder="1" applyProtection="1">
      <protection hidden="1"/>
    </xf>
    <xf numFmtId="0" fontId="7" fillId="0" borderId="43" xfId="0" applyFont="1" applyBorder="1" applyProtection="1">
      <protection hidden="1"/>
    </xf>
    <xf numFmtId="49" fontId="8" fillId="0" borderId="43" xfId="0" applyNumberFormat="1" applyFont="1" applyBorder="1" applyProtection="1">
      <protection hidden="1"/>
    </xf>
    <xf numFmtId="0" fontId="7" fillId="0" borderId="43" xfId="0" applyFont="1" applyBorder="1" applyAlignment="1" applyProtection="1">
      <alignment horizontal="center" vertical="center"/>
      <protection hidden="1"/>
    </xf>
    <xf numFmtId="49" fontId="8" fillId="0" borderId="43" xfId="0" applyNumberFormat="1" applyFont="1" applyBorder="1" applyAlignment="1">
      <alignment horizontal="center" vertical="center"/>
    </xf>
    <xf numFmtId="0" fontId="8" fillId="0" borderId="44" xfId="0" applyFont="1" applyBorder="1"/>
    <xf numFmtId="49" fontId="7" fillId="0" borderId="40" xfId="0" applyNumberFormat="1" applyFont="1" applyBorder="1" applyAlignment="1" applyProtection="1">
      <alignment vertical="center" wrapText="1"/>
      <protection hidden="1"/>
    </xf>
    <xf numFmtId="49" fontId="7" fillId="0" borderId="40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vertical="center" wrapText="1"/>
    </xf>
    <xf numFmtId="49" fontId="7" fillId="0" borderId="14" xfId="0" applyNumberFormat="1" applyFont="1" applyBorder="1" applyAlignment="1" applyProtection="1">
      <alignment horizontal="left" vertical="center"/>
      <protection hidden="1"/>
    </xf>
    <xf numFmtId="0" fontId="7" fillId="0" borderId="14" xfId="0" applyFont="1" applyBorder="1" applyProtection="1">
      <protection hidden="1"/>
    </xf>
    <xf numFmtId="0" fontId="8" fillId="0" borderId="11" xfId="0" applyFont="1" applyBorder="1" applyAlignment="1" applyProtection="1">
      <alignment horizontal="left"/>
      <protection hidden="1"/>
    </xf>
    <xf numFmtId="0" fontId="7" fillId="0" borderId="40" xfId="0" applyFont="1" applyBorder="1" applyAlignment="1" applyProtection="1">
      <alignment vertical="center" wrapText="1"/>
      <protection hidden="1"/>
    </xf>
    <xf numFmtId="0" fontId="7" fillId="0" borderId="40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26" fillId="0" borderId="11" xfId="0" applyFont="1" applyBorder="1" applyProtection="1"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42" xfId="0" applyFont="1" applyBorder="1" applyAlignment="1" applyProtection="1">
      <alignment vertical="center"/>
      <protection hidden="1"/>
    </xf>
    <xf numFmtId="0" fontId="26" fillId="0" borderId="14" xfId="0" applyFont="1" applyBorder="1" applyProtection="1">
      <protection hidden="1"/>
    </xf>
    <xf numFmtId="0" fontId="7" fillId="0" borderId="40" xfId="0" applyFont="1" applyBorder="1" applyAlignment="1" applyProtection="1">
      <alignment wrapText="1"/>
      <protection hidden="1"/>
    </xf>
    <xf numFmtId="0" fontId="26" fillId="0" borderId="11" xfId="0" applyFont="1" applyBorder="1" applyAlignment="1" applyProtection="1">
      <alignment horizontal="left" vertical="center"/>
      <protection hidden="1"/>
    </xf>
    <xf numFmtId="0" fontId="6" fillId="0" borderId="42" xfId="0" applyFont="1" applyBorder="1" applyProtection="1">
      <protection hidden="1"/>
    </xf>
    <xf numFmtId="0" fontId="6" fillId="0" borderId="43" xfId="0" applyFont="1" applyBorder="1" applyProtection="1">
      <protection hidden="1"/>
    </xf>
    <xf numFmtId="49" fontId="5" fillId="0" borderId="43" xfId="0" applyNumberFormat="1" applyFont="1" applyBorder="1" applyProtection="1">
      <protection hidden="1"/>
    </xf>
    <xf numFmtId="49" fontId="5" fillId="0" borderId="43" xfId="0" applyNumberFormat="1" applyFont="1" applyBorder="1"/>
    <xf numFmtId="0" fontId="5" fillId="0" borderId="44" xfId="0" applyFont="1" applyBorder="1"/>
    <xf numFmtId="0" fontId="0" fillId="0" borderId="0" xfId="0" applyProtection="1">
      <protection hidden="1"/>
    </xf>
    <xf numFmtId="0" fontId="28" fillId="0" borderId="0" xfId="0" applyFont="1" applyAlignment="1" applyProtection="1">
      <alignment vertical="center"/>
      <protection hidden="1"/>
    </xf>
    <xf numFmtId="0" fontId="29" fillId="0" borderId="0" xfId="0" applyFont="1" applyProtection="1">
      <protection hidden="1"/>
    </xf>
    <xf numFmtId="0" fontId="30" fillId="0" borderId="0" xfId="0" applyFont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left" vertical="center"/>
      <protection hidden="1"/>
    </xf>
    <xf numFmtId="0" fontId="32" fillId="0" borderId="0" xfId="0" applyFont="1" applyProtection="1">
      <protection hidden="1"/>
    </xf>
    <xf numFmtId="0" fontId="32" fillId="0" borderId="0" xfId="0" applyFont="1" applyAlignment="1" applyProtection="1">
      <alignment horizontal="right"/>
      <protection hidden="1"/>
    </xf>
    <xf numFmtId="0" fontId="32" fillId="0" borderId="0" xfId="0" applyFont="1" applyAlignment="1" applyProtection="1">
      <alignment vertical="center"/>
      <protection hidden="1"/>
    </xf>
    <xf numFmtId="0" fontId="32" fillId="0" borderId="19" xfId="0" applyFont="1" applyBorder="1" applyAlignment="1" applyProtection="1">
      <alignment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/>
      <protection hidden="1"/>
    </xf>
    <xf numFmtId="0" fontId="32" fillId="0" borderId="0" xfId="0" applyFont="1" applyAlignment="1" applyProtection="1">
      <alignment horizontal="left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5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right"/>
      <protection hidden="1"/>
    </xf>
    <xf numFmtId="0" fontId="26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horizontal="right" vertical="center"/>
      <protection hidden="1"/>
    </xf>
    <xf numFmtId="0" fontId="32" fillId="0" borderId="2" xfId="0" applyFont="1" applyBorder="1" applyAlignment="1" applyProtection="1">
      <alignment horizontal="center"/>
      <protection hidden="1"/>
    </xf>
    <xf numFmtId="0" fontId="36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horizontal="left"/>
      <protection hidden="1"/>
    </xf>
    <xf numFmtId="0" fontId="37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38" fillId="0" borderId="0" xfId="0" applyFont="1" applyProtection="1">
      <protection hidden="1"/>
    </xf>
    <xf numFmtId="0" fontId="36" fillId="0" borderId="46" xfId="0" applyFont="1" applyBorder="1" applyAlignment="1" applyProtection="1">
      <alignment horizontal="center"/>
      <protection hidden="1"/>
    </xf>
    <xf numFmtId="0" fontId="36" fillId="0" borderId="46" xfId="0" applyFont="1" applyBorder="1" applyProtection="1">
      <protection hidden="1"/>
    </xf>
    <xf numFmtId="0" fontId="36" fillId="0" borderId="47" xfId="0" applyFont="1" applyBorder="1" applyProtection="1">
      <protection hidden="1"/>
    </xf>
    <xf numFmtId="0" fontId="36" fillId="0" borderId="0" xfId="0" applyFont="1" applyAlignment="1" applyProtection="1">
      <alignment horizontal="center"/>
      <protection hidden="1"/>
    </xf>
    <xf numFmtId="0" fontId="36" fillId="0" borderId="0" xfId="0" applyFont="1" applyAlignment="1" applyProtection="1">
      <alignment horizontal="right"/>
      <protection hidden="1"/>
    </xf>
    <xf numFmtId="0" fontId="36" fillId="0" borderId="26" xfId="0" applyFont="1" applyBorder="1" applyProtection="1">
      <protection hidden="1"/>
    </xf>
    <xf numFmtId="0" fontId="36" fillId="0" borderId="0" xfId="0" applyFont="1" applyAlignment="1" applyProtection="1">
      <alignment horizontal="center" vertical="center" wrapText="1"/>
      <protection hidden="1"/>
    </xf>
    <xf numFmtId="2" fontId="36" fillId="0" borderId="2" xfId="0" applyNumberFormat="1" applyFont="1" applyBorder="1" applyAlignment="1" applyProtection="1">
      <alignment horizontal="right" vertical="center" wrapText="1"/>
      <protection hidden="1"/>
    </xf>
    <xf numFmtId="0" fontId="36" fillId="0" borderId="36" xfId="0" applyFont="1" applyBorder="1" applyAlignment="1" applyProtection="1">
      <alignment horizontal="center" vertical="center" wrapText="1"/>
      <protection hidden="1"/>
    </xf>
    <xf numFmtId="0" fontId="38" fillId="0" borderId="0" xfId="0" applyFont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horizontal="left" vertical="center"/>
      <protection hidden="1"/>
    </xf>
    <xf numFmtId="0" fontId="39" fillId="0" borderId="0" xfId="0" applyFont="1" applyAlignment="1" applyProtection="1">
      <alignment horizontal="left"/>
      <protection hidden="1"/>
    </xf>
    <xf numFmtId="0" fontId="36" fillId="0" borderId="0" xfId="0" applyFont="1" applyAlignment="1" applyProtection="1">
      <alignment vertical="center"/>
      <protection hidden="1"/>
    </xf>
    <xf numFmtId="0" fontId="40" fillId="0" borderId="0" xfId="0" applyFont="1" applyAlignment="1" applyProtection="1">
      <alignment vertical="center" shrinkToFit="1"/>
      <protection hidden="1"/>
    </xf>
    <xf numFmtId="0" fontId="41" fillId="0" borderId="0" xfId="0" applyFont="1" applyAlignment="1" applyProtection="1">
      <alignment vertical="center" shrinkToFit="1"/>
      <protection hidden="1"/>
    </xf>
    <xf numFmtId="0" fontId="38" fillId="0" borderId="0" xfId="0" applyFont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left" vertical="center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42" fillId="0" borderId="0" xfId="0" applyFont="1" applyAlignment="1" applyProtection="1">
      <alignment horizontal="left" vertical="center"/>
      <protection hidden="1"/>
    </xf>
    <xf numFmtId="0" fontId="43" fillId="0" borderId="0" xfId="0" applyFont="1" applyAlignment="1" applyProtection="1">
      <alignment horizontal="left" vertical="center"/>
      <protection hidden="1"/>
    </xf>
    <xf numFmtId="2" fontId="36" fillId="0" borderId="0" xfId="0" applyNumberFormat="1" applyFont="1" applyAlignment="1" applyProtection="1">
      <alignment horizontal="center"/>
      <protection hidden="1"/>
    </xf>
    <xf numFmtId="0" fontId="44" fillId="0" borderId="0" xfId="0" applyFont="1" applyProtection="1">
      <protection hidden="1"/>
    </xf>
    <xf numFmtId="0" fontId="44" fillId="0" borderId="0" xfId="0" applyFont="1" applyAlignment="1" applyProtection="1">
      <alignment horizontal="left"/>
      <protection hidden="1"/>
    </xf>
    <xf numFmtId="0" fontId="38" fillId="0" borderId="0" xfId="0" applyFont="1" applyAlignment="1" applyProtection="1">
      <alignment horizontal="left"/>
      <protection hidden="1"/>
    </xf>
    <xf numFmtId="0" fontId="44" fillId="0" borderId="0" xfId="0" applyFont="1" applyAlignment="1" applyProtection="1">
      <alignment vertical="center"/>
      <protection hidden="1"/>
    </xf>
    <xf numFmtId="0" fontId="44" fillId="0" borderId="0" xfId="0" applyFont="1" applyAlignment="1" applyProtection="1">
      <alignment horizontal="left" vertical="center"/>
      <protection hidden="1"/>
    </xf>
    <xf numFmtId="2" fontId="36" fillId="0" borderId="0" xfId="0" applyNumberFormat="1" applyFont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left" vertical="center"/>
      <protection hidden="1"/>
    </xf>
    <xf numFmtId="0" fontId="36" fillId="0" borderId="0" xfId="0" applyFont="1" applyAlignment="1" applyProtection="1">
      <alignment horizontal="right" vertical="center"/>
      <protection hidden="1"/>
    </xf>
    <xf numFmtId="2" fontId="36" fillId="0" borderId="0" xfId="0" applyNumberFormat="1" applyFont="1" applyAlignment="1" applyProtection="1">
      <alignment horizontal="right" vertical="center"/>
      <protection hidden="1"/>
    </xf>
    <xf numFmtId="0" fontId="37" fillId="0" borderId="0" xfId="0" applyFont="1" applyAlignment="1" applyProtection="1">
      <alignment horizontal="left" vertical="center"/>
      <protection hidden="1"/>
    </xf>
    <xf numFmtId="2" fontId="36" fillId="0" borderId="0" xfId="0" applyNumberFormat="1" applyFont="1" applyAlignment="1" applyProtection="1">
      <alignment horizontal="right"/>
      <protection hidden="1"/>
    </xf>
    <xf numFmtId="0" fontId="42" fillId="0" borderId="0" xfId="0" applyFont="1" applyAlignment="1" applyProtection="1">
      <alignment vertical="center"/>
      <protection hidden="1"/>
    </xf>
    <xf numFmtId="0" fontId="39" fillId="0" borderId="0" xfId="0" applyFont="1" applyAlignment="1" applyProtection="1">
      <alignment vertical="center"/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0" fontId="46" fillId="0" borderId="0" xfId="0" applyFont="1" applyAlignment="1" applyProtection="1">
      <alignment horizontal="left" vertical="center" wrapText="1"/>
      <protection hidden="1"/>
    </xf>
    <xf numFmtId="0" fontId="36" fillId="0" borderId="0" xfId="0" applyFont="1" applyAlignment="1" applyProtection="1">
      <alignment vertical="center" wrapText="1"/>
      <protection hidden="1"/>
    </xf>
    <xf numFmtId="0" fontId="36" fillId="0" borderId="0" xfId="0" applyFont="1" applyAlignment="1" applyProtection="1">
      <alignment horizontal="left" wrapText="1"/>
      <protection hidden="1"/>
    </xf>
    <xf numFmtId="0" fontId="36" fillId="0" borderId="0" xfId="0" applyFont="1" applyAlignment="1" applyProtection="1">
      <alignment horizontal="center" wrapText="1"/>
      <protection hidden="1"/>
    </xf>
    <xf numFmtId="0" fontId="36" fillId="0" borderId="0" xfId="0" applyFont="1" applyAlignment="1" applyProtection="1">
      <alignment horizontal="left" vertical="center" wrapText="1"/>
      <protection hidden="1"/>
    </xf>
    <xf numFmtId="0" fontId="43" fillId="0" borderId="0" xfId="0" applyFont="1" applyAlignment="1" applyProtection="1">
      <alignment horizontal="left" vertical="center" wrapText="1"/>
      <protection hidden="1"/>
    </xf>
    <xf numFmtId="0" fontId="45" fillId="0" borderId="0" xfId="0" applyFont="1" applyAlignment="1" applyProtection="1">
      <alignment vertical="center" wrapText="1"/>
      <protection hidden="1"/>
    </xf>
    <xf numFmtId="0" fontId="42" fillId="0" borderId="0" xfId="0" applyFont="1" applyAlignment="1" applyProtection="1">
      <alignment horizontal="left" vertical="center" wrapText="1"/>
      <protection hidden="1"/>
    </xf>
    <xf numFmtId="0" fontId="36" fillId="0" borderId="0" xfId="0" applyFont="1" applyAlignment="1" applyProtection="1">
      <alignment horizontal="left" vertical="top" wrapText="1"/>
      <protection hidden="1"/>
    </xf>
    <xf numFmtId="0" fontId="36" fillId="0" borderId="0" xfId="0" applyFont="1" applyAlignment="1" applyProtection="1">
      <alignment horizontal="left" vertical="top"/>
      <protection hidden="1"/>
    </xf>
    <xf numFmtId="0" fontId="38" fillId="0" borderId="0" xfId="0" applyFont="1" applyAlignment="1" applyProtection="1">
      <alignment vertical="center"/>
      <protection hidden="1"/>
    </xf>
    <xf numFmtId="49" fontId="36" fillId="0" borderId="0" xfId="0" applyNumberFormat="1" applyFont="1" applyAlignment="1" applyProtection="1">
      <alignment horizontal="left" vertical="center"/>
      <protection hidden="1"/>
    </xf>
    <xf numFmtId="0" fontId="47" fillId="0" borderId="0" xfId="0" applyFont="1" applyProtection="1">
      <protection hidden="1"/>
    </xf>
    <xf numFmtId="0" fontId="48" fillId="0" borderId="0" xfId="0" applyFont="1" applyAlignment="1" applyProtection="1">
      <alignment horizontal="center"/>
      <protection hidden="1"/>
    </xf>
    <xf numFmtId="0" fontId="48" fillId="0" borderId="0" xfId="0" applyFont="1" applyProtection="1">
      <protection hidden="1"/>
    </xf>
    <xf numFmtId="0" fontId="36" fillId="0" borderId="0" xfId="0" applyFont="1" applyAlignment="1" applyProtection="1">
      <alignment horizontal="center" vertical="top"/>
      <protection hidden="1"/>
    </xf>
    <xf numFmtId="0" fontId="48" fillId="0" borderId="0" xfId="0" applyFont="1" applyAlignment="1" applyProtection="1">
      <alignment horizontal="left" vertical="center"/>
      <protection hidden="1"/>
    </xf>
    <xf numFmtId="0" fontId="37" fillId="0" borderId="0" xfId="0" applyFont="1" applyProtection="1">
      <protection hidden="1"/>
    </xf>
    <xf numFmtId="0" fontId="36" fillId="0" borderId="0" xfId="0" applyFont="1" applyAlignment="1" applyProtection="1">
      <alignment wrapText="1"/>
      <protection hidden="1"/>
    </xf>
    <xf numFmtId="0" fontId="42" fillId="0" borderId="0" xfId="0" applyFont="1" applyAlignment="1" applyProtection="1">
      <alignment horizontal="left" wrapText="1"/>
      <protection hidden="1"/>
    </xf>
    <xf numFmtId="0" fontId="49" fillId="0" borderId="0" xfId="0" applyFont="1" applyAlignment="1" applyProtection="1">
      <alignment horizontal="left"/>
      <protection hidden="1"/>
    </xf>
    <xf numFmtId="0" fontId="48" fillId="0" borderId="0" xfId="0" applyFont="1" applyAlignment="1" applyProtection="1">
      <alignment horizontal="left"/>
      <protection hidden="1"/>
    </xf>
    <xf numFmtId="0" fontId="45" fillId="0" borderId="0" xfId="0" applyFont="1" applyAlignment="1" applyProtection="1">
      <alignment horizontal="left" vertical="center" wrapText="1"/>
      <protection hidden="1"/>
    </xf>
    <xf numFmtId="0" fontId="37" fillId="0" borderId="0" xfId="0" applyFont="1" applyAlignment="1" applyProtection="1">
      <alignment wrapText="1"/>
      <protection hidden="1"/>
    </xf>
    <xf numFmtId="0" fontId="44" fillId="0" borderId="0" xfId="0" applyFont="1" applyAlignment="1" applyProtection="1">
      <alignment horizontal="left" vertical="center" wrapText="1"/>
      <protection hidden="1"/>
    </xf>
    <xf numFmtId="0" fontId="37" fillId="0" borderId="0" xfId="0" applyFont="1" applyAlignment="1" applyProtection="1">
      <alignment horizontal="left" wrapText="1"/>
      <protection hidden="1"/>
    </xf>
    <xf numFmtId="0" fontId="37" fillId="0" borderId="0" xfId="0" applyFont="1" applyAlignment="1" applyProtection="1">
      <alignment horizontal="left"/>
      <protection hidden="1"/>
    </xf>
    <xf numFmtId="0" fontId="49" fillId="0" borderId="0" xfId="0" applyFont="1" applyAlignment="1" applyProtection="1">
      <alignment vertical="center"/>
      <protection hidden="1"/>
    </xf>
    <xf numFmtId="0" fontId="36" fillId="0" borderId="40" xfId="0" applyFont="1" applyBorder="1" applyProtection="1">
      <protection hidden="1"/>
    </xf>
    <xf numFmtId="0" fontId="36" fillId="0" borderId="43" xfId="0" applyFont="1" applyBorder="1" applyProtection="1">
      <protection hidden="1"/>
    </xf>
    <xf numFmtId="0" fontId="50" fillId="0" borderId="0" xfId="0" applyFont="1" applyProtection="1">
      <protection hidden="1"/>
    </xf>
    <xf numFmtId="0" fontId="44" fillId="0" borderId="0" xfId="0" applyFont="1" applyAlignment="1" applyProtection="1">
      <alignment horizontal="center" vertical="center" wrapText="1"/>
      <protection hidden="1"/>
    </xf>
    <xf numFmtId="0" fontId="42" fillId="0" borderId="0" xfId="0" applyFont="1" applyAlignment="1" applyProtection="1">
      <alignment horizontal="left"/>
      <protection hidden="1"/>
    </xf>
    <xf numFmtId="0" fontId="50" fillId="0" borderId="0" xfId="0" applyFont="1" applyAlignment="1" applyProtection="1">
      <alignment horizontal="left" vertical="center"/>
      <protection hidden="1"/>
    </xf>
    <xf numFmtId="0" fontId="49" fillId="0" borderId="0" xfId="0" applyFont="1" applyAlignment="1" applyProtection="1">
      <alignment horizontal="left" vertical="center"/>
      <protection hidden="1"/>
    </xf>
    <xf numFmtId="0" fontId="36" fillId="0" borderId="43" xfId="0" applyFont="1" applyBorder="1" applyAlignment="1" applyProtection="1">
      <alignment horizontal="left"/>
      <protection hidden="1"/>
    </xf>
    <xf numFmtId="0" fontId="36" fillId="0" borderId="43" xfId="0" applyFont="1" applyBorder="1" applyAlignment="1" applyProtection="1">
      <alignment horizontal="center" vertical="center" wrapText="1"/>
      <protection hidden="1"/>
    </xf>
    <xf numFmtId="0" fontId="52" fillId="0" borderId="0" xfId="0" applyFont="1" applyProtection="1">
      <protection hidden="1"/>
    </xf>
    <xf numFmtId="0" fontId="52" fillId="0" borderId="0" xfId="0" applyFont="1" applyAlignment="1" applyProtection="1">
      <alignment horizontal="left"/>
      <protection hidden="1"/>
    </xf>
    <xf numFmtId="0" fontId="36" fillId="0" borderId="43" xfId="0" applyFont="1" applyBorder="1" applyAlignment="1" applyProtection="1">
      <alignment vertical="center" wrapText="1"/>
      <protection hidden="1"/>
    </xf>
    <xf numFmtId="0" fontId="53" fillId="0" borderId="0" xfId="0" applyFont="1" applyProtection="1">
      <protection hidden="1"/>
    </xf>
    <xf numFmtId="0" fontId="52" fillId="0" borderId="0" xfId="0" applyFont="1" applyAlignment="1" applyProtection="1">
      <alignment vertical="center" wrapText="1"/>
      <protection hidden="1"/>
    </xf>
    <xf numFmtId="1" fontId="36" fillId="0" borderId="43" xfId="0" applyNumberFormat="1" applyFont="1" applyBorder="1" applyAlignment="1" applyProtection="1">
      <alignment horizontal="center" vertical="center" wrapText="1"/>
      <protection hidden="1"/>
    </xf>
    <xf numFmtId="1" fontId="36" fillId="0" borderId="43" xfId="0" applyNumberFormat="1" applyFont="1" applyBorder="1" applyAlignment="1" applyProtection="1">
      <alignment vertical="center" wrapText="1"/>
      <protection hidden="1"/>
    </xf>
    <xf numFmtId="166" fontId="36" fillId="0" borderId="43" xfId="0" applyNumberFormat="1" applyFont="1" applyBorder="1" applyAlignment="1" applyProtection="1">
      <alignment vertical="center" wrapText="1"/>
      <protection hidden="1"/>
    </xf>
    <xf numFmtId="2" fontId="36" fillId="0" borderId="43" xfId="0" applyNumberFormat="1" applyFont="1" applyBorder="1" applyAlignment="1" applyProtection="1">
      <alignment vertical="center" wrapText="1"/>
      <protection hidden="1"/>
    </xf>
    <xf numFmtId="1" fontId="36" fillId="0" borderId="0" xfId="0" applyNumberFormat="1" applyFont="1" applyAlignment="1" applyProtection="1">
      <alignment horizontal="center" vertical="center"/>
      <protection hidden="1"/>
    </xf>
    <xf numFmtId="0" fontId="36" fillId="0" borderId="43" xfId="0" applyFont="1" applyBorder="1" applyAlignment="1" applyProtection="1">
      <alignment vertical="center"/>
      <protection hidden="1"/>
    </xf>
    <xf numFmtId="1" fontId="36" fillId="0" borderId="43" xfId="0" applyNumberFormat="1" applyFont="1" applyBorder="1" applyAlignment="1" applyProtection="1">
      <alignment horizontal="center" vertical="center"/>
      <protection hidden="1"/>
    </xf>
    <xf numFmtId="1" fontId="36" fillId="0" borderId="43" xfId="0" applyNumberFormat="1" applyFont="1" applyBorder="1" applyAlignment="1" applyProtection="1">
      <alignment horizontal="left"/>
      <protection hidden="1"/>
    </xf>
    <xf numFmtId="3" fontId="36" fillId="0" borderId="0" xfId="0" applyNumberFormat="1" applyFont="1" applyAlignment="1" applyProtection="1">
      <alignment vertical="center" wrapText="1"/>
      <protection hidden="1"/>
    </xf>
    <xf numFmtId="3" fontId="36" fillId="0" borderId="0" xfId="0" applyNumberFormat="1" applyFont="1" applyAlignment="1" applyProtection="1">
      <alignment horizontal="center" vertical="center" wrapText="1"/>
      <protection hidden="1"/>
    </xf>
    <xf numFmtId="3" fontId="36" fillId="0" borderId="0" xfId="0" applyNumberFormat="1" applyFont="1" applyAlignment="1" applyProtection="1">
      <alignment horizontal="center" vertical="center"/>
      <protection hidden="1"/>
    </xf>
    <xf numFmtId="2" fontId="36" fillId="0" borderId="0" xfId="0" applyNumberFormat="1" applyFont="1" applyAlignment="1" applyProtection="1">
      <alignment vertical="center" wrapText="1"/>
      <protection hidden="1"/>
    </xf>
    <xf numFmtId="1" fontId="36" fillId="0" borderId="43" xfId="0" applyNumberFormat="1" applyFont="1" applyBorder="1" applyProtection="1">
      <protection hidden="1"/>
    </xf>
    <xf numFmtId="1" fontId="36" fillId="0" borderId="43" xfId="0" applyNumberFormat="1" applyFont="1" applyBorder="1" applyAlignment="1" applyProtection="1">
      <alignment vertical="center"/>
      <protection hidden="1"/>
    </xf>
    <xf numFmtId="1" fontId="36" fillId="0" borderId="0" xfId="0" applyNumberFormat="1" applyFont="1" applyAlignment="1" applyProtection="1">
      <alignment vertical="center"/>
      <protection hidden="1"/>
    </xf>
    <xf numFmtId="0" fontId="44" fillId="0" borderId="0" xfId="0" applyFont="1" applyAlignment="1" applyProtection="1">
      <alignment vertical="top"/>
      <protection hidden="1"/>
    </xf>
    <xf numFmtId="2" fontId="36" fillId="0" borderId="0" xfId="0" applyNumberFormat="1" applyFont="1" applyAlignment="1" applyProtection="1">
      <alignment vertical="center"/>
      <protection hidden="1"/>
    </xf>
    <xf numFmtId="1" fontId="36" fillId="0" borderId="0" xfId="0" applyNumberFormat="1" applyFont="1" applyAlignment="1" applyProtection="1">
      <alignment vertical="center" wrapText="1"/>
      <protection hidden="1"/>
    </xf>
    <xf numFmtId="168" fontId="36" fillId="0" borderId="0" xfId="0" applyNumberFormat="1" applyFont="1" applyAlignment="1" applyProtection="1">
      <alignment horizontal="center" vertical="center" wrapText="1"/>
      <protection hidden="1"/>
    </xf>
    <xf numFmtId="0" fontId="47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43" fillId="0" borderId="0" xfId="0" applyFont="1" applyProtection="1">
      <protection hidden="1"/>
    </xf>
    <xf numFmtId="0" fontId="36" fillId="0" borderId="43" xfId="0" applyFont="1" applyBorder="1" applyAlignment="1" applyProtection="1">
      <alignment horizontal="left" vertical="center" wrapText="1"/>
      <protection hidden="1"/>
    </xf>
    <xf numFmtId="0" fontId="36" fillId="0" borderId="43" xfId="0" applyFont="1" applyBorder="1" applyAlignment="1" applyProtection="1">
      <alignment horizontal="left" vertical="center"/>
      <protection hidden="1"/>
    </xf>
    <xf numFmtId="0" fontId="36" fillId="0" borderId="43" xfId="0" applyFont="1" applyBorder="1" applyAlignment="1" applyProtection="1">
      <alignment horizontal="center" vertical="center"/>
      <protection hidden="1"/>
    </xf>
    <xf numFmtId="0" fontId="37" fillId="0" borderId="43" xfId="0" applyFont="1" applyBorder="1" applyAlignment="1" applyProtection="1">
      <alignment horizontal="center"/>
      <protection hidden="1"/>
    </xf>
    <xf numFmtId="0" fontId="37" fillId="0" borderId="43" xfId="0" applyFont="1" applyBorder="1" applyAlignment="1" applyProtection="1">
      <alignment horizontal="left"/>
      <protection hidden="1"/>
    </xf>
    <xf numFmtId="0" fontId="36" fillId="0" borderId="0" xfId="0" applyFont="1" applyAlignment="1" applyProtection="1">
      <alignment vertical="top"/>
      <protection hidden="1"/>
    </xf>
    <xf numFmtId="0" fontId="38" fillId="0" borderId="0" xfId="0" applyFont="1" applyAlignment="1" applyProtection="1">
      <alignment horizontal="center" wrapText="1"/>
      <protection hidden="1"/>
    </xf>
    <xf numFmtId="2" fontId="37" fillId="0" borderId="0" xfId="0" applyNumberFormat="1" applyFont="1" applyAlignment="1" applyProtection="1">
      <alignment horizontal="left"/>
      <protection hidden="1"/>
    </xf>
    <xf numFmtId="2" fontId="36" fillId="0" borderId="0" xfId="0" applyNumberFormat="1" applyFont="1" applyProtection="1">
      <protection hidden="1"/>
    </xf>
    <xf numFmtId="0" fontId="38" fillId="0" borderId="43" xfId="0" applyFont="1" applyBorder="1" applyAlignment="1" applyProtection="1">
      <alignment horizontal="left"/>
      <protection hidden="1"/>
    </xf>
    <xf numFmtId="2" fontId="36" fillId="0" borderId="43" xfId="0" applyNumberFormat="1" applyFont="1" applyBorder="1" applyProtection="1">
      <protection hidden="1"/>
    </xf>
    <xf numFmtId="0" fontId="36" fillId="0" borderId="0" xfId="0" applyFont="1" applyAlignment="1" applyProtection="1">
      <alignment horizontal="right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2" fillId="0" borderId="0" xfId="0" applyFont="1" applyProtection="1">
      <protection hidden="1"/>
    </xf>
    <xf numFmtId="0" fontId="36" fillId="0" borderId="46" xfId="0" applyFont="1" applyBorder="1" applyAlignment="1" applyProtection="1">
      <alignment vertical="center" wrapText="1"/>
      <protection hidden="1"/>
    </xf>
    <xf numFmtId="0" fontId="36" fillId="0" borderId="46" xfId="0" applyFont="1" applyBorder="1" applyAlignment="1" applyProtection="1">
      <alignment vertical="center"/>
      <protection hidden="1"/>
    </xf>
    <xf numFmtId="0" fontId="28" fillId="0" borderId="0" xfId="0" applyFont="1" applyAlignment="1" applyProtection="1">
      <alignment horizontal="center" vertical="center" wrapText="1"/>
      <protection hidden="1"/>
    </xf>
    <xf numFmtId="49" fontId="32" fillId="0" borderId="0" xfId="0" applyNumberFormat="1" applyFont="1" applyAlignment="1" applyProtection="1">
      <alignment horizontal="left"/>
      <protection hidden="1"/>
    </xf>
    <xf numFmtId="0" fontId="32" fillId="0" borderId="0" xfId="0" applyFont="1" applyAlignment="1" applyProtection="1">
      <alignment vertical="top"/>
      <protection hidden="1"/>
    </xf>
    <xf numFmtId="0" fontId="51" fillId="0" borderId="0" xfId="0" applyFont="1" applyProtection="1">
      <protection hidden="1"/>
    </xf>
    <xf numFmtId="0" fontId="29" fillId="0" borderId="34" xfId="0" applyFont="1" applyBorder="1" applyProtection="1">
      <protection hidden="1"/>
    </xf>
    <xf numFmtId="0" fontId="29" fillId="0" borderId="48" xfId="0" applyFont="1" applyBorder="1" applyProtection="1"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7" fillId="0" borderId="0" xfId="0" applyFont="1" applyAlignment="1" applyProtection="1">
      <alignment horizontal="center"/>
      <protection hidden="1"/>
    </xf>
    <xf numFmtId="2" fontId="36" fillId="0" borderId="0" xfId="0" applyNumberFormat="1" applyFont="1" applyAlignment="1" applyProtection="1">
      <alignment horizontal="left" vertical="center" wrapText="1"/>
      <protection hidden="1"/>
    </xf>
    <xf numFmtId="0" fontId="43" fillId="0" borderId="0" xfId="0" applyFont="1" applyAlignment="1" applyProtection="1">
      <alignment horizontal="left"/>
      <protection hidden="1"/>
    </xf>
    <xf numFmtId="0" fontId="37" fillId="0" borderId="0" xfId="0" applyFont="1" applyAlignment="1" applyProtection="1">
      <alignment horizontal="center" vertical="top"/>
      <protection hidden="1"/>
    </xf>
    <xf numFmtId="0" fontId="56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horizontal="left" vertical="center"/>
      <protection hidden="1"/>
    </xf>
    <xf numFmtId="49" fontId="32" fillId="0" borderId="0" xfId="0" applyNumberFormat="1" applyFont="1" applyAlignment="1" applyProtection="1">
      <alignment horizontal="left" vertical="center"/>
      <protection hidden="1"/>
    </xf>
    <xf numFmtId="0" fontId="51" fillId="0" borderId="0" xfId="0" applyFont="1" applyAlignment="1" applyProtection="1">
      <alignment vertical="center"/>
      <protection hidden="1"/>
    </xf>
    <xf numFmtId="0" fontId="29" fillId="0" borderId="34" xfId="0" applyFont="1" applyBorder="1" applyAlignment="1" applyProtection="1">
      <alignment vertical="center"/>
      <protection hidden="1"/>
    </xf>
    <xf numFmtId="0" fontId="29" fillId="0" borderId="48" xfId="0" applyFont="1" applyBorder="1" applyAlignment="1" applyProtection="1">
      <alignment vertical="center"/>
      <protection hidden="1"/>
    </xf>
    <xf numFmtId="0" fontId="29" fillId="0" borderId="49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39" fillId="0" borderId="0" xfId="0" applyFont="1" applyAlignment="1" applyProtection="1">
      <alignment horizontal="left" vertical="center"/>
      <protection hidden="1"/>
    </xf>
    <xf numFmtId="0" fontId="57" fillId="0" borderId="0" xfId="0" applyFont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right" vertical="center"/>
      <protection hidden="1"/>
    </xf>
    <xf numFmtId="0" fontId="57" fillId="0" borderId="0" xfId="0" applyFont="1" applyAlignment="1" applyProtection="1">
      <alignment vertical="center"/>
      <protection hidden="1"/>
    </xf>
    <xf numFmtId="0" fontId="32" fillId="0" borderId="36" xfId="0" applyFont="1" applyBorder="1" applyProtection="1">
      <protection hidden="1"/>
    </xf>
    <xf numFmtId="0" fontId="32" fillId="0" borderId="0" xfId="0" applyFont="1" applyAlignment="1" applyProtection="1">
      <alignment vertical="center" wrapText="1"/>
      <protection hidden="1"/>
    </xf>
    <xf numFmtId="0" fontId="32" fillId="0" borderId="19" xfId="0" applyFont="1" applyBorder="1" applyAlignment="1" applyProtection="1">
      <alignment vertical="center" wrapText="1"/>
      <protection hidden="1"/>
    </xf>
    <xf numFmtId="2" fontId="32" fillId="0" borderId="40" xfId="0" applyNumberFormat="1" applyFont="1" applyBorder="1" applyAlignment="1" applyProtection="1">
      <alignment vertical="center" shrinkToFit="1"/>
      <protection hidden="1"/>
    </xf>
    <xf numFmtId="0" fontId="30" fillId="0" borderId="0" xfId="0" applyFont="1" applyAlignment="1" applyProtection="1">
      <alignment horizontal="left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36" fillId="0" borderId="40" xfId="0" applyFont="1" applyBorder="1" applyAlignment="1" applyProtection="1">
      <alignment vertical="center" wrapText="1"/>
      <protection hidden="1"/>
    </xf>
    <xf numFmtId="0" fontId="32" fillId="0" borderId="0" xfId="0" applyFont="1" applyAlignment="1" applyProtection="1">
      <alignment horizontal="left" vertical="center" wrapText="1"/>
      <protection hidden="1"/>
    </xf>
    <xf numFmtId="0" fontId="36" fillId="0" borderId="0" xfId="0" applyFont="1" applyAlignment="1" applyProtection="1">
      <alignment vertical="top" wrapText="1"/>
      <protection hidden="1"/>
    </xf>
    <xf numFmtId="0" fontId="6" fillId="0" borderId="21" xfId="0" applyFont="1" applyBorder="1"/>
    <xf numFmtId="49" fontId="5" fillId="0" borderId="21" xfId="0" applyNumberFormat="1" applyFont="1" applyBorder="1"/>
    <xf numFmtId="49" fontId="5" fillId="0" borderId="10" xfId="0" applyNumberFormat="1" applyFont="1" applyBorder="1"/>
    <xf numFmtId="0" fontId="6" fillId="0" borderId="2" xfId="0" applyFont="1" applyBorder="1"/>
    <xf numFmtId="0" fontId="5" fillId="0" borderId="2" xfId="0" applyFont="1" applyBorder="1"/>
    <xf numFmtId="0" fontId="5" fillId="0" borderId="8" xfId="0" applyFont="1" applyBorder="1" applyAlignment="1">
      <alignment horizontal="center"/>
    </xf>
    <xf numFmtId="0" fontId="5" fillId="0" borderId="4" xfId="0" applyFont="1" applyBorder="1"/>
    <xf numFmtId="0" fontId="60" fillId="0" borderId="0" xfId="0" applyFont="1"/>
    <xf numFmtId="0" fontId="10" fillId="0" borderId="2" xfId="0" applyFont="1" applyBorder="1"/>
    <xf numFmtId="0" fontId="10" fillId="0" borderId="52" xfId="0" applyFont="1" applyBorder="1"/>
    <xf numFmtId="0" fontId="3" fillId="0" borderId="2" xfId="0" applyFont="1" applyBorder="1"/>
    <xf numFmtId="1" fontId="3" fillId="0" borderId="2" xfId="0" applyNumberFormat="1" applyFont="1" applyBorder="1"/>
    <xf numFmtId="2" fontId="3" fillId="0" borderId="2" xfId="0" applyNumberFormat="1" applyFont="1" applyBorder="1"/>
    <xf numFmtId="0" fontId="3" fillId="0" borderId="2" xfId="0" applyFont="1" applyBorder="1" applyAlignment="1">
      <alignment vertical="top" wrapText="1"/>
    </xf>
    <xf numFmtId="0" fontId="3" fillId="0" borderId="0" xfId="0" applyFont="1"/>
    <xf numFmtId="0" fontId="3" fillId="0" borderId="20" xfId="0" applyFont="1" applyBorder="1"/>
    <xf numFmtId="0" fontId="3" fillId="0" borderId="26" xfId="0" applyFont="1" applyBorder="1"/>
    <xf numFmtId="0" fontId="3" fillId="0" borderId="45" xfId="0" applyFont="1" applyBorder="1"/>
    <xf numFmtId="0" fontId="3" fillId="0" borderId="40" xfId="0" applyFont="1" applyBorder="1"/>
    <xf numFmtId="0" fontId="3" fillId="0" borderId="15" xfId="0" applyFont="1" applyBorder="1"/>
    <xf numFmtId="0" fontId="3" fillId="0" borderId="36" xfId="0" applyFont="1" applyBorder="1"/>
    <xf numFmtId="0" fontId="3" fillId="0" borderId="19" xfId="0" applyFont="1" applyBorder="1"/>
    <xf numFmtId="0" fontId="3" fillId="0" borderId="12" xfId="0" applyFont="1" applyBorder="1"/>
    <xf numFmtId="0" fontId="3" fillId="0" borderId="43" xfId="0" applyFont="1" applyBorder="1"/>
    <xf numFmtId="0" fontId="3" fillId="0" borderId="13" xfId="0" applyFont="1" applyBorder="1"/>
    <xf numFmtId="0" fontId="3" fillId="0" borderId="0" xfId="0" applyFont="1" applyAlignment="1">
      <alignment shrinkToFit="1"/>
    </xf>
    <xf numFmtId="0" fontId="3" fillId="0" borderId="2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46" xfId="0" applyFont="1" applyBorder="1"/>
    <xf numFmtId="0" fontId="3" fillId="0" borderId="47" xfId="0" applyFont="1" applyBorder="1"/>
    <xf numFmtId="166" fontId="3" fillId="0" borderId="2" xfId="0" applyNumberFormat="1" applyFont="1" applyBorder="1"/>
    <xf numFmtId="0" fontId="61" fillId="0" borderId="0" xfId="0" applyFont="1" applyAlignment="1">
      <alignment vertical="center"/>
    </xf>
    <xf numFmtId="0" fontId="10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6" xfId="0" applyFont="1" applyBorder="1"/>
    <xf numFmtId="0" fontId="3" fillId="0" borderId="21" xfId="0" applyFont="1" applyBorder="1"/>
    <xf numFmtId="166" fontId="10" fillId="0" borderId="47" xfId="0" applyNumberFormat="1" applyFont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vertical="center" wrapText="1"/>
    </xf>
    <xf numFmtId="0" fontId="3" fillId="0" borderId="26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6" fontId="3" fillId="0" borderId="0" xfId="0" applyNumberFormat="1" applyFont="1" applyAlignment="1">
      <alignment horizontal="center" vertical="center" wrapText="1"/>
    </xf>
    <xf numFmtId="166" fontId="10" fillId="0" borderId="26" xfId="0" applyNumberFormat="1" applyFont="1" applyBorder="1" applyAlignment="1">
      <alignment vertical="center" wrapText="1"/>
    </xf>
    <xf numFmtId="166" fontId="10" fillId="0" borderId="47" xfId="0" applyNumberFormat="1" applyFont="1" applyBorder="1" applyAlignment="1">
      <alignment vertical="center" wrapText="1"/>
    </xf>
    <xf numFmtId="166" fontId="3" fillId="0" borderId="26" xfId="0" applyNumberFormat="1" applyFont="1" applyBorder="1" applyAlignment="1">
      <alignment vertical="center" wrapText="1"/>
    </xf>
    <xf numFmtId="166" fontId="3" fillId="0" borderId="47" xfId="0" applyNumberFormat="1" applyFont="1" applyBorder="1" applyAlignment="1">
      <alignment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166" fontId="3" fillId="0" borderId="52" xfId="0" applyNumberFormat="1" applyFont="1" applyBorder="1" applyAlignment="1">
      <alignment horizontal="center" vertical="center"/>
    </xf>
    <xf numFmtId="166" fontId="3" fillId="0" borderId="20" xfId="0" applyNumberFormat="1" applyFont="1" applyBorder="1" applyAlignment="1">
      <alignment horizontal="center" vertical="center" wrapText="1"/>
    </xf>
    <xf numFmtId="166" fontId="3" fillId="0" borderId="21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6" xfId="0" applyFont="1" applyBorder="1"/>
    <xf numFmtId="0" fontId="3" fillId="0" borderId="26" xfId="0" applyFont="1" applyBorder="1" applyAlignment="1">
      <alignment horizontal="right"/>
    </xf>
    <xf numFmtId="0" fontId="61" fillId="0" borderId="0" xfId="0" applyFont="1"/>
    <xf numFmtId="0" fontId="3" fillId="0" borderId="2" xfId="0" applyFont="1" applyBorder="1" applyAlignment="1">
      <alignment horizontal="center"/>
    </xf>
    <xf numFmtId="0" fontId="3" fillId="0" borderId="26" xfId="0" applyFont="1" applyBorder="1" applyAlignment="1">
      <alignment horizontal="center" vertical="center" wrapText="1"/>
    </xf>
    <xf numFmtId="167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1" fontId="3" fillId="0" borderId="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1" fontId="3" fillId="0" borderId="52" xfId="0" applyNumberFormat="1" applyFont="1" applyBorder="1" applyAlignment="1">
      <alignment horizontal="center" vertical="center" wrapText="1"/>
    </xf>
    <xf numFmtId="166" fontId="3" fillId="0" borderId="52" xfId="0" applyNumberFormat="1" applyFont="1" applyBorder="1" applyAlignment="1">
      <alignment horizontal="center" vertical="center" wrapText="1"/>
    </xf>
    <xf numFmtId="2" fontId="3" fillId="0" borderId="5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2" fillId="0" borderId="2" xfId="0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/>
    </xf>
    <xf numFmtId="1" fontId="3" fillId="0" borderId="4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1" fillId="0" borderId="26" xfId="0" applyFont="1" applyBorder="1"/>
    <xf numFmtId="0" fontId="63" fillId="0" borderId="2" xfId="0" applyFont="1" applyBorder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5" fillId="0" borderId="0" xfId="0" applyFont="1"/>
    <xf numFmtId="0" fontId="66" fillId="0" borderId="2" xfId="0" applyFont="1" applyBorder="1" applyAlignment="1">
      <alignment horizontal="center" wrapText="1"/>
    </xf>
    <xf numFmtId="0" fontId="63" fillId="0" borderId="2" xfId="0" applyFont="1" applyBorder="1" applyAlignment="1">
      <alignment horizontal="right" vertical="center"/>
    </xf>
    <xf numFmtId="0" fontId="67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63" fillId="0" borderId="2" xfId="0" applyFont="1" applyBorder="1" applyAlignment="1">
      <alignment horizontal="center" wrapText="1"/>
    </xf>
    <xf numFmtId="2" fontId="63" fillId="0" borderId="2" xfId="0" applyNumberFormat="1" applyFont="1" applyBorder="1" applyAlignment="1">
      <alignment horizontal="center" wrapText="1"/>
    </xf>
    <xf numFmtId="0" fontId="3" fillId="0" borderId="20" xfId="0" applyFont="1" applyBorder="1" applyAlignment="1">
      <alignment vertical="center"/>
    </xf>
    <xf numFmtId="1" fontId="3" fillId="0" borderId="0" xfId="0" applyNumberFormat="1" applyFont="1"/>
    <xf numFmtId="0" fontId="67" fillId="0" borderId="0" xfId="0" applyFont="1" applyAlignment="1">
      <alignment vertical="center"/>
    </xf>
    <xf numFmtId="0" fontId="61" fillId="0" borderId="2" xfId="0" applyFont="1" applyBorder="1"/>
    <xf numFmtId="1" fontId="3" fillId="0" borderId="20" xfId="0" applyNumberFormat="1" applyFont="1" applyBorder="1"/>
    <xf numFmtId="0" fontId="3" fillId="0" borderId="20" xfId="0" applyFont="1" applyBorder="1" applyAlignment="1">
      <alignment horizontal="center" vertical="center"/>
    </xf>
    <xf numFmtId="2" fontId="3" fillId="0" borderId="20" xfId="0" applyNumberFormat="1" applyFont="1" applyBorder="1"/>
    <xf numFmtId="0" fontId="68" fillId="12" borderId="53" xfId="0" applyFont="1" applyFill="1" applyBorder="1" applyAlignment="1">
      <alignment vertical="top" wrapText="1"/>
    </xf>
    <xf numFmtId="0" fontId="69" fillId="0" borderId="53" xfId="0" applyFont="1" applyBorder="1" applyAlignment="1">
      <alignment vertical="top" wrapText="1"/>
    </xf>
    <xf numFmtId="0" fontId="70" fillId="13" borderId="53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/>
    </xf>
    <xf numFmtId="0" fontId="0" fillId="0" borderId="3" xfId="0" applyBorder="1"/>
    <xf numFmtId="169" fontId="5" fillId="0" borderId="3" xfId="0" applyNumberFormat="1" applyFont="1" applyBorder="1"/>
    <xf numFmtId="1" fontId="3" fillId="0" borderId="3" xfId="0" applyNumberFormat="1" applyFont="1" applyBorder="1" applyAlignment="1" applyProtection="1">
      <alignment horizontal="center"/>
      <protection locked="0"/>
    </xf>
    <xf numFmtId="169" fontId="5" fillId="0" borderId="3" xfId="0" applyNumberFormat="1" applyFont="1" applyBorder="1" applyAlignment="1">
      <alignment wrapText="1"/>
    </xf>
    <xf numFmtId="0" fontId="6" fillId="5" borderId="18" xfId="0" applyFont="1" applyFill="1" applyBorder="1"/>
    <xf numFmtId="0" fontId="6" fillId="6" borderId="16" xfId="0" applyFont="1" applyFill="1" applyBorder="1"/>
    <xf numFmtId="49" fontId="5" fillId="8" borderId="21" xfId="0" applyNumberFormat="1" applyFont="1" applyFill="1" applyBorder="1" applyProtection="1">
      <protection locked="0"/>
    </xf>
    <xf numFmtId="1" fontId="5" fillId="8" borderId="10" xfId="0" applyNumberFormat="1" applyFont="1" applyFill="1" applyBorder="1" applyAlignment="1" applyProtection="1">
      <alignment horizontal="center"/>
      <protection locked="0"/>
    </xf>
    <xf numFmtId="0" fontId="7" fillId="5" borderId="11" xfId="0" applyFont="1" applyFill="1" applyBorder="1" applyAlignment="1">
      <alignment vertical="center"/>
    </xf>
    <xf numFmtId="0" fontId="7" fillId="5" borderId="19" xfId="0" applyFont="1" applyFill="1" applyBorder="1" applyAlignment="1">
      <alignment vertical="center"/>
    </xf>
    <xf numFmtId="0" fontId="8" fillId="8" borderId="17" xfId="0" applyFont="1" applyFill="1" applyBorder="1" applyAlignment="1">
      <alignment vertical="center" wrapText="1"/>
    </xf>
    <xf numFmtId="0" fontId="5" fillId="0" borderId="46" xfId="0" applyFont="1" applyBorder="1"/>
    <xf numFmtId="0" fontId="9" fillId="7" borderId="61" xfId="0" applyFont="1" applyFill="1" applyBorder="1"/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2" borderId="11" xfId="0" applyFont="1" applyFill="1" applyBorder="1"/>
    <xf numFmtId="0" fontId="6" fillId="2" borderId="4" xfId="0" applyFont="1" applyFill="1" applyBorder="1" applyAlignment="1" applyProtection="1">
      <alignment horizontal="left" vertical="top" wrapText="1"/>
      <protection hidden="1"/>
    </xf>
    <xf numFmtId="0" fontId="6" fillId="2" borderId="4" xfId="0" applyFont="1" applyFill="1" applyBorder="1" applyAlignment="1">
      <alignment vertical="center"/>
    </xf>
    <xf numFmtId="0" fontId="6" fillId="8" borderId="9" xfId="0" applyFont="1" applyFill="1" applyBorder="1" applyProtection="1">
      <protection locked="0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18" xfId="0" applyFont="1" applyFill="1" applyBorder="1" applyAlignment="1" applyProtection="1">
      <alignment horizontal="left" vertical="center"/>
      <protection locked="0"/>
    </xf>
    <xf numFmtId="0" fontId="6" fillId="2" borderId="7" xfId="0" applyFont="1" applyFill="1" applyBorder="1" applyAlignment="1" applyProtection="1">
      <alignment horizontal="left" vertical="center"/>
      <protection locked="0"/>
    </xf>
    <xf numFmtId="49" fontId="5" fillId="9" borderId="51" xfId="0" applyNumberFormat="1" applyFont="1" applyFill="1" applyBorder="1" applyProtection="1">
      <protection locked="0"/>
    </xf>
    <xf numFmtId="1" fontId="5" fillId="5" borderId="8" xfId="0" applyNumberFormat="1" applyFont="1" applyFill="1" applyBorder="1" applyAlignment="1" applyProtection="1">
      <alignment horizontal="center"/>
      <protection locked="0"/>
    </xf>
    <xf numFmtId="0" fontId="8" fillId="9" borderId="5" xfId="0" applyFont="1" applyFill="1" applyBorder="1" applyAlignment="1" applyProtection="1">
      <alignment vertical="center" wrapText="1"/>
      <protection locked="0"/>
    </xf>
    <xf numFmtId="0" fontId="8" fillId="9" borderId="8" xfId="0" applyFont="1" applyFill="1" applyBorder="1" applyProtection="1">
      <protection locked="0"/>
    </xf>
    <xf numFmtId="49" fontId="8" fillId="9" borderId="5" xfId="0" applyNumberFormat="1" applyFont="1" applyFill="1" applyBorder="1" applyAlignment="1" applyProtection="1">
      <alignment vertical="center" wrapText="1" shrinkToFit="1"/>
      <protection locked="0"/>
    </xf>
    <xf numFmtId="49" fontId="8" fillId="9" borderId="5" xfId="0" applyNumberFormat="1" applyFont="1" applyFill="1" applyBorder="1" applyAlignment="1" applyProtection="1">
      <alignment vertical="center" shrinkToFit="1"/>
      <protection locked="0"/>
    </xf>
    <xf numFmtId="49" fontId="8" fillId="9" borderId="8" xfId="0" applyNumberFormat="1" applyFont="1" applyFill="1" applyBorder="1" applyAlignment="1" applyProtection="1">
      <alignment vertical="center" shrinkToFit="1"/>
      <protection locked="0"/>
    </xf>
    <xf numFmtId="49" fontId="8" fillId="9" borderId="10" xfId="0" applyNumberFormat="1" applyFont="1" applyFill="1" applyBorder="1" applyAlignment="1" applyProtection="1">
      <alignment horizontal="left" vertical="center" shrinkToFit="1"/>
      <protection locked="0"/>
    </xf>
    <xf numFmtId="1" fontId="5" fillId="9" borderId="8" xfId="0" applyNumberFormat="1" applyFont="1" applyFill="1" applyBorder="1" applyAlignment="1" applyProtection="1">
      <alignment horizontal="center" vertical="center"/>
      <protection hidden="1"/>
    </xf>
    <xf numFmtId="0" fontId="42" fillId="0" borderId="3" xfId="0" applyFont="1" applyBorder="1"/>
    <xf numFmtId="0" fontId="42" fillId="9" borderId="3" xfId="0" applyFont="1" applyFill="1" applyBorder="1"/>
    <xf numFmtId="0" fontId="19" fillId="2" borderId="9" xfId="0" applyFont="1" applyFill="1" applyBorder="1" applyAlignment="1">
      <alignment horizontal="left"/>
    </xf>
    <xf numFmtId="0" fontId="5" fillId="9" borderId="10" xfId="0" applyFont="1" applyFill="1" applyBorder="1" applyAlignment="1" applyProtection="1">
      <alignment horizontal="right"/>
      <protection locked="0"/>
    </xf>
    <xf numFmtId="0" fontId="19" fillId="2" borderId="4" xfId="0" applyFont="1" applyFill="1" applyBorder="1" applyAlignment="1">
      <alignment horizontal="left"/>
    </xf>
    <xf numFmtId="0" fontId="5" fillId="9" borderId="5" xfId="0" applyFont="1" applyFill="1" applyBorder="1" applyAlignment="1" applyProtection="1">
      <alignment horizontal="right"/>
      <protection locked="0"/>
    </xf>
    <xf numFmtId="0" fontId="19" fillId="2" borderId="4" xfId="0" applyFont="1" applyFill="1" applyBorder="1"/>
    <xf numFmtId="0" fontId="6" fillId="11" borderId="5" xfId="0" applyFont="1" applyFill="1" applyBorder="1" applyAlignment="1" applyProtection="1">
      <alignment horizontal="right"/>
      <protection locked="0"/>
    </xf>
    <xf numFmtId="49" fontId="6" fillId="11" borderId="5" xfId="0" applyNumberFormat="1" applyFont="1" applyFill="1" applyBorder="1" applyAlignment="1" applyProtection="1">
      <alignment horizontal="right"/>
      <protection locked="0"/>
    </xf>
    <xf numFmtId="0" fontId="17" fillId="2" borderId="4" xfId="0" applyFont="1" applyFill="1" applyBorder="1"/>
    <xf numFmtId="49" fontId="21" fillId="9" borderId="5" xfId="0" applyNumberFormat="1" applyFont="1" applyFill="1" applyBorder="1" applyAlignment="1" applyProtection="1">
      <alignment horizontal="right"/>
      <protection locked="0"/>
    </xf>
    <xf numFmtId="0" fontId="5" fillId="11" borderId="5" xfId="0" applyFont="1" applyFill="1" applyBorder="1" applyAlignment="1" applyProtection="1">
      <alignment horizontal="right"/>
      <protection locked="0"/>
    </xf>
    <xf numFmtId="0" fontId="19" fillId="2" borderId="7" xfId="0" applyFont="1" applyFill="1" applyBorder="1"/>
    <xf numFmtId="0" fontId="5" fillId="9" borderId="8" xfId="0" applyFont="1" applyFill="1" applyBorder="1" applyAlignment="1" applyProtection="1">
      <alignment horizontal="right"/>
      <protection hidden="1"/>
    </xf>
    <xf numFmtId="0" fontId="5" fillId="9" borderId="63" xfId="0" applyFont="1" applyFill="1" applyBorder="1" applyProtection="1">
      <protection locked="0"/>
    </xf>
    <xf numFmtId="0" fontId="5" fillId="9" borderId="5" xfId="0" applyFont="1" applyFill="1" applyBorder="1" applyProtection="1">
      <protection locked="0"/>
    </xf>
    <xf numFmtId="0" fontId="5" fillId="9" borderId="8" xfId="0" applyFont="1" applyFill="1" applyBorder="1" applyProtection="1">
      <protection locked="0"/>
    </xf>
    <xf numFmtId="0" fontId="5" fillId="0" borderId="17" xfId="0" applyFont="1" applyBorder="1" applyProtection="1">
      <protection locked="0"/>
    </xf>
    <xf numFmtId="0" fontId="7" fillId="7" borderId="25" xfId="0" applyFont="1" applyFill="1" applyBorder="1" applyAlignment="1">
      <alignment horizontal="center" vertical="center"/>
    </xf>
    <xf numFmtId="0" fontId="7" fillId="7" borderId="35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2" borderId="62" xfId="0" applyFont="1" applyFill="1" applyBorder="1"/>
    <xf numFmtId="0" fontId="6" fillId="9" borderId="63" xfId="0" applyFont="1" applyFill="1" applyBorder="1" applyAlignment="1" applyProtection="1">
      <alignment horizontal="right"/>
      <protection locked="0"/>
    </xf>
    <xf numFmtId="0" fontId="5" fillId="9" borderId="63" xfId="0" applyFont="1" applyFill="1" applyBorder="1" applyAlignment="1" applyProtection="1">
      <alignment horizontal="center"/>
      <protection locked="0"/>
    </xf>
    <xf numFmtId="0" fontId="5" fillId="9" borderId="8" xfId="0" applyFont="1" applyFill="1" applyBorder="1" applyAlignment="1" applyProtection="1">
      <alignment horizontal="center"/>
      <protection locked="0"/>
    </xf>
    <xf numFmtId="0" fontId="6" fillId="2" borderId="62" xfId="0" applyFont="1" applyFill="1" applyBorder="1" applyAlignment="1" applyProtection="1">
      <alignment horizontal="left" vertical="top" wrapText="1"/>
      <protection hidden="1"/>
    </xf>
    <xf numFmtId="0" fontId="6" fillId="9" borderId="63" xfId="0" applyFont="1" applyFill="1" applyBorder="1" applyProtection="1">
      <protection locked="0"/>
    </xf>
    <xf numFmtId="0" fontId="6" fillId="9" borderId="5" xfId="0" applyFont="1" applyFill="1" applyBorder="1" applyProtection="1">
      <protection locked="0"/>
    </xf>
    <xf numFmtId="0" fontId="6" fillId="9" borderId="5" xfId="0" applyFont="1" applyFill="1" applyBorder="1" applyAlignment="1" applyProtection="1">
      <alignment wrapText="1"/>
      <protection locked="0"/>
    </xf>
    <xf numFmtId="0" fontId="5" fillId="11" borderId="5" xfId="0" applyFont="1" applyFill="1" applyBorder="1" applyAlignment="1" applyProtection="1">
      <alignment vertical="center"/>
      <protection locked="0"/>
    </xf>
    <xf numFmtId="0" fontId="6" fillId="2" borderId="7" xfId="0" applyFont="1" applyFill="1" applyBorder="1" applyAlignment="1" applyProtection="1">
      <alignment horizontal="left" vertical="top" wrapText="1"/>
      <protection hidden="1"/>
    </xf>
    <xf numFmtId="0" fontId="6" fillId="9" borderId="8" xfId="0" applyFont="1" applyFill="1" applyBorder="1" applyProtection="1">
      <protection locked="0"/>
    </xf>
    <xf numFmtId="1" fontId="5" fillId="9" borderId="10" xfId="0" applyNumberFormat="1" applyFont="1" applyFill="1" applyBorder="1" applyAlignment="1" applyProtection="1">
      <alignment horizontal="right"/>
      <protection locked="0"/>
    </xf>
    <xf numFmtId="1" fontId="5" fillId="9" borderId="8" xfId="0" applyNumberFormat="1" applyFont="1" applyFill="1" applyBorder="1" applyAlignment="1" applyProtection="1">
      <alignment horizontal="right"/>
      <protection locked="0"/>
    </xf>
    <xf numFmtId="0" fontId="5" fillId="9" borderId="5" xfId="0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Alignment="1" applyProtection="1">
      <alignment horizontal="center"/>
      <protection locked="0"/>
    </xf>
    <xf numFmtId="0" fontId="77" fillId="18" borderId="23" xfId="0" applyFont="1" applyFill="1" applyBorder="1" applyAlignment="1">
      <alignment horizontal="center" vertical="center"/>
    </xf>
    <xf numFmtId="0" fontId="5" fillId="11" borderId="4" xfId="0" applyFont="1" applyFill="1" applyBorder="1" applyAlignment="1" applyProtection="1">
      <alignment horizontal="center" vertical="top" wrapText="1"/>
      <protection locked="0"/>
    </xf>
    <xf numFmtId="0" fontId="16" fillId="0" borderId="37" xfId="0" applyFont="1" applyBorder="1" applyAlignment="1">
      <alignment vertical="center" wrapText="1"/>
    </xf>
    <xf numFmtId="49" fontId="78" fillId="14" borderId="0" xfId="0" applyNumberFormat="1" applyFont="1" applyFill="1" applyAlignment="1" applyProtection="1">
      <alignment horizontal="center" vertical="center"/>
      <protection hidden="1"/>
    </xf>
    <xf numFmtId="49" fontId="78" fillId="14" borderId="0" xfId="0" applyNumberFormat="1" applyFont="1" applyFill="1" applyAlignment="1" applyProtection="1">
      <alignment horizontal="center" vertical="center" shrinkToFit="1"/>
      <protection hidden="1"/>
    </xf>
    <xf numFmtId="49" fontId="79" fillId="14" borderId="0" xfId="0" applyNumberFormat="1" applyFont="1" applyFill="1" applyAlignment="1">
      <alignment horizontal="center" vertical="center"/>
    </xf>
    <xf numFmtId="49" fontId="78" fillId="14" borderId="0" xfId="0" applyNumberFormat="1" applyFont="1" applyFill="1" applyAlignment="1">
      <alignment horizontal="center" vertical="center" shrinkToFit="1"/>
    </xf>
    <xf numFmtId="49" fontId="78" fillId="14" borderId="0" xfId="0" applyNumberFormat="1" applyFont="1" applyFill="1" applyAlignment="1">
      <alignment horizontal="center" vertical="center"/>
    </xf>
    <xf numFmtId="49" fontId="81" fillId="14" borderId="0" xfId="0" applyNumberFormat="1" applyFont="1" applyFill="1" applyAlignment="1">
      <alignment horizontal="center" vertical="center"/>
    </xf>
    <xf numFmtId="49" fontId="81" fillId="14" borderId="0" xfId="0" applyNumberFormat="1" applyFont="1" applyFill="1" applyAlignment="1" applyProtection="1">
      <alignment horizontal="center" vertical="center"/>
      <protection hidden="1"/>
    </xf>
    <xf numFmtId="0" fontId="5" fillId="0" borderId="0" xfId="0" applyFont="1"/>
    <xf numFmtId="0" fontId="5" fillId="0" borderId="0" xfId="0" applyFont="1" applyProtection="1">
      <protection locked="0"/>
    </xf>
    <xf numFmtId="0" fontId="13" fillId="0" borderId="0" xfId="0" applyFont="1" applyProtection="1">
      <protection hidden="1"/>
    </xf>
    <xf numFmtId="0" fontId="16" fillId="0" borderId="0" xfId="0" applyFont="1" applyAlignment="1">
      <alignment vertical="center" wrapText="1"/>
    </xf>
    <xf numFmtId="169" fontId="5" fillId="0" borderId="0" xfId="0" applyNumberFormat="1" applyFont="1"/>
    <xf numFmtId="0" fontId="8" fillId="0" borderId="0" xfId="0" applyFont="1"/>
    <xf numFmtId="49" fontId="78" fillId="0" borderId="0" xfId="0" applyNumberFormat="1" applyFont="1" applyProtection="1">
      <protection hidden="1"/>
    </xf>
    <xf numFmtId="49" fontId="80" fillId="0" borderId="0" xfId="0" applyNumberFormat="1" applyFont="1"/>
    <xf numFmtId="49" fontId="78" fillId="0" borderId="0" xfId="0" applyNumberFormat="1" applyFont="1" applyAlignment="1" applyProtection="1">
      <alignment horizontal="right"/>
      <protection hidden="1"/>
    </xf>
    <xf numFmtId="49" fontId="79" fillId="14" borderId="0" xfId="0" applyNumberFormat="1" applyFont="1" applyFill="1" applyAlignment="1">
      <alignment horizontal="center" vertical="center" wrapText="1"/>
    </xf>
    <xf numFmtId="49" fontId="79" fillId="0" borderId="0" xfId="0" applyNumberFormat="1" applyFont="1" applyProtection="1">
      <protection hidden="1"/>
    </xf>
    <xf numFmtId="49" fontId="82" fillId="14" borderId="0" xfId="0" applyNumberFormat="1" applyFont="1" applyFill="1" applyAlignment="1">
      <alignment horizontal="center" vertical="center"/>
    </xf>
    <xf numFmtId="49" fontId="81" fillId="0" borderId="0" xfId="0" applyNumberFormat="1" applyFont="1" applyProtection="1">
      <protection hidden="1"/>
    </xf>
    <xf numFmtId="49" fontId="79" fillId="9" borderId="0" xfId="0" applyNumberFormat="1" applyFont="1" applyFill="1" applyProtection="1">
      <protection hidden="1"/>
    </xf>
    <xf numFmtId="49" fontId="78" fillId="0" borderId="0" xfId="0" applyNumberFormat="1" applyFont="1" applyAlignment="1" applyProtection="1">
      <alignment shrinkToFit="1"/>
      <protection hidden="1"/>
    </xf>
    <xf numFmtId="49" fontId="79" fillId="14" borderId="0" xfId="0" applyNumberFormat="1" applyFont="1" applyFill="1"/>
    <xf numFmtId="49" fontId="80" fillId="0" borderId="0" xfId="0" applyNumberFormat="1" applyFont="1" applyProtection="1">
      <protection hidden="1"/>
    </xf>
    <xf numFmtId="49" fontId="79" fillId="0" borderId="0" xfId="0" applyNumberFormat="1" applyFont="1" applyAlignment="1" applyProtection="1">
      <alignment horizontal="left"/>
      <protection hidden="1"/>
    </xf>
    <xf numFmtId="49" fontId="78" fillId="0" borderId="0" xfId="0" applyNumberFormat="1" applyFont="1" applyAlignment="1" applyProtection="1">
      <alignment horizontal="left"/>
      <protection hidden="1"/>
    </xf>
    <xf numFmtId="49" fontId="78" fillId="0" borderId="0" xfId="0" applyNumberFormat="1" applyFont="1" applyAlignment="1" applyProtection="1">
      <alignment horizontal="left" vertical="center" wrapText="1"/>
      <protection hidden="1"/>
    </xf>
    <xf numFmtId="49" fontId="79" fillId="0" borderId="0" xfId="0" applyNumberFormat="1" applyFont="1" applyAlignment="1" applyProtection="1">
      <alignment horizontal="left" wrapText="1"/>
      <protection hidden="1"/>
    </xf>
    <xf numFmtId="49" fontId="78" fillId="0" borderId="0" xfId="0" applyNumberFormat="1" applyFont="1" applyAlignment="1" applyProtection="1">
      <alignment wrapText="1"/>
      <protection hidden="1"/>
    </xf>
    <xf numFmtId="49" fontId="78" fillId="0" borderId="0" xfId="0" applyNumberFormat="1" applyFont="1" applyAlignment="1" applyProtection="1">
      <alignment wrapText="1" shrinkToFit="1"/>
      <protection hidden="1"/>
    </xf>
    <xf numFmtId="49" fontId="79" fillId="14" borderId="0" xfId="0" applyNumberFormat="1" applyFont="1" applyFill="1" applyAlignment="1">
      <alignment wrapText="1"/>
    </xf>
    <xf numFmtId="49" fontId="80" fillId="0" borderId="0" xfId="0" applyNumberFormat="1" applyFont="1" applyAlignment="1">
      <alignment wrapText="1"/>
    </xf>
    <xf numFmtId="49" fontId="82" fillId="14" borderId="0" xfId="0" applyNumberFormat="1" applyFont="1" applyFill="1"/>
    <xf numFmtId="49" fontId="79" fillId="0" borderId="0" xfId="0" applyNumberFormat="1" applyFont="1" applyAlignment="1" applyProtection="1">
      <alignment vertical="center" wrapText="1"/>
      <protection hidden="1"/>
    </xf>
    <xf numFmtId="49" fontId="79" fillId="14" borderId="0" xfId="0" applyNumberFormat="1" applyFont="1" applyFill="1" applyAlignment="1">
      <alignment vertical="center" wrapText="1"/>
    </xf>
    <xf numFmtId="49" fontId="79" fillId="0" borderId="0" xfId="0" applyNumberFormat="1" applyFont="1" applyAlignment="1" applyProtection="1">
      <alignment wrapText="1"/>
      <protection hidden="1"/>
    </xf>
    <xf numFmtId="49" fontId="5" fillId="0" borderId="0" xfId="0" applyNumberFormat="1" applyFont="1"/>
    <xf numFmtId="0" fontId="6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  <xf numFmtId="0" fontId="11" fillId="0" borderId="0" xfId="0" applyFont="1" applyAlignment="1">
      <alignment vertical="center"/>
    </xf>
    <xf numFmtId="49" fontId="12" fillId="0" borderId="0" xfId="0" applyNumberFormat="1" applyFont="1" applyAlignment="1">
      <alignment vertical="center" shrinkToFit="1"/>
    </xf>
    <xf numFmtId="49" fontId="12" fillId="0" borderId="0" xfId="0" applyNumberFormat="1" applyFont="1" applyAlignment="1">
      <alignment horizontal="left" vertical="center" shrinkToFit="1"/>
    </xf>
    <xf numFmtId="49" fontId="11" fillId="0" borderId="0" xfId="0" applyNumberFormat="1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wrapText="1"/>
    </xf>
    <xf numFmtId="0" fontId="10" fillId="0" borderId="0" xfId="0" applyFont="1" applyProtection="1">
      <protection locked="0"/>
    </xf>
    <xf numFmtId="0" fontId="3" fillId="0" borderId="0" xfId="0" applyFont="1" applyProtection="1">
      <protection locked="0"/>
    </xf>
    <xf numFmtId="49" fontId="3" fillId="0" borderId="0" xfId="0" applyNumberFormat="1" applyFont="1" applyProtection="1">
      <protection locked="0"/>
    </xf>
    <xf numFmtId="49" fontId="5" fillId="0" borderId="0" xfId="0" applyNumberFormat="1" applyFont="1" applyProtection="1">
      <protection locked="0"/>
    </xf>
    <xf numFmtId="1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9" fillId="0" borderId="0" xfId="0" applyFont="1" applyProtection="1">
      <protection hidden="1"/>
    </xf>
    <xf numFmtId="165" fontId="5" fillId="0" borderId="0" xfId="0" applyNumberFormat="1" applyFont="1" applyAlignment="1" applyProtection="1">
      <alignment horizontal="center"/>
      <protection hidden="1"/>
    </xf>
    <xf numFmtId="49" fontId="13" fillId="0" borderId="0" xfId="0" applyNumberFormat="1" applyFont="1" applyProtection="1">
      <protection hidden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 applyProtection="1">
      <protection hidden="1"/>
    </xf>
    <xf numFmtId="169" fontId="5" fillId="14" borderId="0" xfId="0" applyNumberFormat="1" applyFont="1" applyFill="1"/>
    <xf numFmtId="169" fontId="5" fillId="14" borderId="0" xfId="0" applyNumberFormat="1" applyFont="1" applyFill="1" applyAlignment="1">
      <alignment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165" fontId="5" fillId="0" borderId="0" xfId="0" applyNumberFormat="1" applyFont="1"/>
    <xf numFmtId="49" fontId="5" fillId="0" borderId="0" xfId="0" applyNumberFormat="1" applyFont="1" applyProtection="1">
      <protection hidden="1"/>
    </xf>
    <xf numFmtId="0" fontId="71" fillId="0" borderId="0" xfId="0" applyFont="1"/>
    <xf numFmtId="0" fontId="76" fillId="0" borderId="0" xfId="0" applyFont="1"/>
    <xf numFmtId="0" fontId="6" fillId="0" borderId="0" xfId="0" applyFont="1" applyAlignment="1" applyProtection="1">
      <alignment horizontal="center"/>
      <protection hidden="1"/>
    </xf>
    <xf numFmtId="2" fontId="5" fillId="0" borderId="0" xfId="0" applyNumberFormat="1" applyFont="1" applyAlignment="1" applyProtection="1">
      <alignment horizontal="center"/>
      <protection hidden="1"/>
    </xf>
    <xf numFmtId="169" fontId="5" fillId="0" borderId="0" xfId="0" applyNumberFormat="1" applyFont="1" applyProtection="1">
      <protection hidden="1"/>
    </xf>
    <xf numFmtId="169" fontId="5" fillId="14" borderId="0" xfId="0" applyNumberFormat="1" applyFont="1" applyFill="1" applyProtection="1">
      <protection hidden="1"/>
    </xf>
    <xf numFmtId="169" fontId="6" fillId="15" borderId="0" xfId="0" applyNumberFormat="1" applyFont="1" applyFill="1" applyAlignment="1">
      <alignment horizontal="left"/>
    </xf>
    <xf numFmtId="169" fontId="5" fillId="9" borderId="0" xfId="0" applyNumberFormat="1" applyFont="1" applyFill="1" applyProtection="1">
      <protection locked="0"/>
    </xf>
    <xf numFmtId="169" fontId="5" fillId="14" borderId="0" xfId="0" applyNumberFormat="1" applyFont="1" applyFill="1" applyAlignment="1" applyProtection="1">
      <alignment wrapText="1"/>
      <protection hidden="1"/>
    </xf>
    <xf numFmtId="169" fontId="5" fillId="0" borderId="0" xfId="0" applyNumberFormat="1" applyFont="1" applyAlignment="1" applyProtection="1">
      <alignment wrapText="1"/>
      <protection hidden="1"/>
    </xf>
    <xf numFmtId="0" fontId="17" fillId="0" borderId="0" xfId="0" applyFont="1" applyAlignment="1">
      <alignment horizontal="center"/>
    </xf>
    <xf numFmtId="0" fontId="7" fillId="0" borderId="0" xfId="0" applyFont="1" applyProtection="1">
      <protection hidden="1"/>
    </xf>
    <xf numFmtId="49" fontId="8" fillId="0" borderId="0" xfId="0" applyNumberFormat="1" applyFont="1" applyProtection="1">
      <protection hidden="1"/>
    </xf>
    <xf numFmtId="0" fontId="7" fillId="0" borderId="0" xfId="0" applyFont="1" applyAlignment="1" applyProtection="1">
      <alignment vertical="center"/>
      <protection hidden="1"/>
    </xf>
    <xf numFmtId="49" fontId="8" fillId="0" borderId="0" xfId="0" applyNumberFormat="1" applyFont="1" applyAlignment="1">
      <alignment horizontal="center" vertical="center"/>
    </xf>
    <xf numFmtId="0" fontId="6" fillId="0" borderId="11" xfId="0" applyFont="1" applyBorder="1" applyProtection="1">
      <protection hidden="1"/>
    </xf>
    <xf numFmtId="49" fontId="83" fillId="14" borderId="0" xfId="0" applyNumberFormat="1" applyFont="1" applyFill="1" applyAlignment="1" applyProtection="1">
      <alignment horizontal="center" vertical="center" shrinkToFit="1"/>
      <protection hidden="1"/>
    </xf>
    <xf numFmtId="49" fontId="83" fillId="0" borderId="0" xfId="0" applyNumberFormat="1" applyFont="1" applyProtection="1">
      <protection hidden="1"/>
    </xf>
    <xf numFmtId="49" fontId="83" fillId="14" borderId="0" xfId="0" applyNumberFormat="1" applyFont="1" applyFill="1" applyAlignment="1" applyProtection="1">
      <alignment horizontal="center" vertical="center"/>
      <protection hidden="1"/>
    </xf>
    <xf numFmtId="49" fontId="84" fillId="14" borderId="0" xfId="0" applyNumberFormat="1" applyFont="1" applyFill="1" applyAlignment="1">
      <alignment horizontal="center" vertical="center"/>
    </xf>
    <xf numFmtId="49" fontId="83" fillId="0" borderId="0" xfId="0" applyNumberFormat="1" applyFont="1" applyAlignment="1" applyProtection="1">
      <alignment shrinkToFit="1"/>
      <protection hidden="1"/>
    </xf>
    <xf numFmtId="49" fontId="84" fillId="14" borderId="0" xfId="0" applyNumberFormat="1" applyFont="1" applyFill="1"/>
    <xf numFmtId="49" fontId="83" fillId="0" borderId="0" xfId="0" applyNumberFormat="1" applyFont="1" applyAlignment="1" applyProtection="1">
      <alignment vertical="center"/>
      <protection hidden="1"/>
    </xf>
    <xf numFmtId="49" fontId="85" fillId="0" borderId="0" xfId="0" applyNumberFormat="1" applyFont="1" applyProtection="1">
      <protection hidden="1"/>
    </xf>
    <xf numFmtId="0" fontId="86" fillId="0" borderId="0" xfId="0" applyFont="1" applyAlignment="1" applyProtection="1">
      <alignment shrinkToFit="1"/>
      <protection hidden="1"/>
    </xf>
    <xf numFmtId="49" fontId="78" fillId="0" borderId="3" xfId="0" applyNumberFormat="1" applyFont="1" applyBorder="1" applyProtection="1">
      <protection hidden="1"/>
    </xf>
    <xf numFmtId="49" fontId="83" fillId="0" borderId="3" xfId="0" applyNumberFormat="1" applyFont="1" applyBorder="1"/>
    <xf numFmtId="49" fontId="84" fillId="0" borderId="34" xfId="0" applyNumberFormat="1" applyFont="1" applyBorder="1"/>
    <xf numFmtId="49" fontId="83" fillId="0" borderId="34" xfId="0" applyNumberFormat="1" applyFont="1" applyBorder="1"/>
    <xf numFmtId="49" fontId="14" fillId="9" borderId="63" xfId="0" applyNumberFormat="1" applyFont="1" applyFill="1" applyBorder="1" applyAlignment="1" applyProtection="1">
      <alignment horizontal="center"/>
      <protection locked="0"/>
    </xf>
    <xf numFmtId="49" fontId="15" fillId="9" borderId="5" xfId="0" applyNumberFormat="1" applyFont="1" applyFill="1" applyBorder="1" applyAlignment="1" applyProtection="1">
      <alignment horizontal="center"/>
      <protection locked="0"/>
    </xf>
    <xf numFmtId="1" fontId="6" fillId="9" borderId="5" xfId="0" applyNumberFormat="1" applyFont="1" applyFill="1" applyBorder="1" applyAlignment="1" applyProtection="1">
      <alignment horizontal="center"/>
      <protection locked="0"/>
    </xf>
    <xf numFmtId="1" fontId="5" fillId="9" borderId="5" xfId="0" applyNumberFormat="1" applyFont="1" applyFill="1" applyBorder="1" applyAlignment="1" applyProtection="1">
      <alignment horizontal="center"/>
      <protection hidden="1"/>
    </xf>
    <xf numFmtId="2" fontId="14" fillId="9" borderId="5" xfId="0" applyNumberFormat="1" applyFont="1" applyFill="1" applyBorder="1" applyAlignment="1" applyProtection="1">
      <alignment horizontal="center"/>
      <protection locked="0"/>
    </xf>
    <xf numFmtId="49" fontId="6" fillId="9" borderId="5" xfId="0" applyNumberFormat="1" applyFont="1" applyFill="1" applyBorder="1" applyAlignment="1" applyProtection="1">
      <alignment horizontal="center"/>
      <protection locked="0"/>
    </xf>
    <xf numFmtId="2" fontId="5" fillId="9" borderId="5" xfId="0" applyNumberFormat="1" applyFont="1" applyFill="1" applyBorder="1" applyAlignment="1" applyProtection="1">
      <alignment horizontal="center"/>
      <protection locked="0"/>
    </xf>
    <xf numFmtId="1" fontId="5" fillId="9" borderId="5" xfId="0" applyNumberFormat="1" applyFont="1" applyFill="1" applyBorder="1" applyAlignment="1" applyProtection="1">
      <alignment horizontal="center"/>
      <protection locked="0"/>
    </xf>
    <xf numFmtId="49" fontId="11" fillId="14" borderId="4" xfId="0" applyNumberFormat="1" applyFont="1" applyFill="1" applyBorder="1"/>
    <xf numFmtId="0" fontId="12" fillId="14" borderId="5" xfId="0" applyFont="1" applyFill="1" applyBorder="1" applyAlignment="1" applyProtection="1">
      <alignment horizontal="left"/>
      <protection locked="0"/>
    </xf>
    <xf numFmtId="49" fontId="11" fillId="14" borderId="7" xfId="0" applyNumberFormat="1" applyFont="1" applyFill="1" applyBorder="1"/>
    <xf numFmtId="49" fontId="12" fillId="14" borderId="8" xfId="0" applyNumberFormat="1" applyFont="1" applyFill="1" applyBorder="1" applyAlignment="1" applyProtection="1">
      <alignment horizontal="left"/>
      <protection locked="0"/>
    </xf>
    <xf numFmtId="0" fontId="19" fillId="13" borderId="65" xfId="0" applyFont="1" applyFill="1" applyBorder="1" applyAlignment="1">
      <alignment vertical="top" wrapText="1"/>
    </xf>
    <xf numFmtId="0" fontId="19" fillId="13" borderId="0" xfId="0" applyFont="1" applyFill="1" applyAlignment="1">
      <alignment vertical="top" wrapText="1"/>
    </xf>
    <xf numFmtId="0" fontId="0" fillId="0" borderId="0" xfId="0" applyAlignment="1">
      <alignment horizontal="center" vertical="center" wrapText="1"/>
    </xf>
    <xf numFmtId="0" fontId="19" fillId="13" borderId="65" xfId="0" applyFont="1" applyFill="1" applyBorder="1" applyAlignment="1">
      <alignment horizontal="center" vertical="center" wrapText="1"/>
    </xf>
    <xf numFmtId="0" fontId="72" fillId="2" borderId="39" xfId="0" applyFont="1" applyFill="1" applyBorder="1" applyAlignment="1">
      <alignment horizontal="center" vertical="center" wrapText="1"/>
    </xf>
    <xf numFmtId="0" fontId="72" fillId="2" borderId="63" xfId="0" applyFont="1" applyFill="1" applyBorder="1" applyAlignment="1">
      <alignment horizontal="center" vertical="center" wrapText="1"/>
    </xf>
    <xf numFmtId="0" fontId="72" fillId="2" borderId="2" xfId="0" applyFont="1" applyFill="1" applyBorder="1" applyAlignment="1">
      <alignment horizontal="center" vertical="center" wrapText="1"/>
    </xf>
    <xf numFmtId="0" fontId="72" fillId="2" borderId="5" xfId="0" applyFont="1" applyFill="1" applyBorder="1" applyAlignment="1">
      <alignment horizontal="center" vertical="center" wrapText="1"/>
    </xf>
    <xf numFmtId="0" fontId="72" fillId="2" borderId="51" xfId="0" applyFont="1" applyFill="1" applyBorder="1" applyAlignment="1">
      <alignment horizontal="center" vertical="center" wrapText="1"/>
    </xf>
    <xf numFmtId="0" fontId="72" fillId="2" borderId="8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/>
    </xf>
    <xf numFmtId="0" fontId="75" fillId="0" borderId="61" xfId="0" applyFont="1" applyBorder="1" applyAlignment="1">
      <alignment vertical="center"/>
    </xf>
    <xf numFmtId="0" fontId="75" fillId="0" borderId="35" xfId="0" applyFont="1" applyBorder="1" applyAlignment="1">
      <alignment vertical="center"/>
    </xf>
    <xf numFmtId="0" fontId="6" fillId="0" borderId="11" xfId="0" applyFont="1" applyBorder="1" applyAlignment="1">
      <alignment horizontal="left"/>
    </xf>
    <xf numFmtId="0" fontId="0" fillId="0" borderId="0" xfId="0"/>
    <xf numFmtId="0" fontId="7" fillId="0" borderId="2" xfId="0" applyFont="1" applyBorder="1" applyAlignment="1" applyProtection="1">
      <alignment horizontal="center" vertical="center"/>
      <protection hidden="1"/>
    </xf>
    <xf numFmtId="0" fontId="0" fillId="0" borderId="47" xfId="0" applyBorder="1" applyProtection="1">
      <protection hidden="1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left" vertical="center"/>
    </xf>
    <xf numFmtId="0" fontId="7" fillId="6" borderId="10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49" fontId="12" fillId="0" borderId="0" xfId="0" applyNumberFormat="1" applyFont="1" applyAlignment="1">
      <alignment horizontal="left" vertical="center" shrinkToFit="1"/>
    </xf>
    <xf numFmtId="0" fontId="4" fillId="3" borderId="42" xfId="0" applyFont="1" applyFill="1" applyBorder="1" applyAlignment="1">
      <alignment horizontal="center"/>
    </xf>
    <xf numFmtId="0" fontId="4" fillId="3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0" fillId="0" borderId="27" xfId="0" applyBorder="1"/>
    <xf numFmtId="0" fontId="0" fillId="0" borderId="54" xfId="0" applyBorder="1"/>
    <xf numFmtId="0" fontId="2" fillId="2" borderId="62" xfId="0" applyFont="1" applyFill="1" applyBorder="1" applyAlignment="1">
      <alignment horizontal="center" vertical="center" wrapText="1"/>
    </xf>
    <xf numFmtId="0" fontId="0" fillId="0" borderId="7" xfId="0" applyBorder="1"/>
    <xf numFmtId="0" fontId="7" fillId="5" borderId="30" xfId="0" applyFont="1" applyFill="1" applyBorder="1" applyAlignment="1">
      <alignment horizontal="center"/>
    </xf>
    <xf numFmtId="0" fontId="7" fillId="5" borderId="47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54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0" fillId="0" borderId="51" xfId="0" applyBorder="1"/>
    <xf numFmtId="0" fontId="7" fillId="0" borderId="11" xfId="0" applyFont="1" applyBorder="1" applyAlignment="1">
      <alignment horizontal="center"/>
    </xf>
    <xf numFmtId="0" fontId="7" fillId="7" borderId="62" xfId="0" applyFont="1" applyFill="1" applyBorder="1" applyAlignment="1">
      <alignment horizontal="center" vertical="center"/>
    </xf>
    <xf numFmtId="0" fontId="75" fillId="0" borderId="39" xfId="0" applyFont="1" applyBorder="1" applyAlignment="1">
      <alignment vertical="center"/>
    </xf>
    <xf numFmtId="0" fontId="75" fillId="0" borderId="63" xfId="0" applyFont="1" applyBorder="1" applyAlignment="1">
      <alignment vertical="center"/>
    </xf>
    <xf numFmtId="0" fontId="8" fillId="9" borderId="5" xfId="0" applyFont="1" applyFill="1" applyBorder="1" applyAlignment="1" applyProtection="1">
      <alignment horizontal="left" wrapText="1"/>
      <protection locked="0"/>
    </xf>
    <xf numFmtId="0" fontId="0" fillId="0" borderId="5" xfId="0" applyBorder="1" applyProtection="1">
      <protection locked="0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10" fillId="0" borderId="0" xfId="0" applyFont="1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0" fillId="0" borderId="3" xfId="0" applyBorder="1" applyProtection="1">
      <protection locked="0"/>
    </xf>
    <xf numFmtId="0" fontId="7" fillId="2" borderId="4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7" fillId="5" borderId="60" xfId="0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/>
    </xf>
    <xf numFmtId="49" fontId="78" fillId="14" borderId="0" xfId="0" applyNumberFormat="1" applyFont="1" applyFill="1" applyAlignment="1" applyProtection="1">
      <alignment horizontal="center" vertical="center" shrinkToFit="1"/>
      <protection hidden="1"/>
    </xf>
    <xf numFmtId="49" fontId="80" fillId="14" borderId="0" xfId="0" applyNumberFormat="1" applyFont="1" applyFill="1" applyAlignment="1" applyProtection="1">
      <alignment horizontal="center" vertical="center"/>
      <protection hidden="1"/>
    </xf>
    <xf numFmtId="0" fontId="6" fillId="2" borderId="4" xfId="0" applyFont="1" applyFill="1" applyBorder="1" applyAlignment="1">
      <alignment horizontal="center" vertical="center"/>
    </xf>
    <xf numFmtId="0" fontId="0" fillId="0" borderId="9" xfId="0" applyBorder="1"/>
    <xf numFmtId="169" fontId="10" fillId="0" borderId="0" xfId="0" applyNumberFormat="1" applyFont="1" applyAlignment="1" applyProtection="1">
      <alignment horizontal="center" vertical="center"/>
      <protection hidden="1"/>
    </xf>
    <xf numFmtId="169" fontId="0" fillId="0" borderId="0" xfId="0" applyNumberFormat="1" applyProtection="1">
      <protection hidden="1"/>
    </xf>
    <xf numFmtId="0" fontId="6" fillId="0" borderId="11" xfId="0" applyFont="1" applyBorder="1" applyAlignment="1">
      <alignment horizontal="center" vertical="center" wrapText="1"/>
    </xf>
    <xf numFmtId="0" fontId="0" fillId="0" borderId="11" xfId="0" applyBorder="1"/>
    <xf numFmtId="49" fontId="79" fillId="0" borderId="0" xfId="0" applyNumberFormat="1" applyFont="1" applyAlignment="1" applyProtection="1">
      <alignment horizontal="center"/>
      <protection hidden="1"/>
    </xf>
    <xf numFmtId="49" fontId="80" fillId="0" borderId="0" xfId="0" applyNumberFormat="1" applyFont="1" applyProtection="1">
      <protection hidden="1"/>
    </xf>
    <xf numFmtId="0" fontId="7" fillId="0" borderId="14" xfId="0" applyFont="1" applyBorder="1" applyAlignment="1" applyProtection="1">
      <alignment horizontal="left" wrapText="1"/>
      <protection hidden="1"/>
    </xf>
    <xf numFmtId="0" fontId="0" fillId="0" borderId="40" xfId="0" applyBorder="1" applyProtection="1">
      <protection hidden="1"/>
    </xf>
    <xf numFmtId="0" fontId="6" fillId="2" borderId="4" xfId="0" applyFont="1" applyFill="1" applyBorder="1" applyAlignment="1">
      <alignment horizontal="center"/>
    </xf>
    <xf numFmtId="0" fontId="0" fillId="0" borderId="46" xfId="0" applyBorder="1"/>
    <xf numFmtId="0" fontId="6" fillId="5" borderId="4" xfId="0" applyFont="1" applyFill="1" applyBorder="1" applyAlignment="1">
      <alignment horizontal="center" vertical="center"/>
    </xf>
    <xf numFmtId="0" fontId="0" fillId="0" borderId="47" xfId="0" applyBorder="1"/>
    <xf numFmtId="49" fontId="71" fillId="0" borderId="47" xfId="0" applyNumberFormat="1" applyFont="1" applyBorder="1" applyAlignment="1">
      <alignment horizontal="left" vertical="center"/>
    </xf>
    <xf numFmtId="0" fontId="0" fillId="0" borderId="31" xfId="0" applyBorder="1"/>
    <xf numFmtId="0" fontId="8" fillId="0" borderId="0" xfId="0" applyFont="1" applyAlignment="1">
      <alignment horizontal="left" vertical="center" wrapText="1"/>
    </xf>
    <xf numFmtId="0" fontId="7" fillId="0" borderId="40" xfId="0" applyFont="1" applyBorder="1" applyAlignment="1" applyProtection="1">
      <alignment horizontal="center" vertical="center"/>
      <protection hidden="1"/>
    </xf>
    <xf numFmtId="0" fontId="1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/>
    </xf>
    <xf numFmtId="0" fontId="17" fillId="0" borderId="37" xfId="0" applyFont="1" applyBorder="1" applyAlignment="1">
      <alignment horizontal="center" vertical="center" wrapText="1"/>
    </xf>
    <xf numFmtId="0" fontId="0" fillId="0" borderId="3" xfId="0" applyBorder="1"/>
    <xf numFmtId="0" fontId="0" fillId="0" borderId="34" xfId="0" applyBorder="1"/>
    <xf numFmtId="0" fontId="0" fillId="0" borderId="37" xfId="0" applyBorder="1"/>
    <xf numFmtId="0" fontId="7" fillId="2" borderId="9" xfId="0" applyFont="1" applyFill="1" applyBorder="1" applyAlignment="1">
      <alignment horizontal="center"/>
    </xf>
    <xf numFmtId="0" fontId="0" fillId="0" borderId="21" xfId="0" applyBorder="1"/>
    <xf numFmtId="0" fontId="6" fillId="2" borderId="4" xfId="0" applyFont="1" applyFill="1" applyBorder="1" applyAlignment="1">
      <alignment horizontal="left" shrinkToFit="1"/>
    </xf>
    <xf numFmtId="0" fontId="0" fillId="0" borderId="15" xfId="0" applyBorder="1"/>
    <xf numFmtId="0" fontId="0" fillId="0" borderId="42" xfId="0" applyBorder="1"/>
    <xf numFmtId="0" fontId="0" fillId="0" borderId="13" xfId="0" applyBorder="1"/>
    <xf numFmtId="49" fontId="6" fillId="9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7" fillId="2" borderId="7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left"/>
    </xf>
    <xf numFmtId="0" fontId="6" fillId="7" borderId="6" xfId="0" applyFont="1" applyFill="1" applyBorder="1" applyAlignment="1">
      <alignment horizontal="center" vertical="center"/>
    </xf>
    <xf numFmtId="0" fontId="0" fillId="0" borderId="54" xfId="0" applyBorder="1" applyAlignment="1">
      <alignment vertical="center"/>
    </xf>
    <xf numFmtId="0" fontId="0" fillId="0" borderId="19" xfId="0" applyBorder="1"/>
    <xf numFmtId="0" fontId="11" fillId="0" borderId="11" xfId="0" applyFont="1" applyBorder="1" applyAlignment="1">
      <alignment horizontal="center"/>
    </xf>
    <xf numFmtId="0" fontId="6" fillId="2" borderId="7" xfId="0" applyFont="1" applyFill="1" applyBorder="1" applyAlignment="1">
      <alignment horizontal="left"/>
    </xf>
    <xf numFmtId="0" fontId="0" fillId="0" borderId="55" xfId="0" applyBorder="1"/>
    <xf numFmtId="0" fontId="7" fillId="2" borderId="4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horizontal="left"/>
    </xf>
    <xf numFmtId="0" fontId="0" fillId="0" borderId="56" xfId="0" applyBorder="1"/>
    <xf numFmtId="0" fontId="6" fillId="2" borderId="62" xfId="0" applyFont="1" applyFill="1" applyBorder="1" applyAlignment="1">
      <alignment horizontal="center"/>
    </xf>
    <xf numFmtId="0" fontId="0" fillId="0" borderId="64" xfId="0" applyBorder="1"/>
    <xf numFmtId="0" fontId="7" fillId="0" borderId="0" xfId="0" applyFont="1" applyAlignment="1">
      <alignment horizontal="left" vertical="center" shrinkToFit="1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vertical="center"/>
    </xf>
    <xf numFmtId="0" fontId="7" fillId="8" borderId="2" xfId="0" applyFont="1" applyFill="1" applyBorder="1" applyAlignment="1" applyProtection="1">
      <alignment horizontal="center" vertical="center"/>
      <protection hidden="1"/>
    </xf>
    <xf numFmtId="49" fontId="11" fillId="19" borderId="62" xfId="0" applyNumberFormat="1" applyFont="1" applyFill="1" applyBorder="1" applyAlignment="1">
      <alignment horizontal="left"/>
    </xf>
    <xf numFmtId="49" fontId="1" fillId="19" borderId="63" xfId="0" applyNumberFormat="1" applyFont="1" applyFill="1" applyBorder="1"/>
    <xf numFmtId="0" fontId="73" fillId="16" borderId="6" xfId="0" applyFont="1" applyFill="1" applyBorder="1" applyAlignment="1">
      <alignment horizontal="center" vertical="center"/>
    </xf>
    <xf numFmtId="0" fontId="74" fillId="17" borderId="33" xfId="0" applyFont="1" applyFill="1" applyBorder="1"/>
    <xf numFmtId="0" fontId="74" fillId="17" borderId="49" xfId="0" applyFont="1" applyFill="1" applyBorder="1"/>
    <xf numFmtId="0" fontId="74" fillId="17" borderId="29" xfId="0" applyFont="1" applyFill="1" applyBorder="1"/>
    <xf numFmtId="0" fontId="74" fillId="17" borderId="34" xfId="0" applyFont="1" applyFill="1" applyBorder="1"/>
    <xf numFmtId="0" fontId="74" fillId="17" borderId="37" xfId="0" applyFont="1" applyFill="1" applyBorder="1"/>
    <xf numFmtId="49" fontId="6" fillId="9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17" xfId="0" applyBorder="1" applyProtection="1">
      <protection locked="0"/>
    </xf>
    <xf numFmtId="0" fontId="6" fillId="2" borderId="7" xfId="0" applyFont="1" applyFill="1" applyBorder="1" applyAlignment="1">
      <alignment horizontal="center"/>
    </xf>
    <xf numFmtId="0" fontId="7" fillId="0" borderId="20" xfId="0" applyFont="1" applyBorder="1" applyAlignment="1" applyProtection="1">
      <alignment horizontal="center" vertical="center"/>
      <protection hidden="1"/>
    </xf>
    <xf numFmtId="0" fontId="0" fillId="0" borderId="15" xfId="0" applyBorder="1" applyProtection="1">
      <protection hidden="1"/>
    </xf>
    <xf numFmtId="0" fontId="24" fillId="7" borderId="6" xfId="0" applyFont="1" applyFill="1" applyBorder="1" applyAlignment="1">
      <alignment horizontal="center" vertical="center"/>
    </xf>
    <xf numFmtId="169" fontId="10" fillId="0" borderId="3" xfId="0" applyNumberFormat="1" applyFont="1" applyBorder="1" applyAlignment="1" applyProtection="1">
      <alignment horizontal="center" vertical="center"/>
      <protection hidden="1"/>
    </xf>
    <xf numFmtId="169" fontId="0" fillId="0" borderId="3" xfId="0" applyNumberFormat="1" applyBorder="1" applyProtection="1">
      <protection hidden="1"/>
    </xf>
    <xf numFmtId="0" fontId="6" fillId="3" borderId="6" xfId="0" applyFont="1" applyFill="1" applyBorder="1" applyAlignment="1" applyProtection="1">
      <alignment horizontal="center"/>
      <protection locked="0"/>
    </xf>
    <xf numFmtId="0" fontId="0" fillId="0" borderId="54" xfId="0" applyBorder="1" applyProtection="1">
      <protection locked="0"/>
    </xf>
    <xf numFmtId="0" fontId="75" fillId="0" borderId="27" xfId="0" applyFont="1" applyBorder="1" applyAlignment="1">
      <alignment vertical="center"/>
    </xf>
    <xf numFmtId="0" fontId="75" fillId="0" borderId="54" xfId="0" applyFont="1" applyBorder="1" applyAlignment="1">
      <alignment vertical="center"/>
    </xf>
    <xf numFmtId="49" fontId="79" fillId="0" borderId="3" xfId="0" applyNumberFormat="1" applyFont="1" applyBorder="1" applyAlignment="1" applyProtection="1">
      <alignment horizontal="center" vertical="center" wrapText="1"/>
      <protection hidden="1"/>
    </xf>
    <xf numFmtId="49" fontId="80" fillId="0" borderId="3" xfId="0" applyNumberFormat="1" applyFont="1" applyBorder="1" applyProtection="1">
      <protection hidden="1"/>
    </xf>
    <xf numFmtId="0" fontId="6" fillId="6" borderId="22" xfId="0" applyFont="1" applyFill="1" applyBorder="1" applyAlignment="1" applyProtection="1">
      <alignment horizontal="center" vertical="center" wrapText="1"/>
      <protection locked="0"/>
    </xf>
    <xf numFmtId="0" fontId="6" fillId="5" borderId="18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49" fontId="23" fillId="0" borderId="47" xfId="0" applyNumberFormat="1" applyFont="1" applyBorder="1" applyAlignment="1">
      <alignment horizontal="left" vertical="center" wrapText="1"/>
    </xf>
    <xf numFmtId="49" fontId="7" fillId="0" borderId="14" xfId="0" applyNumberFormat="1" applyFont="1" applyBorder="1" applyAlignment="1" applyProtection="1">
      <alignment horizontal="left" vertical="center" wrapText="1"/>
      <protection hidden="1"/>
    </xf>
    <xf numFmtId="0" fontId="32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2" fillId="0" borderId="0" xfId="0" applyFont="1" applyAlignment="1" applyProtection="1">
      <alignment horizontal="left"/>
      <protection hidden="1"/>
    </xf>
    <xf numFmtId="0" fontId="32" fillId="0" borderId="2" xfId="0" applyFont="1" applyBorder="1" applyAlignment="1" applyProtection="1">
      <alignment horizontal="right" vertical="center"/>
      <protection hidden="1"/>
    </xf>
    <xf numFmtId="0" fontId="0" fillId="0" borderId="46" xfId="0" applyBorder="1" applyProtection="1">
      <protection hidden="1"/>
    </xf>
    <xf numFmtId="0" fontId="34" fillId="0" borderId="0" xfId="0" applyFont="1" applyAlignment="1" applyProtection="1">
      <alignment horizontal="right" vertical="center"/>
      <protection hidden="1"/>
    </xf>
    <xf numFmtId="2" fontId="32" fillId="0" borderId="2" xfId="0" applyNumberFormat="1" applyFont="1" applyBorder="1" applyAlignment="1" applyProtection="1">
      <alignment horizontal="right"/>
      <protection hidden="1"/>
    </xf>
    <xf numFmtId="0" fontId="32" fillId="0" borderId="2" xfId="0" applyFont="1" applyBorder="1" applyAlignment="1" applyProtection="1">
      <alignment horizontal="right"/>
      <protection hidden="1"/>
    </xf>
    <xf numFmtId="0" fontId="32" fillId="0" borderId="2" xfId="0" applyFont="1" applyBorder="1" applyAlignment="1" applyProtection="1">
      <alignment horizontal="center"/>
      <protection hidden="1"/>
    </xf>
    <xf numFmtId="1" fontId="32" fillId="0" borderId="2" xfId="0" applyNumberFormat="1" applyFont="1" applyBorder="1" applyAlignment="1" applyProtection="1">
      <alignment horizontal="right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166" fontId="32" fillId="0" borderId="2" xfId="0" applyNumberFormat="1" applyFont="1" applyBorder="1" applyAlignment="1" applyProtection="1">
      <alignment horizontal="right"/>
      <protection hidden="1"/>
    </xf>
    <xf numFmtId="0" fontId="27" fillId="0" borderId="45" xfId="0" applyFont="1" applyBorder="1" applyAlignment="1" applyProtection="1">
      <alignment horizontal="center" vertical="center" wrapText="1"/>
      <protection hidden="1"/>
    </xf>
    <xf numFmtId="0" fontId="0" fillId="0" borderId="36" xfId="0" applyBorder="1" applyProtection="1">
      <protection hidden="1"/>
    </xf>
    <xf numFmtId="0" fontId="32" fillId="0" borderId="0" xfId="0" applyFont="1" applyAlignment="1" applyProtection="1">
      <alignment horizontal="left" vertical="center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left" vertical="center"/>
      <protection hidden="1"/>
    </xf>
    <xf numFmtId="2" fontId="36" fillId="0" borderId="43" xfId="0" applyNumberFormat="1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37" fillId="0" borderId="2" xfId="0" applyFont="1" applyBorder="1" applyAlignment="1" applyProtection="1">
      <alignment horizontal="center" vertical="center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6" fillId="0" borderId="0" xfId="0" applyFont="1" applyAlignment="1" applyProtection="1">
      <alignment horizontal="left"/>
      <protection hidden="1"/>
    </xf>
    <xf numFmtId="0" fontId="47" fillId="0" borderId="0" xfId="0" applyFont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horizontal="right"/>
      <protection hidden="1"/>
    </xf>
    <xf numFmtId="1" fontId="36" fillId="0" borderId="43" xfId="0" applyNumberFormat="1" applyFont="1" applyBorder="1" applyAlignment="1" applyProtection="1">
      <alignment horizontal="center" vertical="center" wrapText="1"/>
      <protection hidden="1"/>
    </xf>
    <xf numFmtId="2" fontId="36" fillId="0" borderId="0" xfId="0" applyNumberFormat="1" applyFont="1" applyAlignment="1" applyProtection="1">
      <alignment horizontal="left" vertical="center"/>
      <protection hidden="1"/>
    </xf>
    <xf numFmtId="2" fontId="36" fillId="0" borderId="0" xfId="0" applyNumberFormat="1" applyFont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left" vertical="center" wrapText="1"/>
      <protection hidden="1"/>
    </xf>
    <xf numFmtId="0" fontId="36" fillId="0" borderId="2" xfId="0" applyFont="1" applyBorder="1" applyAlignment="1" applyProtection="1">
      <alignment horizontal="right" vertical="center" wrapText="1"/>
      <protection hidden="1"/>
    </xf>
    <xf numFmtId="0" fontId="36" fillId="0" borderId="0" xfId="0" applyFont="1" applyAlignment="1" applyProtection="1">
      <alignment horizontal="center"/>
      <protection hidden="1"/>
    </xf>
    <xf numFmtId="0" fontId="36" fillId="0" borderId="43" xfId="0" applyFont="1" applyBorder="1" applyAlignment="1" applyProtection="1">
      <alignment horizontal="center" vertical="center"/>
      <protection hidden="1"/>
    </xf>
    <xf numFmtId="2" fontId="36" fillId="0" borderId="2" xfId="0" applyNumberFormat="1" applyFont="1" applyBorder="1" applyAlignment="1" applyProtection="1">
      <alignment horizontal="center"/>
      <protection hidden="1"/>
    </xf>
    <xf numFmtId="0" fontId="36" fillId="0" borderId="0" xfId="0" applyFont="1" applyAlignment="1" applyProtection="1">
      <alignment horizontal="center" wrapText="1"/>
      <protection hidden="1"/>
    </xf>
    <xf numFmtId="49" fontId="36" fillId="0" borderId="47" xfId="0" applyNumberFormat="1" applyFont="1" applyBorder="1" applyAlignment="1" applyProtection="1">
      <alignment horizontal="right" vertical="center"/>
      <protection hidden="1"/>
    </xf>
    <xf numFmtId="0" fontId="36" fillId="0" borderId="40" xfId="0" applyFont="1" applyBorder="1" applyAlignment="1" applyProtection="1">
      <alignment horizontal="center" vertical="center" wrapText="1"/>
      <protection hidden="1"/>
    </xf>
    <xf numFmtId="0" fontId="36" fillId="0" borderId="40" xfId="0" applyFont="1" applyBorder="1" applyAlignment="1" applyProtection="1">
      <alignment horizontal="center" vertical="top" wrapText="1"/>
      <protection hidden="1"/>
    </xf>
    <xf numFmtId="0" fontId="36" fillId="0" borderId="47" xfId="0" applyFont="1" applyBorder="1" applyAlignment="1" applyProtection="1">
      <alignment horizontal="right" vertical="center"/>
      <protection hidden="1"/>
    </xf>
    <xf numFmtId="0" fontId="36" fillId="0" borderId="26" xfId="0" applyFont="1" applyBorder="1" applyAlignment="1" applyProtection="1">
      <alignment horizontal="center"/>
      <protection hidden="1"/>
    </xf>
    <xf numFmtId="2" fontId="36" fillId="0" borderId="0" xfId="0" applyNumberFormat="1" applyFont="1" applyAlignment="1" applyProtection="1">
      <alignment horizontal="left"/>
      <protection hidden="1"/>
    </xf>
    <xf numFmtId="0" fontId="44" fillId="0" borderId="0" xfId="0" applyFont="1" applyAlignment="1" applyProtection="1">
      <alignment horizontal="center"/>
      <protection hidden="1"/>
    </xf>
    <xf numFmtId="0" fontId="36" fillId="0" borderId="2" xfId="0" applyFont="1" applyBorder="1" applyAlignment="1" applyProtection="1">
      <alignment horizontal="right" vertical="center"/>
      <protection hidden="1"/>
    </xf>
    <xf numFmtId="1" fontId="51" fillId="0" borderId="43" xfId="0" applyNumberFormat="1" applyFont="1" applyBorder="1" applyAlignment="1" applyProtection="1">
      <alignment horizontal="center" vertical="center" wrapText="1"/>
      <protection hidden="1"/>
    </xf>
    <xf numFmtId="0" fontId="43" fillId="0" borderId="0" xfId="0" applyFont="1" applyAlignment="1" applyProtection="1">
      <alignment horizontal="left" vertical="center" wrapText="1"/>
      <protection hidden="1"/>
    </xf>
    <xf numFmtId="0" fontId="36" fillId="0" borderId="43" xfId="0" applyFont="1" applyBorder="1" applyAlignment="1" applyProtection="1">
      <alignment horizontal="center" vertical="center" wrapText="1"/>
      <protection hidden="1"/>
    </xf>
    <xf numFmtId="2" fontId="36" fillId="0" borderId="0" xfId="0" applyNumberFormat="1" applyFont="1" applyAlignment="1" applyProtection="1">
      <alignment horizontal="center" vertical="center" wrapText="1"/>
      <protection hidden="1"/>
    </xf>
    <xf numFmtId="0" fontId="36" fillId="0" borderId="40" xfId="0" applyFont="1" applyBorder="1" applyAlignment="1" applyProtection="1">
      <alignment horizontal="center" vertical="center"/>
      <protection hidden="1"/>
    </xf>
    <xf numFmtId="1" fontId="36" fillId="0" borderId="0" xfId="0" applyNumberFormat="1" applyFont="1" applyAlignment="1" applyProtection="1">
      <alignment horizontal="center"/>
      <protection hidden="1"/>
    </xf>
    <xf numFmtId="0" fontId="38" fillId="0" borderId="0" xfId="0" applyFont="1" applyAlignment="1" applyProtection="1">
      <alignment horizontal="center" vertical="center"/>
      <protection hidden="1"/>
    </xf>
    <xf numFmtId="1" fontId="36" fillId="0" borderId="43" xfId="0" applyNumberFormat="1" applyFont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right" vertical="center"/>
      <protection hidden="1"/>
    </xf>
    <xf numFmtId="167" fontId="36" fillId="0" borderId="0" xfId="0" applyNumberFormat="1" applyFont="1" applyAlignment="1" applyProtection="1">
      <alignment horizontal="center"/>
      <protection hidden="1"/>
    </xf>
    <xf numFmtId="2" fontId="36" fillId="0" borderId="2" xfId="0" applyNumberFormat="1" applyFont="1" applyBorder="1" applyAlignment="1" applyProtection="1">
      <alignment horizontal="right" vertical="center"/>
      <protection hidden="1"/>
    </xf>
    <xf numFmtId="0" fontId="36" fillId="0" borderId="43" xfId="0" applyFont="1" applyBorder="1" applyAlignment="1" applyProtection="1">
      <alignment horizontal="center"/>
      <protection hidden="1"/>
    </xf>
    <xf numFmtId="0" fontId="36" fillId="0" borderId="26" xfId="0" applyFont="1" applyBorder="1" applyAlignment="1" applyProtection="1">
      <alignment horizontal="right" vertical="center" wrapText="1"/>
      <protection hidden="1"/>
    </xf>
    <xf numFmtId="1" fontId="36" fillId="0" borderId="43" xfId="0" applyNumberFormat="1" applyFont="1" applyBorder="1" applyAlignment="1" applyProtection="1">
      <alignment horizontal="center"/>
      <protection hidden="1"/>
    </xf>
    <xf numFmtId="1" fontId="36" fillId="0" borderId="2" xfId="0" applyNumberFormat="1" applyFont="1" applyBorder="1" applyAlignment="1" applyProtection="1">
      <alignment horizontal="right" vertical="center" wrapText="1"/>
      <protection hidden="1"/>
    </xf>
    <xf numFmtId="2" fontId="36" fillId="0" borderId="0" xfId="0" applyNumberFormat="1" applyFont="1" applyAlignment="1" applyProtection="1">
      <alignment horizontal="center"/>
      <protection hidden="1"/>
    </xf>
    <xf numFmtId="0" fontId="36" fillId="0" borderId="46" xfId="0" applyFont="1" applyBorder="1" applyAlignment="1" applyProtection="1">
      <alignment horizontal="center" vertical="center" wrapText="1"/>
      <protection hidden="1"/>
    </xf>
    <xf numFmtId="3" fontId="36" fillId="0" borderId="0" xfId="0" applyNumberFormat="1" applyFont="1" applyAlignment="1" applyProtection="1">
      <alignment horizontal="center" vertical="center"/>
      <protection hidden="1"/>
    </xf>
    <xf numFmtId="0" fontId="51" fillId="0" borderId="43" xfId="0" applyFont="1" applyBorder="1" applyAlignment="1" applyProtection="1">
      <alignment horizontal="center" vertical="center" wrapText="1"/>
      <protection hidden="1"/>
    </xf>
    <xf numFmtId="2" fontId="36" fillId="0" borderId="43" xfId="0" applyNumberFormat="1" applyFont="1" applyBorder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 wrapText="1"/>
      <protection hidden="1"/>
    </xf>
    <xf numFmtId="0" fontId="36" fillId="0" borderId="43" xfId="0" applyFont="1" applyBorder="1" applyAlignment="1" applyProtection="1">
      <alignment horizontal="center" vertical="top" wrapText="1"/>
      <protection hidden="1"/>
    </xf>
    <xf numFmtId="1" fontId="36" fillId="0" borderId="2" xfId="0" applyNumberFormat="1" applyFont="1" applyBorder="1" applyAlignment="1" applyProtection="1">
      <alignment horizontal="right" vertical="center"/>
      <protection hidden="1"/>
    </xf>
    <xf numFmtId="0" fontId="36" fillId="0" borderId="2" xfId="0" applyFont="1" applyBorder="1" applyAlignment="1" applyProtection="1">
      <alignment horizontal="right" wrapText="1"/>
      <protection hidden="1"/>
    </xf>
    <xf numFmtId="3" fontId="36" fillId="0" borderId="40" xfId="0" applyNumberFormat="1" applyFont="1" applyBorder="1" applyAlignment="1" applyProtection="1">
      <alignment horizontal="center" vertical="center" wrapText="1"/>
      <protection hidden="1"/>
    </xf>
    <xf numFmtId="0" fontId="42" fillId="0" borderId="0" xfId="0" applyFont="1" applyAlignment="1" applyProtection="1">
      <alignment horizontal="center" vertical="center" wrapText="1"/>
      <protection hidden="1"/>
    </xf>
    <xf numFmtId="0" fontId="36" fillId="0" borderId="2" xfId="0" applyFont="1" applyBorder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horizontal="left" wrapText="1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36" fillId="9" borderId="2" xfId="0" applyFont="1" applyFill="1" applyBorder="1" applyAlignment="1" applyProtection="1">
      <alignment horizontal="right" vertical="center"/>
      <protection hidden="1"/>
    </xf>
    <xf numFmtId="0" fontId="36" fillId="0" borderId="40" xfId="0" applyFont="1" applyBorder="1" applyAlignment="1" applyProtection="1">
      <alignment horizontal="center"/>
      <protection hidden="1"/>
    </xf>
    <xf numFmtId="0" fontId="36" fillId="0" borderId="0" xfId="0" applyFont="1" applyAlignment="1" applyProtection="1">
      <alignment horizontal="right" vertical="center" wrapText="1"/>
      <protection hidden="1"/>
    </xf>
    <xf numFmtId="1" fontId="36" fillId="0" borderId="0" xfId="0" applyNumberFormat="1" applyFont="1" applyAlignment="1" applyProtection="1">
      <alignment horizontal="center" vertical="center"/>
      <protection hidden="1"/>
    </xf>
    <xf numFmtId="0" fontId="49" fillId="0" borderId="0" xfId="0" applyFont="1" applyAlignment="1" applyProtection="1">
      <alignment horizontal="left" vertical="center"/>
      <protection hidden="1"/>
    </xf>
    <xf numFmtId="1" fontId="36" fillId="0" borderId="40" xfId="0" applyNumberFormat="1" applyFont="1" applyBorder="1" applyAlignment="1" applyProtection="1">
      <alignment horizontal="center"/>
      <protection hidden="1"/>
    </xf>
    <xf numFmtId="0" fontId="36" fillId="0" borderId="36" xfId="0" applyFont="1" applyBorder="1" applyAlignment="1" applyProtection="1">
      <alignment horizontal="center" vertical="center" wrapText="1"/>
      <protection hidden="1"/>
    </xf>
    <xf numFmtId="1" fontId="36" fillId="0" borderId="0" xfId="0" applyNumberFormat="1" applyFont="1" applyAlignment="1" applyProtection="1">
      <alignment horizontal="center" vertical="center" wrapText="1"/>
      <protection hidden="1"/>
    </xf>
    <xf numFmtId="2" fontId="36" fillId="0" borderId="43" xfId="0" applyNumberFormat="1" applyFont="1" applyBorder="1" applyAlignment="1" applyProtection="1">
      <alignment horizontal="center"/>
      <protection hidden="1"/>
    </xf>
    <xf numFmtId="49" fontId="36" fillId="0" borderId="0" xfId="0" applyNumberFormat="1" applyFont="1" applyAlignment="1" applyProtection="1">
      <alignment horizontal="left"/>
      <protection hidden="1"/>
    </xf>
    <xf numFmtId="0" fontId="44" fillId="0" borderId="0" xfId="0" applyFont="1" applyAlignment="1" applyProtection="1">
      <alignment horizontal="center" vertical="top"/>
      <protection hidden="1"/>
    </xf>
    <xf numFmtId="0" fontId="36" fillId="0" borderId="47" xfId="0" applyFont="1" applyBorder="1" applyAlignment="1" applyProtection="1">
      <alignment horizontal="center" vertical="center"/>
      <protection hidden="1"/>
    </xf>
    <xf numFmtId="49" fontId="36" fillId="0" borderId="40" xfId="0" applyNumberFormat="1" applyFont="1" applyBorder="1" applyAlignment="1" applyProtection="1">
      <alignment horizontal="center" vertical="center" wrapText="1"/>
      <protection hidden="1"/>
    </xf>
    <xf numFmtId="0" fontId="36" fillId="0" borderId="26" xfId="0" applyFont="1" applyBorder="1" applyAlignment="1" applyProtection="1">
      <alignment horizontal="left" vertical="center" wrapText="1"/>
      <protection hidden="1"/>
    </xf>
    <xf numFmtId="0" fontId="37" fillId="0" borderId="0" xfId="0" applyFont="1" applyAlignment="1" applyProtection="1">
      <alignment horizontal="left" wrapText="1"/>
      <protection hidden="1"/>
    </xf>
    <xf numFmtId="0" fontId="37" fillId="0" borderId="0" xfId="0" applyFont="1" applyAlignment="1" applyProtection="1">
      <alignment horizontal="center" vertical="top" wrapText="1"/>
      <protection hidden="1"/>
    </xf>
    <xf numFmtId="0" fontId="36" fillId="0" borderId="2" xfId="0" applyFont="1" applyBorder="1" applyAlignment="1" applyProtection="1">
      <alignment horizontal="right" vertical="center" shrinkToFit="1"/>
      <protection hidden="1"/>
    </xf>
    <xf numFmtId="2" fontId="36" fillId="0" borderId="0" xfId="0" applyNumberFormat="1" applyFont="1" applyAlignment="1" applyProtection="1">
      <alignment horizontal="right" vertical="center"/>
      <protection hidden="1"/>
    </xf>
    <xf numFmtId="2" fontId="36" fillId="0" borderId="2" xfId="0" applyNumberFormat="1" applyFont="1" applyBorder="1" applyAlignment="1" applyProtection="1">
      <alignment horizontal="right"/>
      <protection hidden="1"/>
    </xf>
    <xf numFmtId="0" fontId="36" fillId="0" borderId="26" xfId="0" applyFont="1" applyBorder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horizontal="right" wrapText="1"/>
      <protection hidden="1"/>
    </xf>
    <xf numFmtId="167" fontId="36" fillId="0" borderId="2" xfId="0" applyNumberFormat="1" applyFont="1" applyBorder="1" applyAlignment="1" applyProtection="1">
      <alignment horizontal="right"/>
      <protection hidden="1"/>
    </xf>
    <xf numFmtId="1" fontId="36" fillId="0" borderId="40" xfId="0" applyNumberFormat="1" applyFont="1" applyBorder="1" applyAlignment="1" applyProtection="1">
      <alignment horizontal="center" vertical="center"/>
      <protection hidden="1"/>
    </xf>
    <xf numFmtId="49" fontId="36" fillId="0" borderId="2" xfId="0" applyNumberFormat="1" applyFont="1" applyBorder="1" applyAlignment="1" applyProtection="1">
      <alignment horizontal="right"/>
      <protection hidden="1"/>
    </xf>
    <xf numFmtId="49" fontId="36" fillId="0" borderId="43" xfId="0" applyNumberFormat="1" applyFont="1" applyBorder="1" applyAlignment="1" applyProtection="1">
      <alignment horizontal="center" vertical="center" wrapText="1"/>
      <protection hidden="1"/>
    </xf>
    <xf numFmtId="0" fontId="36" fillId="0" borderId="19" xfId="0" applyFont="1" applyBorder="1" applyAlignment="1" applyProtection="1">
      <alignment horizontal="center" vertical="center" wrapText="1"/>
      <protection hidden="1"/>
    </xf>
    <xf numFmtId="0" fontId="0" fillId="0" borderId="19" xfId="0" applyBorder="1" applyProtection="1">
      <protection hidden="1"/>
    </xf>
    <xf numFmtId="1" fontId="36" fillId="0" borderId="2" xfId="0" applyNumberFormat="1" applyFont="1" applyBorder="1" applyAlignment="1" applyProtection="1">
      <alignment horizontal="right"/>
      <protection hidden="1"/>
    </xf>
    <xf numFmtId="2" fontId="36" fillId="0" borderId="2" xfId="0" applyNumberFormat="1" applyFont="1" applyBorder="1" applyAlignment="1" applyProtection="1">
      <alignment horizontal="right" vertical="center" wrapText="1"/>
      <protection hidden="1"/>
    </xf>
    <xf numFmtId="49" fontId="36" fillId="0" borderId="0" xfId="0" applyNumberFormat="1" applyFont="1" applyAlignment="1" applyProtection="1">
      <alignment horizontal="center" vertical="center" wrapText="1"/>
      <protection hidden="1"/>
    </xf>
    <xf numFmtId="0" fontId="36" fillId="0" borderId="43" xfId="0" applyFont="1" applyBorder="1" applyAlignment="1" applyProtection="1">
      <alignment horizontal="center" wrapText="1"/>
      <protection hidden="1"/>
    </xf>
    <xf numFmtId="0" fontId="36" fillId="0" borderId="13" xfId="0" applyFont="1" applyBorder="1" applyAlignment="1" applyProtection="1">
      <alignment horizontal="center" vertical="center" wrapText="1"/>
      <protection hidden="1"/>
    </xf>
    <xf numFmtId="0" fontId="36" fillId="0" borderId="47" xfId="0" applyFont="1" applyBorder="1" applyAlignment="1" applyProtection="1">
      <alignment horizontal="center" vertical="center" wrapText="1"/>
      <protection hidden="1"/>
    </xf>
    <xf numFmtId="3" fontId="36" fillId="0" borderId="40" xfId="0" applyNumberFormat="1" applyFont="1" applyBorder="1" applyAlignment="1" applyProtection="1">
      <alignment horizontal="center" vertical="center"/>
      <protection hidden="1"/>
    </xf>
    <xf numFmtId="3" fontId="51" fillId="0" borderId="40" xfId="0" applyNumberFormat="1" applyFont="1" applyBorder="1" applyAlignment="1" applyProtection="1">
      <alignment horizontal="center" vertical="center" wrapText="1"/>
      <protection hidden="1"/>
    </xf>
    <xf numFmtId="2" fontId="36" fillId="0" borderId="2" xfId="0" applyNumberFormat="1" applyFont="1" applyBorder="1" applyAlignment="1" applyProtection="1">
      <alignment horizontal="left" vertical="center" wrapText="1"/>
      <protection hidden="1"/>
    </xf>
    <xf numFmtId="0" fontId="36" fillId="0" borderId="26" xfId="0" applyFont="1" applyBorder="1" applyAlignment="1" applyProtection="1">
      <alignment horizontal="right" vertical="center"/>
      <protection hidden="1"/>
    </xf>
    <xf numFmtId="0" fontId="27" fillId="0" borderId="2" xfId="0" applyFont="1" applyBorder="1" applyAlignment="1" applyProtection="1">
      <alignment horizontal="center" vertical="center" wrapText="1"/>
      <protection hidden="1"/>
    </xf>
    <xf numFmtId="0" fontId="36" fillId="0" borderId="0" xfId="0" applyFont="1" applyProtection="1">
      <protection hidden="1"/>
    </xf>
    <xf numFmtId="0" fontId="36" fillId="0" borderId="0" xfId="0" applyFont="1" applyAlignment="1" applyProtection="1">
      <alignment horizontal="center" vertical="top"/>
      <protection hidden="1"/>
    </xf>
    <xf numFmtId="0" fontId="36" fillId="0" borderId="0" xfId="0" applyFont="1" applyAlignment="1" applyProtection="1">
      <alignment horizontal="left" vertical="top" wrapText="1"/>
      <protection hidden="1"/>
    </xf>
    <xf numFmtId="0" fontId="37" fillId="0" borderId="0" xfId="0" applyFont="1" applyAlignment="1" applyProtection="1">
      <alignment horizontal="left" vertical="center" wrapText="1"/>
      <protection hidden="1"/>
    </xf>
    <xf numFmtId="0" fontId="36" fillId="0" borderId="2" xfId="0" applyFont="1" applyBorder="1" applyAlignment="1" applyProtection="1">
      <alignment horizontal="left" vertical="center" wrapText="1"/>
      <protection hidden="1"/>
    </xf>
    <xf numFmtId="0" fontId="36" fillId="0" borderId="36" xfId="0" applyFont="1" applyBorder="1" applyAlignment="1" applyProtection="1">
      <alignment horizontal="left" vertical="center" wrapText="1"/>
      <protection hidden="1"/>
    </xf>
    <xf numFmtId="2" fontId="36" fillId="0" borderId="0" xfId="0" applyNumberFormat="1" applyFont="1" applyAlignment="1" applyProtection="1">
      <alignment horizontal="right"/>
      <protection hidden="1"/>
    </xf>
    <xf numFmtId="0" fontId="36" fillId="0" borderId="40" xfId="0" applyFont="1" applyBorder="1" applyAlignment="1" applyProtection="1">
      <alignment horizontal="right"/>
      <protection hidden="1"/>
    </xf>
    <xf numFmtId="2" fontId="36" fillId="0" borderId="0" xfId="0" applyNumberFormat="1" applyFont="1" applyAlignment="1" applyProtection="1">
      <alignment horizontal="center" wrapText="1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166" fontId="36" fillId="0" borderId="46" xfId="0" applyNumberFormat="1" applyFont="1" applyBorder="1" applyAlignment="1" applyProtection="1">
      <alignment horizontal="center" vertical="center" wrapText="1"/>
      <protection hidden="1"/>
    </xf>
    <xf numFmtId="0" fontId="36" fillId="0" borderId="47" xfId="0" applyFont="1" applyBorder="1" applyAlignment="1" applyProtection="1">
      <alignment horizontal="left" vertical="center" wrapText="1"/>
      <protection hidden="1"/>
    </xf>
    <xf numFmtId="3" fontId="36" fillId="0" borderId="0" xfId="0" applyNumberFormat="1" applyFont="1" applyAlignment="1" applyProtection="1">
      <alignment horizontal="center" vertical="center" wrapText="1"/>
      <protection hidden="1"/>
    </xf>
    <xf numFmtId="0" fontId="49" fillId="0" borderId="0" xfId="0" applyFont="1" applyAlignment="1" applyProtection="1">
      <alignment horizontal="center" vertical="center"/>
      <protection hidden="1"/>
    </xf>
    <xf numFmtId="0" fontId="52" fillId="0" borderId="0" xfId="0" applyFont="1" applyAlignment="1" applyProtection="1">
      <alignment horizontal="center" vertical="center"/>
      <protection hidden="1"/>
    </xf>
    <xf numFmtId="0" fontId="37" fillId="0" borderId="2" xfId="0" applyFont="1" applyBorder="1" applyAlignment="1" applyProtection="1">
      <alignment horizontal="center" vertical="center" wrapText="1"/>
      <protection hidden="1"/>
    </xf>
    <xf numFmtId="0" fontId="47" fillId="0" borderId="0" xfId="0" applyFont="1" applyAlignment="1" applyProtection="1">
      <alignment horizontal="left"/>
      <protection hidden="1"/>
    </xf>
    <xf numFmtId="0" fontId="49" fillId="0" borderId="0" xfId="0" applyFont="1" applyAlignment="1" applyProtection="1">
      <alignment horizontal="left"/>
      <protection hidden="1"/>
    </xf>
    <xf numFmtId="0" fontId="42" fillId="0" borderId="0" xfId="0" applyFont="1" applyAlignment="1" applyProtection="1">
      <alignment horizontal="center"/>
      <protection hidden="1"/>
    </xf>
    <xf numFmtId="0" fontId="36" fillId="0" borderId="2" xfId="0" applyFont="1" applyBorder="1" applyAlignment="1" applyProtection="1">
      <alignment horizontal="right"/>
      <protection hidden="1"/>
    </xf>
    <xf numFmtId="0" fontId="36" fillId="0" borderId="15" xfId="0" applyFont="1" applyBorder="1" applyAlignment="1" applyProtection="1">
      <alignment horizontal="center" vertical="center" wrapText="1"/>
      <protection hidden="1"/>
    </xf>
    <xf numFmtId="166" fontId="36" fillId="0" borderId="0" xfId="0" applyNumberFormat="1" applyFont="1" applyAlignment="1" applyProtection="1">
      <alignment horizontal="center" vertical="center" wrapText="1"/>
      <protection hidden="1"/>
    </xf>
    <xf numFmtId="2" fontId="36" fillId="0" borderId="0" xfId="0" applyNumberFormat="1" applyFont="1" applyAlignment="1" applyProtection="1">
      <alignment horizontal="right" vertical="center" wrapText="1"/>
      <protection hidden="1"/>
    </xf>
    <xf numFmtId="0" fontId="36" fillId="0" borderId="2" xfId="0" applyFont="1" applyBorder="1" applyAlignment="1" applyProtection="1">
      <alignment vertical="center" wrapText="1"/>
      <protection hidden="1"/>
    </xf>
    <xf numFmtId="2" fontId="36" fillId="0" borderId="2" xfId="0" applyNumberFormat="1" applyFont="1" applyBorder="1" applyAlignment="1" applyProtection="1">
      <alignment horizontal="right" wrapText="1"/>
      <protection hidden="1"/>
    </xf>
    <xf numFmtId="0" fontId="9" fillId="0" borderId="2" xfId="0" applyFont="1" applyBorder="1" applyAlignment="1" applyProtection="1">
      <alignment horizontal="center" vertical="center" wrapText="1"/>
      <protection hidden="1"/>
    </xf>
    <xf numFmtId="2" fontId="36" fillId="0" borderId="2" xfId="0" applyNumberFormat="1" applyFont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 shrinkToFit="1"/>
      <protection hidden="1"/>
    </xf>
    <xf numFmtId="0" fontId="36" fillId="0" borderId="2" xfId="0" applyFont="1" applyBorder="1" applyAlignment="1" applyProtection="1">
      <alignment horizontal="center"/>
      <protection hidden="1"/>
    </xf>
    <xf numFmtId="0" fontId="55" fillId="0" borderId="2" xfId="0" applyFont="1" applyBorder="1" applyAlignment="1" applyProtection="1">
      <alignment horizontal="center" vertical="center" wrapText="1"/>
      <protection hidden="1"/>
    </xf>
    <xf numFmtId="166" fontId="36" fillId="0" borderId="0" xfId="0" applyNumberFormat="1" applyFont="1" applyAlignment="1" applyProtection="1">
      <alignment horizontal="center" vertical="center"/>
      <protection hidden="1"/>
    </xf>
    <xf numFmtId="1" fontId="36" fillId="0" borderId="43" xfId="0" applyNumberFormat="1" applyFont="1" applyBorder="1" applyAlignment="1" applyProtection="1">
      <alignment horizontal="center" vertical="center" shrinkToFit="1"/>
      <protection hidden="1"/>
    </xf>
    <xf numFmtId="2" fontId="36" fillId="0" borderId="40" xfId="0" applyNumberFormat="1" applyFont="1" applyBorder="1" applyAlignment="1" applyProtection="1">
      <alignment horizontal="center" vertical="top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55" fillId="0" borderId="2" xfId="0" applyFont="1" applyBorder="1" applyAlignment="1" applyProtection="1">
      <alignment horizontal="center" vertical="center" shrinkToFit="1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36" fillId="0" borderId="2" xfId="0" applyFont="1" applyBorder="1" applyAlignment="1" applyProtection="1">
      <alignment horizontal="center" vertical="top"/>
      <protection hidden="1"/>
    </xf>
    <xf numFmtId="1" fontId="9" fillId="0" borderId="2" xfId="0" applyNumberFormat="1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 wrapText="1"/>
      <protection hidden="1"/>
    </xf>
    <xf numFmtId="0" fontId="29" fillId="0" borderId="45" xfId="0" applyFont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center" vertical="center" shrinkToFit="1"/>
      <protection hidden="1"/>
    </xf>
    <xf numFmtId="2" fontId="36" fillId="0" borderId="2" xfId="0" applyNumberFormat="1" applyFont="1" applyBorder="1" applyAlignment="1" applyProtection="1">
      <alignment horizontal="right" vertical="center" shrinkToFit="1"/>
      <protection hidden="1"/>
    </xf>
    <xf numFmtId="1" fontId="36" fillId="0" borderId="2" xfId="0" applyNumberFormat="1" applyFont="1" applyBorder="1" applyAlignment="1" applyProtection="1">
      <alignment horizontal="right" vertical="center" shrinkToFit="1"/>
      <protection hidden="1"/>
    </xf>
    <xf numFmtId="0" fontId="32" fillId="0" borderId="36" xfId="0" applyFont="1" applyBorder="1" applyAlignment="1" applyProtection="1">
      <alignment horizontal="left" vertical="center"/>
      <protection hidden="1"/>
    </xf>
    <xf numFmtId="0" fontId="32" fillId="0" borderId="0" xfId="0" applyFont="1" applyAlignment="1" applyProtection="1">
      <alignment horizontal="center" vertical="top"/>
      <protection hidden="1"/>
    </xf>
    <xf numFmtId="0" fontId="29" fillId="0" borderId="45" xfId="0" applyFont="1" applyBorder="1" applyAlignment="1" applyProtection="1">
      <alignment horizontal="center"/>
      <protection hidden="1"/>
    </xf>
    <xf numFmtId="0" fontId="31" fillId="0" borderId="3" xfId="0" applyFont="1" applyBorder="1" applyAlignment="1" applyProtection="1">
      <alignment horizontal="center" vertical="center"/>
      <protection hidden="1"/>
    </xf>
    <xf numFmtId="0" fontId="0" fillId="0" borderId="3" xfId="0" applyBorder="1" applyProtection="1">
      <protection hidden="1"/>
    </xf>
    <xf numFmtId="0" fontId="36" fillId="0" borderId="0" xfId="0" applyFont="1" applyAlignment="1" applyProtection="1">
      <alignment vertical="center"/>
      <protection hidden="1"/>
    </xf>
    <xf numFmtId="0" fontId="57" fillId="0" borderId="2" xfId="0" applyFont="1" applyBorder="1" applyAlignment="1" applyProtection="1">
      <alignment horizontal="center" vertical="center"/>
      <protection hidden="1"/>
    </xf>
    <xf numFmtId="0" fontId="32" fillId="0" borderId="36" xfId="0" applyFont="1" applyBorder="1" applyAlignment="1" applyProtection="1">
      <alignment horizontal="center"/>
      <protection hidden="1"/>
    </xf>
    <xf numFmtId="0" fontId="29" fillId="0" borderId="2" xfId="0" applyFont="1" applyBorder="1" applyAlignment="1" applyProtection="1">
      <alignment horizontal="center"/>
      <protection hidden="1"/>
    </xf>
    <xf numFmtId="0" fontId="0" fillId="0" borderId="52" xfId="0" applyBorder="1" applyProtection="1">
      <protection hidden="1"/>
    </xf>
    <xf numFmtId="0" fontId="0" fillId="0" borderId="21" xfId="0" applyBorder="1" applyProtection="1">
      <protection hidden="1"/>
    </xf>
    <xf numFmtId="1" fontId="9" fillId="0" borderId="2" xfId="0" applyNumberFormat="1" applyFont="1" applyBorder="1" applyAlignment="1" applyProtection="1">
      <alignment horizontal="center" vertical="center" shrinkToFit="1"/>
      <protection hidden="1"/>
    </xf>
    <xf numFmtId="2" fontId="36" fillId="0" borderId="40" xfId="0" applyNumberFormat="1" applyFont="1" applyBorder="1" applyAlignment="1" applyProtection="1">
      <alignment horizontal="center" vertical="center" wrapText="1"/>
      <protection hidden="1"/>
    </xf>
    <xf numFmtId="0" fontId="55" fillId="0" borderId="2" xfId="0" applyFont="1" applyBorder="1" applyAlignment="1" applyProtection="1">
      <alignment horizontal="center" vertical="center"/>
      <protection hidden="1"/>
    </xf>
    <xf numFmtId="0" fontId="36" fillId="0" borderId="2" xfId="0" applyFont="1" applyBorder="1" applyAlignment="1" applyProtection="1">
      <alignment horizontal="center" vertical="center"/>
      <protection hidden="1"/>
    </xf>
    <xf numFmtId="0" fontId="29" fillId="0" borderId="2" xfId="0" applyFont="1" applyBorder="1" applyAlignment="1" applyProtection="1">
      <alignment horizontal="center" vertical="center"/>
      <protection hidden="1"/>
    </xf>
    <xf numFmtId="0" fontId="36" fillId="0" borderId="43" xfId="0" applyFont="1" applyBorder="1" applyAlignment="1" applyProtection="1">
      <alignment horizontal="center" vertical="center" shrinkToFit="1"/>
      <protection hidden="1"/>
    </xf>
    <xf numFmtId="1" fontId="36" fillId="0" borderId="0" xfId="0" applyNumberFormat="1" applyFont="1" applyAlignment="1" applyProtection="1">
      <alignment horizontal="center" vertical="center" shrinkToFit="1"/>
      <protection hidden="1"/>
    </xf>
    <xf numFmtId="4" fontId="57" fillId="0" borderId="0" xfId="0" applyNumberFormat="1" applyFont="1" applyAlignment="1" applyProtection="1">
      <alignment horizontal="center"/>
      <protection hidden="1"/>
    </xf>
    <xf numFmtId="0" fontId="36" fillId="0" borderId="40" xfId="0" applyFont="1" applyBorder="1" applyAlignment="1" applyProtection="1">
      <alignment horizontal="center" vertical="top"/>
      <protection hidden="1"/>
    </xf>
    <xf numFmtId="2" fontId="36" fillId="0" borderId="43" xfId="0" applyNumberFormat="1" applyFont="1" applyBorder="1" applyAlignment="1" applyProtection="1">
      <alignment horizontal="center" vertical="center" shrinkToFit="1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166" fontId="36" fillId="0" borderId="0" xfId="0" applyNumberFormat="1" applyFont="1" applyAlignment="1" applyProtection="1">
      <alignment horizontal="center" vertical="center" shrinkToFit="1"/>
      <protection hidden="1"/>
    </xf>
    <xf numFmtId="0" fontId="54" fillId="0" borderId="2" xfId="0" applyFont="1" applyBorder="1" applyAlignment="1" applyProtection="1">
      <alignment horizontal="center" vertical="center"/>
      <protection hidden="1"/>
    </xf>
    <xf numFmtId="2" fontId="36" fillId="0" borderId="20" xfId="0" applyNumberFormat="1" applyFont="1" applyBorder="1" applyAlignment="1" applyProtection="1">
      <alignment horizontal="right" vertical="center" shrinkToFit="1"/>
      <protection hidden="1"/>
    </xf>
    <xf numFmtId="0" fontId="27" fillId="0" borderId="6" xfId="0" applyFont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54" xfId="0" applyBorder="1" applyProtection="1">
      <protection hidden="1"/>
    </xf>
    <xf numFmtId="1" fontId="36" fillId="0" borderId="2" xfId="0" applyNumberFormat="1" applyFont="1" applyBorder="1" applyAlignment="1" applyProtection="1">
      <alignment horizontal="center"/>
      <protection hidden="1"/>
    </xf>
    <xf numFmtId="2" fontId="36" fillId="6" borderId="2" xfId="0" applyNumberFormat="1" applyFont="1" applyFill="1" applyBorder="1" applyAlignment="1" applyProtection="1">
      <alignment horizontal="right" vertical="center" shrinkToFit="1"/>
      <protection hidden="1"/>
    </xf>
    <xf numFmtId="0" fontId="32" fillId="0" borderId="0" xfId="0" applyFont="1" applyAlignment="1" applyProtection="1">
      <alignment horizontal="left" vertical="center" wrapText="1"/>
      <protection hidden="1"/>
    </xf>
    <xf numFmtId="1" fontId="55" fillId="0" borderId="2" xfId="0" applyNumberFormat="1" applyFont="1" applyBorder="1" applyAlignment="1" applyProtection="1">
      <alignment horizontal="center" vertical="center"/>
      <protection hidden="1"/>
    </xf>
    <xf numFmtId="2" fontId="36" fillId="6" borderId="20" xfId="0" applyNumberFormat="1" applyFont="1" applyFill="1" applyBorder="1" applyAlignment="1" applyProtection="1">
      <alignment horizontal="right" vertical="center" shrinkToFit="1"/>
      <protection hidden="1"/>
    </xf>
    <xf numFmtId="1" fontId="36" fillId="0" borderId="21" xfId="0" applyNumberFormat="1" applyFont="1" applyBorder="1" applyAlignment="1" applyProtection="1">
      <alignment horizontal="right" vertical="center" shrinkToFit="1"/>
      <protection hidden="1"/>
    </xf>
    <xf numFmtId="0" fontId="36" fillId="0" borderId="40" xfId="0" applyFont="1" applyBorder="1" applyAlignment="1" applyProtection="1">
      <alignment horizontal="center" wrapText="1"/>
      <protection hidden="1"/>
    </xf>
    <xf numFmtId="2" fontId="36" fillId="0" borderId="0" xfId="0" applyNumberFormat="1" applyFont="1" applyAlignment="1" applyProtection="1">
      <alignment horizontal="center" vertical="center" shrinkToFit="1"/>
      <protection hidden="1"/>
    </xf>
    <xf numFmtId="0" fontId="56" fillId="0" borderId="0" xfId="0" applyFont="1" applyAlignment="1" applyProtection="1">
      <alignment horizontal="left" vertical="center"/>
      <protection hidden="1"/>
    </xf>
    <xf numFmtId="0" fontId="7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0" fontId="5" fillId="0" borderId="50" xfId="0" applyFont="1" applyBorder="1" applyAlignment="1">
      <alignment horizontal="center"/>
    </xf>
    <xf numFmtId="0" fontId="19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8" fillId="0" borderId="4" xfId="0" applyFont="1" applyBorder="1" applyAlignment="1">
      <alignment horizontal="left" vertical="top" wrapText="1"/>
    </xf>
    <xf numFmtId="0" fontId="26" fillId="0" borderId="5" xfId="0" applyFont="1" applyBorder="1" applyAlignment="1">
      <alignment horizontal="left" vertical="center"/>
    </xf>
    <xf numFmtId="0" fontId="26" fillId="0" borderId="4" xfId="0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8" fillId="5" borderId="6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0" fillId="0" borderId="59" xfId="0" applyBorder="1"/>
    <xf numFmtId="49" fontId="5" fillId="0" borderId="5" xfId="0" applyNumberFormat="1" applyFont="1" applyBorder="1" applyAlignment="1">
      <alignment horizontal="left"/>
    </xf>
    <xf numFmtId="0" fontId="44" fillId="8" borderId="5" xfId="0" applyFont="1" applyFill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0" fillId="0" borderId="40" xfId="0" applyBorder="1"/>
    <xf numFmtId="0" fontId="0" fillId="0" borderId="57" xfId="0" applyBorder="1"/>
    <xf numFmtId="0" fontId="0" fillId="0" borderId="36" xfId="0" applyBorder="1"/>
    <xf numFmtId="0" fontId="0" fillId="0" borderId="48" xfId="0" applyBorder="1"/>
    <xf numFmtId="0" fontId="8" fillId="0" borderId="4" xfId="0" applyFont="1" applyBorder="1" applyAlignment="1">
      <alignment horizontal="left" vertical="center"/>
    </xf>
    <xf numFmtId="164" fontId="5" fillId="0" borderId="51" xfId="0" applyNumberFormat="1" applyFont="1" applyBorder="1" applyAlignment="1">
      <alignment horizontal="left"/>
    </xf>
    <xf numFmtId="0" fontId="0" fillId="0" borderId="58" xfId="0" applyBorder="1"/>
    <xf numFmtId="0" fontId="5" fillId="0" borderId="7" xfId="0" applyFont="1" applyBorder="1" applyAlignment="1">
      <alignment horizontal="left" vertical="center"/>
    </xf>
    <xf numFmtId="0" fontId="0" fillId="0" borderId="29" xfId="0" applyBorder="1"/>
    <xf numFmtId="0" fontId="6" fillId="0" borderId="21" xfId="0" applyFont="1" applyBorder="1" applyAlignment="1">
      <alignment horizontal="left"/>
    </xf>
    <xf numFmtId="0" fontId="59" fillId="0" borderId="9" xfId="0" applyFont="1" applyBorder="1" applyAlignment="1">
      <alignment horizontal="left"/>
    </xf>
    <xf numFmtId="0" fontId="0" fillId="0" borderId="43" xfId="0" applyBorder="1"/>
    <xf numFmtId="0" fontId="26" fillId="0" borderId="4" xfId="0" applyFont="1" applyBorder="1" applyAlignment="1">
      <alignment horizontal="left" vertical="center"/>
    </xf>
    <xf numFmtId="0" fontId="3" fillId="0" borderId="43" xfId="0" applyFont="1" applyBorder="1" applyAlignment="1">
      <alignment horizontal="center" shrinkToFit="1"/>
    </xf>
    <xf numFmtId="1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0" fillId="0" borderId="52" xfId="0" applyBorder="1"/>
    <xf numFmtId="0" fontId="3" fillId="0" borderId="2" xfId="0" applyFont="1" applyBorder="1" applyAlignment="1">
      <alignment horizontal="left" vertical="center"/>
    </xf>
    <xf numFmtId="0" fontId="0" fillId="0" borderId="12" xfId="0" applyBorder="1"/>
    <xf numFmtId="0" fontId="10" fillId="0" borderId="2" xfId="0" applyFont="1" applyBorder="1" applyAlignment="1">
      <alignment horizontal="center"/>
    </xf>
    <xf numFmtId="166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/>
    </xf>
    <xf numFmtId="166" fontId="10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</cellXfs>
  <cellStyles count="1">
    <cellStyle name="Normal" xfId="0" builtinId="0"/>
  </cellStyles>
  <dxfs count="19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EC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BF1DE"/>
      <rgbColor rgb="FFFFFF99"/>
      <rgbColor rgb="FFD9D9D9"/>
      <rgbColor rgb="FFFF99CC"/>
      <rgbColor rgb="FFCC99FF"/>
      <rgbColor rgb="FFFBD4B4"/>
      <rgbColor rgb="FF3366FF"/>
      <rgbColor rgb="FF33CCCC"/>
      <rgbColor rgb="FF99CC00"/>
      <rgbColor rgb="FFFFCC00"/>
      <rgbColor rgb="FFFF9900"/>
      <rgbColor rgb="FFFF6600"/>
      <rgbColor rgb="FF548DD4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94820</xdr:colOff>
      <xdr:row>92</xdr:row>
      <xdr:rowOff>44729</xdr:rowOff>
    </xdr:from>
    <xdr:to>
      <xdr:col>2</xdr:col>
      <xdr:colOff>2582985</xdr:colOff>
      <xdr:row>106</xdr:row>
      <xdr:rowOff>139769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4579" y="9037643"/>
          <a:ext cx="2488165" cy="2394178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490287</xdr:colOff>
      <xdr:row>0</xdr:row>
      <xdr:rowOff>113296</xdr:rowOff>
    </xdr:from>
    <xdr:to>
      <xdr:col>0</xdr:col>
      <xdr:colOff>1064814</xdr:colOff>
      <xdr:row>2</xdr:row>
      <xdr:rowOff>179288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FBDA5FF-9F85-4B3A-9178-58A19FBF7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51" t="6501" r="9329" b="11280"/>
        <a:stretch>
          <a:fillRect/>
        </a:stretch>
      </xdr:blipFill>
      <xdr:spPr bwMode="auto">
        <a:xfrm>
          <a:off x="490287" y="113296"/>
          <a:ext cx="574527" cy="56129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1793326</xdr:colOff>
      <xdr:row>0</xdr:row>
      <xdr:rowOff>45983</xdr:rowOff>
    </xdr:from>
    <xdr:to>
      <xdr:col>4</xdr:col>
      <xdr:colOff>401365</xdr:colOff>
      <xdr:row>1</xdr:row>
      <xdr:rowOff>72259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F1ECCF80-1CC4-81E6-15D2-586AFD31B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53" t="37525" r="23175" b="44726"/>
        <a:stretch/>
      </xdr:blipFill>
      <xdr:spPr>
        <a:xfrm>
          <a:off x="4723085" y="45983"/>
          <a:ext cx="1314452" cy="2758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9360</xdr:colOff>
      <xdr:row>220</xdr:row>
      <xdr:rowOff>152280</xdr:rowOff>
    </xdr:from>
    <xdr:to>
      <xdr:col>4</xdr:col>
      <xdr:colOff>94680</xdr:colOff>
      <xdr:row>221</xdr:row>
      <xdr:rowOff>161640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920" y="28260720"/>
          <a:ext cx="85320" cy="19980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4</xdr:col>
      <xdr:colOff>9360</xdr:colOff>
      <xdr:row>225</xdr:row>
      <xdr:rowOff>152280</xdr:rowOff>
    </xdr:from>
    <xdr:to>
      <xdr:col>4</xdr:col>
      <xdr:colOff>94680</xdr:colOff>
      <xdr:row>227</xdr:row>
      <xdr:rowOff>9000</xdr:rowOff>
    </xdr:to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920" y="29079720"/>
          <a:ext cx="85320" cy="2091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38160</xdr:colOff>
      <xdr:row>108</xdr:row>
      <xdr:rowOff>0</xdr:rowOff>
    </xdr:from>
    <xdr:to>
      <xdr:col>11</xdr:col>
      <xdr:colOff>59400</xdr:colOff>
      <xdr:row>110</xdr:row>
      <xdr:rowOff>19080</xdr:rowOff>
    </xdr:to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720" y="15478200"/>
          <a:ext cx="790200" cy="34272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266760</xdr:colOff>
      <xdr:row>16</xdr:row>
      <xdr:rowOff>19080</xdr:rowOff>
    </xdr:from>
    <xdr:to>
      <xdr:col>13</xdr:col>
      <xdr:colOff>487440</xdr:colOff>
      <xdr:row>31</xdr:row>
      <xdr:rowOff>123480</xdr:rowOff>
    </xdr:to>
    <xdr:pic>
      <xdr:nvPicPr>
        <xdr:cNvPr id="4" name="image5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9240" y="2610000"/>
          <a:ext cx="5581440" cy="253332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9</xdr:col>
      <xdr:colOff>76320</xdr:colOff>
      <xdr:row>0</xdr:row>
      <xdr:rowOff>95400</xdr:rowOff>
    </xdr:from>
    <xdr:to>
      <xdr:col>17</xdr:col>
      <xdr:colOff>120960</xdr:colOff>
      <xdr:row>15</xdr:row>
      <xdr:rowOff>28440</xdr:rowOff>
    </xdr:to>
    <xdr:pic>
      <xdr:nvPicPr>
        <xdr:cNvPr id="5" name="image6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7080" y="95400"/>
          <a:ext cx="4809600" cy="23619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181080</xdr:colOff>
      <xdr:row>0</xdr:row>
      <xdr:rowOff>142920</xdr:rowOff>
    </xdr:from>
    <xdr:to>
      <xdr:col>8</xdr:col>
      <xdr:colOff>578160</xdr:colOff>
      <xdr:row>14</xdr:row>
      <xdr:rowOff>161640</xdr:rowOff>
    </xdr:to>
    <xdr:pic>
      <xdr:nvPicPr>
        <xdr:cNvPr id="6" name="image7.jp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080" y="142920"/>
          <a:ext cx="5162040" cy="228564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22"/>
  <sheetViews>
    <sheetView showGridLines="0" tabSelected="1" topLeftCell="A115" zoomScaleNormal="100" workbookViewId="0">
      <selection activeCell="J18" sqref="J18"/>
    </sheetView>
  </sheetViews>
  <sheetFormatPr defaultColWidth="14.42578125" defaultRowHeight="12.75"/>
  <cols>
    <col min="1" max="1" width="23.28515625" customWidth="1"/>
    <col min="2" max="2" width="20.7109375" customWidth="1"/>
    <col min="3" max="3" width="39" customWidth="1"/>
    <col min="4" max="4" width="1.5703125" customWidth="1"/>
    <col min="5" max="5" width="18.7109375" customWidth="1"/>
    <col min="6" max="6" width="21.5703125" customWidth="1"/>
    <col min="7" max="7" width="12.5703125" customWidth="1"/>
    <col min="8" max="8" width="8.7109375" style="483" customWidth="1"/>
    <col min="9" max="9" width="20.140625" style="483" customWidth="1"/>
    <col min="10" max="10" width="31.7109375" style="483" customWidth="1"/>
    <col min="11" max="14" width="10.7109375" style="483" customWidth="1"/>
    <col min="15" max="17" width="9.28515625" style="483" customWidth="1"/>
    <col min="18" max="18" width="7.42578125" style="483" customWidth="1"/>
    <col min="19" max="19" width="9.28515625" style="483" customWidth="1"/>
    <col min="20" max="20" width="23.140625" style="492" customWidth="1"/>
    <col min="21" max="21" width="9.28515625" style="483" customWidth="1"/>
    <col min="22" max="22" width="16.5703125" style="483" customWidth="1"/>
    <col min="23" max="23" width="17" style="483" customWidth="1"/>
    <col min="24" max="29" width="9.28515625" style="483" customWidth="1"/>
    <col min="30" max="30" width="10" style="483" customWidth="1"/>
    <col min="31" max="46" width="9.28515625" style="483" customWidth="1"/>
    <col min="47" max="67" width="14.42578125" style="474" customWidth="1"/>
    <col min="68" max="90" width="14.42578125" style="1" customWidth="1"/>
  </cols>
  <sheetData>
    <row r="1" spans="1:46" ht="19.5" customHeight="1">
      <c r="A1" s="600"/>
      <c r="B1" s="571" t="s">
        <v>1354</v>
      </c>
      <c r="C1" s="571"/>
      <c r="D1" s="571"/>
      <c r="E1" s="571"/>
      <c r="F1" s="571"/>
      <c r="G1" s="572"/>
      <c r="H1" s="473"/>
      <c r="I1" s="460"/>
      <c r="J1" s="460"/>
      <c r="K1" s="461"/>
      <c r="L1" s="460"/>
      <c r="M1" s="460"/>
      <c r="N1" s="460"/>
      <c r="O1" s="460"/>
      <c r="P1" s="460"/>
      <c r="Q1" s="460"/>
      <c r="R1" s="460"/>
      <c r="S1" s="460"/>
      <c r="T1" s="462"/>
      <c r="U1" s="460"/>
      <c r="V1" s="460"/>
      <c r="W1" s="460"/>
      <c r="X1" s="460"/>
      <c r="Y1" s="460"/>
      <c r="Z1" s="460"/>
      <c r="AA1" s="460"/>
      <c r="AB1" s="473"/>
      <c r="AC1" s="543"/>
      <c r="AD1" s="473"/>
      <c r="AE1" s="473"/>
      <c r="AF1" s="473"/>
      <c r="AG1" s="473"/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  <c r="AT1" s="473"/>
    </row>
    <row r="2" spans="1:46" ht="19.5" customHeight="1">
      <c r="A2" s="592"/>
      <c r="B2" s="573"/>
      <c r="C2" s="573"/>
      <c r="D2" s="573"/>
      <c r="E2" s="573"/>
      <c r="F2" s="573"/>
      <c r="G2" s="574"/>
      <c r="H2" s="473"/>
      <c r="I2" s="550" t="s">
        <v>0</v>
      </c>
      <c r="J2" s="461"/>
      <c r="K2" s="463"/>
      <c r="L2" s="464"/>
      <c r="M2" s="464"/>
      <c r="N2" s="464"/>
      <c r="O2" s="464"/>
      <c r="P2" s="464"/>
      <c r="Q2" s="464"/>
      <c r="R2" s="464"/>
      <c r="S2" s="464">
        <f>TEKNİK!A2</f>
        <v>180</v>
      </c>
      <c r="T2" s="462">
        <f>TEKNİK!F2</f>
        <v>0.63</v>
      </c>
      <c r="U2" s="464">
        <f>TEKNİK!E2</f>
        <v>2005</v>
      </c>
      <c r="V2" s="464" t="str">
        <f>TEKNİK!I2</f>
        <v>Manuel Sağ</v>
      </c>
      <c r="W2" s="460">
        <f>TEKNİK!G2</f>
        <v>700</v>
      </c>
      <c r="X2" s="460" t="str">
        <f>TEKNİK!J2</f>
        <v>Sağ</v>
      </c>
      <c r="Y2" s="460" t="str">
        <f>TEKNİK!K2</f>
        <v>50 x 50 x 5</v>
      </c>
      <c r="Z2" s="460" t="str">
        <f>TEKNİK!N2</f>
        <v>Kremayer</v>
      </c>
      <c r="AA2" s="460">
        <f>TABLOLAR!A32</f>
        <v>6</v>
      </c>
      <c r="AB2" s="473"/>
      <c r="AC2" s="543"/>
      <c r="AD2" s="473"/>
      <c r="AE2" s="473"/>
      <c r="AF2" s="473"/>
      <c r="AG2" s="473"/>
      <c r="AH2" s="473"/>
      <c r="AI2" s="473"/>
      <c r="AJ2" s="473"/>
      <c r="AK2" s="473"/>
      <c r="AL2" s="473"/>
      <c r="AM2" s="473"/>
      <c r="AN2" s="473"/>
      <c r="AO2" s="473"/>
      <c r="AP2" s="473"/>
      <c r="AQ2" s="473"/>
      <c r="AR2" s="473"/>
      <c r="AS2" s="473"/>
      <c r="AT2" s="473"/>
    </row>
    <row r="3" spans="1:46" ht="26.25" customHeight="1" thickBot="1">
      <c r="A3" s="601"/>
      <c r="B3" s="575"/>
      <c r="C3" s="575"/>
      <c r="D3" s="575"/>
      <c r="E3" s="575"/>
      <c r="F3" s="575"/>
      <c r="G3" s="576"/>
      <c r="H3" s="473"/>
      <c r="I3" s="550"/>
      <c r="J3" s="461"/>
      <c r="K3" s="463"/>
      <c r="L3" s="464"/>
      <c r="M3" s="464"/>
      <c r="N3" s="464"/>
      <c r="O3" s="464"/>
      <c r="P3" s="464"/>
      <c r="Q3" s="464"/>
      <c r="R3" s="464"/>
      <c r="S3" s="464">
        <f>TEKNİK!A3</f>
        <v>225</v>
      </c>
      <c r="T3" s="462">
        <f>TEKNİK!F3</f>
        <v>0.8</v>
      </c>
      <c r="U3" s="464">
        <f>TEKNİK!E3</f>
        <v>2006</v>
      </c>
      <c r="V3" s="464" t="str">
        <f>TEKNİK!I3</f>
        <v>Manuel Sol</v>
      </c>
      <c r="W3" s="460">
        <f>TEKNİK!G3</f>
        <v>800</v>
      </c>
      <c r="X3" s="460" t="str">
        <f>TEKNİK!J3</f>
        <v>Sol</v>
      </c>
      <c r="Y3" s="460" t="str">
        <f>TEKNİK!K3</f>
        <v>70 x 65 x 9</v>
      </c>
      <c r="Z3" s="460" t="str">
        <f>TEKNİK!N3</f>
        <v>Otomatik Merkezi</v>
      </c>
      <c r="AA3" s="460">
        <f>TABLOLAR!A33</f>
        <v>6.5</v>
      </c>
      <c r="AB3" s="473"/>
      <c r="AC3" s="543"/>
      <c r="AD3" s="473"/>
      <c r="AE3" s="473"/>
      <c r="AF3" s="473"/>
      <c r="AG3" s="473"/>
      <c r="AH3" s="475"/>
      <c r="AI3" s="473"/>
      <c r="AJ3" s="473"/>
      <c r="AK3" s="473"/>
      <c r="AL3" s="473"/>
      <c r="AM3" s="473"/>
      <c r="AN3" s="473"/>
      <c r="AO3" s="473"/>
      <c r="AP3" s="473"/>
      <c r="AQ3" s="473"/>
      <c r="AR3" s="473"/>
      <c r="AS3" s="473"/>
      <c r="AT3" s="473"/>
    </row>
    <row r="4" spans="1:46" ht="47.25" hidden="1" customHeight="1">
      <c r="A4" s="594" t="s">
        <v>1</v>
      </c>
      <c r="B4" s="595"/>
      <c r="C4" s="596"/>
      <c r="D4" s="467"/>
      <c r="E4" s="614" t="s">
        <v>2</v>
      </c>
      <c r="F4" s="615"/>
      <c r="G4" s="2"/>
      <c r="H4" s="473"/>
      <c r="I4" s="550"/>
      <c r="J4" s="461" t="s">
        <v>3</v>
      </c>
      <c r="K4" s="463"/>
      <c r="L4" s="464"/>
      <c r="M4" s="464"/>
      <c r="N4" s="464"/>
      <c r="O4" s="464"/>
      <c r="P4" s="464"/>
      <c r="Q4" s="464"/>
      <c r="R4" s="464"/>
      <c r="S4" s="464">
        <f>TEKNİK!A4</f>
        <v>300</v>
      </c>
      <c r="T4" s="476">
        <f>TEKNİK!F4</f>
        <v>1</v>
      </c>
      <c r="U4" s="464">
        <f>TEKNİK!E4</f>
        <v>2007</v>
      </c>
      <c r="V4" s="464" t="str">
        <f>TEKNİK!I4</f>
        <v>Otomatik Merkezi</v>
      </c>
      <c r="W4" s="460">
        <f>TEKNİK!G4</f>
        <v>900</v>
      </c>
      <c r="X4" s="460" t="str">
        <f>TEKNİK!J4</f>
        <v>Arka</v>
      </c>
      <c r="Y4" s="460" t="str">
        <f>TEKNİK!K4</f>
        <v>89 x 62 x 15,88</v>
      </c>
      <c r="Z4" s="460" t="str">
        <f>TEKNİK!N4</f>
        <v>Teleskopik Sağ</v>
      </c>
      <c r="AA4" s="460">
        <f>TABLOLAR!A34</f>
        <v>7</v>
      </c>
      <c r="AB4" s="473"/>
      <c r="AC4" s="543"/>
      <c r="AD4" s="473"/>
      <c r="AE4" s="473"/>
      <c r="AF4" s="473"/>
      <c r="AG4" s="473"/>
      <c r="AH4" s="473"/>
      <c r="AI4" s="473"/>
      <c r="AJ4" s="473"/>
      <c r="AK4" s="473"/>
      <c r="AL4" s="473"/>
      <c r="AM4" s="473"/>
      <c r="AN4" s="473"/>
      <c r="AO4" s="473"/>
      <c r="AP4" s="473"/>
      <c r="AQ4" s="473"/>
      <c r="AR4" s="473"/>
      <c r="AS4" s="473"/>
      <c r="AT4" s="473"/>
    </row>
    <row r="5" spans="1:46" ht="47.25" hidden="1" customHeight="1" thickBot="1">
      <c r="A5" s="602" t="s">
        <v>4</v>
      </c>
      <c r="B5" s="603"/>
      <c r="C5" s="3"/>
      <c r="D5" s="467"/>
      <c r="E5" s="616"/>
      <c r="F5" s="617"/>
      <c r="G5" s="2"/>
      <c r="H5" s="473"/>
      <c r="I5" s="550"/>
      <c r="J5" s="461" t="s">
        <v>5</v>
      </c>
      <c r="K5" s="463"/>
      <c r="L5" s="464"/>
      <c r="M5" s="464"/>
      <c r="N5" s="464"/>
      <c r="O5" s="464"/>
      <c r="P5" s="464"/>
      <c r="Q5" s="464"/>
      <c r="R5" s="464"/>
      <c r="S5" s="464">
        <f>TEKNİK!A5</f>
        <v>320</v>
      </c>
      <c r="T5" s="462">
        <f>TEKNİK!F5</f>
        <v>1.2</v>
      </c>
      <c r="U5" s="464">
        <f>TEKNİK!E5</f>
        <v>2008</v>
      </c>
      <c r="V5" s="464" t="str">
        <f>TEKNİK!I5</f>
        <v>Teleskopik Sağ</v>
      </c>
      <c r="W5" s="460">
        <f>TEKNİK!G5</f>
        <v>1000</v>
      </c>
      <c r="X5" s="460"/>
      <c r="Y5" s="460" t="str">
        <f>TEKNİK!K5</f>
        <v>90 x 75 x 16</v>
      </c>
      <c r="Z5" s="460" t="str">
        <f>TEKNİK!N5</f>
        <v>Teleskopik Sol</v>
      </c>
      <c r="AA5" s="460">
        <f>TABLOLAR!A35</f>
        <v>8</v>
      </c>
      <c r="AB5" s="473"/>
      <c r="AC5" s="543"/>
      <c r="AD5" s="473"/>
      <c r="AE5" s="473"/>
      <c r="AF5" s="473"/>
      <c r="AG5" s="473"/>
      <c r="AH5" s="473"/>
      <c r="AI5" s="473"/>
      <c r="AJ5" s="473"/>
      <c r="AK5" s="473"/>
      <c r="AL5" s="473"/>
      <c r="AM5" s="473"/>
      <c r="AN5" s="473"/>
      <c r="AO5" s="473"/>
      <c r="AP5" s="473"/>
      <c r="AQ5" s="473"/>
      <c r="AR5" s="473"/>
      <c r="AS5" s="473"/>
      <c r="AT5" s="473"/>
    </row>
    <row r="6" spans="1:46" ht="47.25" hidden="1" customHeight="1" thickBot="1">
      <c r="A6" s="584" t="s">
        <v>6</v>
      </c>
      <c r="B6" s="585"/>
      <c r="C6" s="588"/>
      <c r="D6" s="467"/>
      <c r="E6" s="467"/>
      <c r="F6" s="496"/>
      <c r="G6" s="2"/>
      <c r="H6" s="473"/>
      <c r="I6" s="550"/>
      <c r="J6" s="461" t="s">
        <v>7</v>
      </c>
      <c r="K6" s="463"/>
      <c r="L6" s="464"/>
      <c r="M6" s="464"/>
      <c r="N6" s="464"/>
      <c r="O6" s="464"/>
      <c r="P6" s="464"/>
      <c r="Q6" s="464"/>
      <c r="R6" s="464"/>
      <c r="S6" s="464">
        <f>TEKNİK!A6</f>
        <v>375</v>
      </c>
      <c r="T6" s="462">
        <f>TEKNİK!F6</f>
        <v>1.6</v>
      </c>
      <c r="U6" s="464">
        <f>TEKNİK!E6</f>
        <v>2009</v>
      </c>
      <c r="V6" s="464" t="str">
        <f>TEKNİK!I6</f>
        <v>Teleskopik Sol</v>
      </c>
      <c r="W6" s="460">
        <f>TEKNİK!G6</f>
        <v>1100</v>
      </c>
      <c r="X6" s="460"/>
      <c r="Y6" s="460" t="str">
        <f>TEKNİK!K6</f>
        <v>125 x 82 x 16</v>
      </c>
      <c r="Z6" s="460"/>
      <c r="AA6" s="460">
        <f>TABLOLAR!A36</f>
        <v>9</v>
      </c>
      <c r="AB6" s="473"/>
      <c r="AC6" s="543"/>
      <c r="AD6" s="473"/>
      <c r="AE6" s="473"/>
      <c r="AF6" s="473"/>
      <c r="AG6" s="473"/>
      <c r="AH6" s="475"/>
      <c r="AI6" s="473"/>
      <c r="AJ6" s="473"/>
      <c r="AK6" s="473"/>
      <c r="AL6" s="473"/>
      <c r="AM6" s="473"/>
      <c r="AN6" s="473"/>
      <c r="AO6" s="473"/>
      <c r="AP6" s="473"/>
      <c r="AQ6" s="473"/>
      <c r="AR6" s="473"/>
      <c r="AS6" s="473"/>
      <c r="AT6" s="473"/>
    </row>
    <row r="7" spans="1:46" ht="47.25" hidden="1" customHeight="1" thickBot="1">
      <c r="A7" s="586"/>
      <c r="B7" s="587"/>
      <c r="C7" s="589"/>
      <c r="D7" s="467"/>
      <c r="E7" s="604" t="s">
        <v>8</v>
      </c>
      <c r="F7" s="605"/>
      <c r="G7" s="2"/>
      <c r="H7" s="473"/>
      <c r="I7" s="550"/>
      <c r="J7" s="461" t="s">
        <v>9</v>
      </c>
      <c r="K7" s="463"/>
      <c r="L7" s="464"/>
      <c r="M7" s="464"/>
      <c r="N7" s="464"/>
      <c r="O7" s="464"/>
      <c r="P7" s="464"/>
      <c r="Q7" s="464"/>
      <c r="R7" s="464"/>
      <c r="S7" s="464">
        <f>TEKNİK!A7</f>
        <v>400</v>
      </c>
      <c r="T7" s="462">
        <f>TEKNİK!F7</f>
        <v>2</v>
      </c>
      <c r="U7" s="464">
        <f>TEKNİK!E7</f>
        <v>2010</v>
      </c>
      <c r="V7" s="464"/>
      <c r="W7" s="460">
        <f>TEKNİK!G7</f>
        <v>1200</v>
      </c>
      <c r="X7" s="460"/>
      <c r="Y7" s="460" t="str">
        <f>TEKNİK!K7</f>
        <v>127 x 89 x 16</v>
      </c>
      <c r="Z7" s="460"/>
      <c r="AA7" s="460">
        <f>TABLOLAR!A37</f>
        <v>10</v>
      </c>
      <c r="AB7" s="473"/>
      <c r="AC7" s="543"/>
      <c r="AD7" s="473"/>
      <c r="AE7" s="473"/>
      <c r="AF7" s="473" t="s">
        <v>10</v>
      </c>
      <c r="AG7" s="473" t="s">
        <v>10</v>
      </c>
      <c r="AH7" s="473" t="s">
        <v>10</v>
      </c>
      <c r="AI7" s="473"/>
      <c r="AJ7" s="473"/>
      <c r="AK7" s="473"/>
      <c r="AL7" s="473"/>
      <c r="AM7" s="473"/>
      <c r="AN7" s="473"/>
      <c r="AO7" s="473"/>
      <c r="AP7" s="473"/>
      <c r="AQ7" s="473"/>
      <c r="AR7" s="473"/>
      <c r="AS7" s="473"/>
      <c r="AT7" s="473"/>
    </row>
    <row r="8" spans="1:46" ht="6" hidden="1" customHeight="1" thickBot="1">
      <c r="A8" s="624" t="s">
        <v>11</v>
      </c>
      <c r="B8" s="625"/>
      <c r="C8" s="4"/>
      <c r="D8" s="467"/>
      <c r="E8" s="5" t="s">
        <v>12</v>
      </c>
      <c r="F8" s="6"/>
      <c r="G8" s="2"/>
      <c r="H8" s="473"/>
      <c r="I8" s="550"/>
      <c r="J8" s="461" t="s">
        <v>13</v>
      </c>
      <c r="K8" s="463"/>
      <c r="L8" s="464"/>
      <c r="M8" s="464"/>
      <c r="N8" s="464"/>
      <c r="O8" s="464"/>
      <c r="P8" s="464"/>
      <c r="Q8" s="464"/>
      <c r="R8" s="464"/>
      <c r="S8" s="464">
        <f>TEKNİK!A8</f>
        <v>450</v>
      </c>
      <c r="T8" s="462">
        <f>TEKNİK!F8</f>
        <v>2.5</v>
      </c>
      <c r="U8" s="464">
        <f>TEKNİK!E8</f>
        <v>2011</v>
      </c>
      <c r="V8" s="464"/>
      <c r="W8" s="460">
        <f>TEKNİK!G8</f>
        <v>1300</v>
      </c>
      <c r="X8" s="460"/>
      <c r="Y8" s="460"/>
      <c r="Z8" s="460"/>
      <c r="AA8" s="460">
        <f>TABLOLAR!A38</f>
        <v>11</v>
      </c>
      <c r="AB8" s="473"/>
      <c r="AC8" s="543"/>
      <c r="AD8" s="473"/>
      <c r="AE8" s="473"/>
      <c r="AF8" s="473"/>
      <c r="AG8" s="473"/>
      <c r="AH8" s="473"/>
      <c r="AI8" s="473"/>
      <c r="AJ8" s="473"/>
      <c r="AK8" s="473"/>
      <c r="AL8" s="473"/>
      <c r="AM8" s="473"/>
      <c r="AN8" s="473"/>
      <c r="AO8" s="473"/>
      <c r="AP8" s="473"/>
      <c r="AQ8" s="473"/>
      <c r="AR8" s="473"/>
      <c r="AS8" s="473"/>
      <c r="AT8" s="473"/>
    </row>
    <row r="9" spans="1:46" ht="7.5" hidden="1" customHeight="1" thickBot="1">
      <c r="A9" s="7"/>
      <c r="B9" s="497"/>
      <c r="C9" s="498"/>
      <c r="D9" s="467"/>
      <c r="E9" s="389" t="s">
        <v>14</v>
      </c>
      <c r="F9" s="390"/>
      <c r="G9" s="2"/>
      <c r="H9" s="473"/>
      <c r="I9" s="550"/>
      <c r="J9" s="461" t="s">
        <v>15</v>
      </c>
      <c r="K9" s="463"/>
      <c r="L9" s="464"/>
      <c r="M9" s="464"/>
      <c r="N9" s="464"/>
      <c r="O9" s="464"/>
      <c r="P9" s="464"/>
      <c r="Q9" s="464"/>
      <c r="R9" s="464"/>
      <c r="S9" s="464">
        <f>TEKNİK!A9</f>
        <v>525</v>
      </c>
      <c r="T9" s="462">
        <f>TEKNİK!F9</f>
        <v>3</v>
      </c>
      <c r="U9" s="464">
        <f>TEKNİK!E9</f>
        <v>2012</v>
      </c>
      <c r="V9" s="464"/>
      <c r="W9" s="460">
        <f>TEKNİK!G9</f>
        <v>1400</v>
      </c>
      <c r="X9" s="460"/>
      <c r="Y9" s="460"/>
      <c r="Z9" s="460"/>
      <c r="AA9" s="460">
        <f>TABLOLAR!A39</f>
        <v>12</v>
      </c>
      <c r="AB9" s="473"/>
      <c r="AC9" s="543"/>
      <c r="AD9" s="473"/>
      <c r="AE9" s="473"/>
      <c r="AF9" s="473"/>
      <c r="AG9" s="473"/>
      <c r="AH9" s="473"/>
      <c r="AI9" s="473"/>
      <c r="AJ9" s="473"/>
      <c r="AK9" s="473"/>
      <c r="AL9" s="473"/>
      <c r="AM9" s="473"/>
      <c r="AN9" s="473"/>
      <c r="AO9" s="473"/>
      <c r="AP9" s="473"/>
      <c r="AQ9" s="473"/>
      <c r="AR9" s="473"/>
      <c r="AS9" s="473"/>
      <c r="AT9" s="473"/>
    </row>
    <row r="10" spans="1:46" ht="12.75" customHeight="1" thickBot="1">
      <c r="A10" s="609" t="s">
        <v>16</v>
      </c>
      <c r="B10" s="610"/>
      <c r="C10" s="611"/>
      <c r="D10" s="396"/>
      <c r="E10" s="436" t="s">
        <v>17</v>
      </c>
      <c r="F10" s="397"/>
      <c r="G10" s="437" t="s">
        <v>18</v>
      </c>
      <c r="H10" s="473"/>
      <c r="I10" s="550"/>
      <c r="J10" s="461" t="s">
        <v>19</v>
      </c>
      <c r="K10" s="463"/>
      <c r="L10" s="464"/>
      <c r="M10" s="464"/>
      <c r="N10" s="464"/>
      <c r="O10" s="464"/>
      <c r="P10" s="464"/>
      <c r="Q10" s="464"/>
      <c r="R10" s="464"/>
      <c r="S10" s="464">
        <f>TEKNİK!A10</f>
        <v>600</v>
      </c>
      <c r="T10" s="462">
        <f>TEKNİK!F10</f>
        <v>4</v>
      </c>
      <c r="U10" s="464">
        <f>TEKNİK!E10</f>
        <v>2013</v>
      </c>
      <c r="V10" s="464"/>
      <c r="W10" s="460"/>
      <c r="X10" s="460"/>
      <c r="Y10" s="460"/>
      <c r="Z10" s="460"/>
      <c r="AA10" s="460">
        <f>TABLOLAR!A40</f>
        <v>13</v>
      </c>
      <c r="AB10" s="473"/>
      <c r="AC10" s="543"/>
      <c r="AD10" s="473"/>
      <c r="AE10" s="473"/>
      <c r="AF10" s="473"/>
      <c r="AG10" s="473"/>
      <c r="AH10" s="473"/>
      <c r="AI10" s="473"/>
      <c r="AJ10" s="473"/>
      <c r="AK10" s="473"/>
      <c r="AL10" s="473"/>
      <c r="AM10" s="473"/>
      <c r="AN10" s="473"/>
      <c r="AO10" s="473"/>
      <c r="AP10" s="473"/>
      <c r="AQ10" s="473"/>
      <c r="AR10" s="473"/>
      <c r="AS10" s="473"/>
      <c r="AT10" s="473"/>
    </row>
    <row r="11" spans="1:46" ht="13.5" hidden="1" customHeight="1">
      <c r="A11" s="393"/>
      <c r="B11" s="394"/>
      <c r="C11" s="395"/>
      <c r="D11" s="467"/>
      <c r="E11" s="405"/>
      <c r="F11" s="391"/>
      <c r="G11" s="392"/>
      <c r="H11" s="473"/>
      <c r="I11" s="550"/>
      <c r="J11" s="461" t="s">
        <v>20</v>
      </c>
      <c r="K11" s="463"/>
      <c r="L11" s="464"/>
      <c r="M11" s="464"/>
      <c r="N11" s="464"/>
      <c r="O11" s="464"/>
      <c r="P11" s="464"/>
      <c r="Q11" s="464"/>
      <c r="R11" s="464"/>
      <c r="S11" s="464">
        <f>TEKNİK!A11</f>
        <v>630</v>
      </c>
      <c r="T11" s="462">
        <f>TEKNİK!F11</f>
        <v>5</v>
      </c>
      <c r="U11" s="464">
        <f>TEKNİK!E11</f>
        <v>2014</v>
      </c>
      <c r="V11" s="464"/>
      <c r="W11" s="460"/>
      <c r="X11" s="460"/>
      <c r="Y11" s="460"/>
      <c r="Z11" s="460"/>
      <c r="AA11" s="460">
        <f>TABLOLAR!A41</f>
        <v>14</v>
      </c>
      <c r="AB11" s="473"/>
      <c r="AC11" s="543"/>
      <c r="AD11" s="473"/>
      <c r="AE11" s="473"/>
      <c r="AF11" s="473"/>
      <c r="AG11" s="473"/>
      <c r="AH11" s="473"/>
      <c r="AI11" s="473"/>
      <c r="AJ11" s="473"/>
      <c r="AK11" s="473"/>
      <c r="AL11" s="473"/>
      <c r="AM11" s="473"/>
      <c r="AN11" s="473"/>
      <c r="AO11" s="473"/>
      <c r="AP11" s="473"/>
      <c r="AQ11" s="473"/>
      <c r="AR11" s="473"/>
      <c r="AS11" s="473"/>
      <c r="AT11" s="473"/>
    </row>
    <row r="12" spans="1:46" ht="12.75" customHeight="1">
      <c r="A12" s="590" t="s">
        <v>21</v>
      </c>
      <c r="B12" s="591"/>
      <c r="C12" s="411"/>
      <c r="D12" s="467"/>
      <c r="E12" s="406" t="s">
        <v>22</v>
      </c>
      <c r="F12" s="8"/>
      <c r="G12" s="9">
        <v>3000</v>
      </c>
      <c r="H12" s="477"/>
      <c r="I12" s="550">
        <v>2000</v>
      </c>
      <c r="J12" s="461" t="s">
        <v>23</v>
      </c>
      <c r="K12" s="463"/>
      <c r="L12" s="464"/>
      <c r="M12" s="464"/>
      <c r="N12" s="464"/>
      <c r="O12" s="464"/>
      <c r="P12" s="464"/>
      <c r="Q12" s="464"/>
      <c r="R12" s="464"/>
      <c r="S12" s="464">
        <f>TEKNİK!A12</f>
        <v>675</v>
      </c>
      <c r="T12" s="462">
        <f>TEKNİK!F12</f>
        <v>6</v>
      </c>
      <c r="U12" s="464">
        <f>TEKNİK!E12</f>
        <v>2015</v>
      </c>
      <c r="V12" s="464"/>
      <c r="W12" s="460"/>
      <c r="X12" s="460"/>
      <c r="Y12" s="460"/>
      <c r="Z12" s="460"/>
      <c r="AA12" s="460">
        <f>TABLOLAR!A42</f>
        <v>15</v>
      </c>
      <c r="AB12" s="473"/>
      <c r="AC12" s="543"/>
      <c r="AD12" s="473"/>
      <c r="AE12" s="473"/>
      <c r="AF12" s="473"/>
      <c r="AG12" s="473"/>
      <c r="AH12" s="473"/>
      <c r="AI12" s="473"/>
      <c r="AJ12" s="473"/>
      <c r="AK12" s="473"/>
      <c r="AL12" s="473"/>
      <c r="AM12" s="473"/>
      <c r="AN12" s="473"/>
      <c r="AO12" s="473"/>
      <c r="AP12" s="473"/>
      <c r="AQ12" s="473"/>
      <c r="AR12" s="473"/>
      <c r="AS12" s="473"/>
      <c r="AT12" s="473"/>
    </row>
    <row r="13" spans="1:46" ht="12.75" customHeight="1">
      <c r="A13" s="590" t="s">
        <v>24</v>
      </c>
      <c r="B13" s="591"/>
      <c r="C13" s="612"/>
      <c r="D13" s="467"/>
      <c r="E13" s="406" t="s">
        <v>25</v>
      </c>
      <c r="F13" s="8"/>
      <c r="G13" s="9">
        <v>3000</v>
      </c>
      <c r="H13" s="473"/>
      <c r="I13" s="550">
        <v>2100</v>
      </c>
      <c r="J13" s="461" t="s">
        <v>26</v>
      </c>
      <c r="K13" s="463"/>
      <c r="L13" s="464"/>
      <c r="M13" s="464"/>
      <c r="N13" s="464"/>
      <c r="O13" s="464"/>
      <c r="P13" s="464"/>
      <c r="Q13" s="464"/>
      <c r="R13" s="464"/>
      <c r="S13" s="464">
        <f>TEKNİK!A13</f>
        <v>750</v>
      </c>
      <c r="T13" s="462">
        <f>TEKNİK!F14</f>
        <v>0</v>
      </c>
      <c r="U13" s="464">
        <f>TEKNİK!E13</f>
        <v>2016</v>
      </c>
      <c r="V13" s="464"/>
      <c r="W13" s="460"/>
      <c r="X13" s="460"/>
      <c r="Y13" s="460"/>
      <c r="Z13" s="460"/>
      <c r="AA13" s="460">
        <f>TABLOLAR!A43</f>
        <v>16</v>
      </c>
      <c r="AB13" s="473"/>
      <c r="AC13" s="543"/>
      <c r="AD13" s="473"/>
      <c r="AE13" s="473"/>
      <c r="AF13" s="473"/>
      <c r="AG13" s="473"/>
      <c r="AH13" s="473"/>
      <c r="AI13" s="473"/>
      <c r="AJ13" s="473"/>
      <c r="AK13" s="473"/>
      <c r="AL13" s="473"/>
      <c r="AM13" s="473"/>
      <c r="AN13" s="473"/>
      <c r="AO13" s="473"/>
      <c r="AP13" s="473"/>
      <c r="AQ13" s="473"/>
      <c r="AR13" s="473"/>
      <c r="AS13" s="473"/>
      <c r="AT13" s="473"/>
    </row>
    <row r="14" spans="1:46" ht="12.75" customHeight="1">
      <c r="A14" s="592"/>
      <c r="B14" s="591"/>
      <c r="C14" s="613"/>
      <c r="D14" s="467"/>
      <c r="E14" s="406" t="s">
        <v>27</v>
      </c>
      <c r="F14" s="8"/>
      <c r="G14" s="9">
        <v>3000</v>
      </c>
      <c r="H14" s="473"/>
      <c r="I14" s="550">
        <v>2200</v>
      </c>
      <c r="J14" s="461" t="s">
        <v>28</v>
      </c>
      <c r="K14" s="463"/>
      <c r="L14" s="464"/>
      <c r="M14" s="464"/>
      <c r="N14" s="464"/>
      <c r="O14" s="464"/>
      <c r="P14" s="464"/>
      <c r="Q14" s="464"/>
      <c r="R14" s="464"/>
      <c r="S14" s="464">
        <f>TEKNİK!A14</f>
        <v>800</v>
      </c>
      <c r="T14" s="462">
        <f>TEKNİK!F15</f>
        <v>0</v>
      </c>
      <c r="U14" s="464">
        <f>TEKNİK!E14</f>
        <v>2017</v>
      </c>
      <c r="V14" s="464"/>
      <c r="W14" s="460"/>
      <c r="X14" s="460"/>
      <c r="Y14" s="460"/>
      <c r="Z14" s="460"/>
      <c r="AA14" s="460"/>
      <c r="AB14" s="473"/>
      <c r="AC14" s="543"/>
      <c r="AD14" s="473"/>
      <c r="AE14" s="473"/>
      <c r="AF14" s="473"/>
      <c r="AG14" s="473"/>
      <c r="AH14" s="473"/>
      <c r="AI14" s="473"/>
      <c r="AJ14" s="473"/>
      <c r="AK14" s="473"/>
      <c r="AL14" s="473"/>
      <c r="AM14" s="473"/>
      <c r="AN14" s="473"/>
      <c r="AO14" s="473"/>
      <c r="AP14" s="473"/>
      <c r="AQ14" s="473"/>
      <c r="AR14" s="473"/>
      <c r="AS14" s="473"/>
      <c r="AT14" s="473"/>
    </row>
    <row r="15" spans="1:46" ht="12.75" customHeight="1">
      <c r="A15" s="622" t="s">
        <v>29</v>
      </c>
      <c r="B15" s="591"/>
      <c r="C15" s="10"/>
      <c r="D15" s="467"/>
      <c r="E15" s="406" t="s">
        <v>30</v>
      </c>
      <c r="F15" s="8"/>
      <c r="G15" s="9">
        <v>3000</v>
      </c>
      <c r="H15" s="473"/>
      <c r="I15" s="550">
        <v>2300</v>
      </c>
      <c r="J15" s="461" t="s">
        <v>31</v>
      </c>
      <c r="K15" s="463"/>
      <c r="L15" s="464"/>
      <c r="M15" s="464"/>
      <c r="N15" s="464"/>
      <c r="O15" s="464"/>
      <c r="P15" s="464"/>
      <c r="Q15" s="464"/>
      <c r="R15" s="464"/>
      <c r="S15" s="464">
        <f>TEKNİK!A15</f>
        <v>825</v>
      </c>
      <c r="T15" s="462">
        <f>TEKNİK!F16</f>
        <v>0</v>
      </c>
      <c r="U15" s="464">
        <f>TEKNİK!E15</f>
        <v>2018</v>
      </c>
      <c r="V15" s="464"/>
      <c r="W15" s="460"/>
      <c r="X15" s="460"/>
      <c r="Y15" s="460"/>
      <c r="Z15" s="460"/>
      <c r="AA15" s="460"/>
      <c r="AB15" s="473"/>
      <c r="AC15" s="543"/>
      <c r="AD15" s="473"/>
      <c r="AE15" s="473"/>
      <c r="AF15" s="473"/>
      <c r="AG15" s="473"/>
      <c r="AH15" s="473"/>
      <c r="AI15" s="473"/>
      <c r="AJ15" s="473"/>
      <c r="AK15" s="473"/>
      <c r="AL15" s="473"/>
      <c r="AM15" s="473"/>
      <c r="AN15" s="473"/>
      <c r="AO15" s="473"/>
      <c r="AP15" s="473"/>
      <c r="AQ15" s="473"/>
      <c r="AR15" s="473"/>
      <c r="AS15" s="473"/>
      <c r="AT15" s="473"/>
    </row>
    <row r="16" spans="1:46" ht="12.75" customHeight="1" thickBot="1">
      <c r="A16" s="606" t="s">
        <v>32</v>
      </c>
      <c r="B16" s="607"/>
      <c r="C16" s="412"/>
      <c r="D16" s="467"/>
      <c r="E16" s="406" t="s">
        <v>33</v>
      </c>
      <c r="F16" s="8"/>
      <c r="G16" s="9">
        <v>3000</v>
      </c>
      <c r="H16" s="473"/>
      <c r="I16" s="550" t="s">
        <v>1355</v>
      </c>
      <c r="J16" s="461" t="s">
        <v>34</v>
      </c>
      <c r="K16" s="463"/>
      <c r="L16" s="464"/>
      <c r="M16" s="464"/>
      <c r="N16" s="464"/>
      <c r="O16" s="464"/>
      <c r="P16" s="464"/>
      <c r="Q16" s="464"/>
      <c r="R16" s="464"/>
      <c r="S16" s="464">
        <f>TEKNİK!A16</f>
        <v>900</v>
      </c>
      <c r="T16" s="462">
        <f>TEKNİK!F17</f>
        <v>0</v>
      </c>
      <c r="U16" s="464">
        <f>TEKNİK!E16</f>
        <v>2019</v>
      </c>
      <c r="V16" s="464"/>
      <c r="W16" s="460"/>
      <c r="X16" s="460"/>
      <c r="Y16" s="460"/>
      <c r="Z16" s="460"/>
      <c r="AA16" s="460"/>
      <c r="AB16" s="473"/>
      <c r="AC16" s="543"/>
      <c r="AD16" s="473"/>
      <c r="AE16" s="473"/>
      <c r="AF16" s="473"/>
      <c r="AG16" s="473"/>
      <c r="AH16" s="473"/>
      <c r="AI16" s="473"/>
      <c r="AJ16" s="473"/>
      <c r="AK16" s="473"/>
      <c r="AL16" s="473"/>
      <c r="AM16" s="473"/>
      <c r="AN16" s="473"/>
      <c r="AO16" s="473"/>
      <c r="AP16" s="473"/>
      <c r="AQ16" s="473"/>
      <c r="AR16" s="473"/>
      <c r="AS16" s="473"/>
      <c r="AT16" s="473"/>
    </row>
    <row r="17" spans="1:46" ht="12.75" customHeight="1">
      <c r="A17" s="608"/>
      <c r="B17" s="581"/>
      <c r="C17" s="472"/>
      <c r="D17" s="467"/>
      <c r="E17" s="406" t="s">
        <v>35</v>
      </c>
      <c r="F17" s="8"/>
      <c r="G17" s="9">
        <v>3000</v>
      </c>
      <c r="H17" s="473"/>
      <c r="I17" s="550">
        <v>6</v>
      </c>
      <c r="J17" s="461" t="s">
        <v>36</v>
      </c>
      <c r="K17" s="463"/>
      <c r="L17" s="464"/>
      <c r="M17" s="464"/>
      <c r="N17" s="464"/>
      <c r="O17" s="464"/>
      <c r="P17" s="464"/>
      <c r="Q17" s="464"/>
      <c r="R17" s="464"/>
      <c r="S17" s="464">
        <f>TEKNİK!A17</f>
        <v>975</v>
      </c>
      <c r="T17" s="462">
        <f>TEKNİK!F18</f>
        <v>0</v>
      </c>
      <c r="U17" s="464">
        <f>TEKNİK!E17</f>
        <v>2020</v>
      </c>
      <c r="V17" s="464"/>
      <c r="W17" s="460"/>
      <c r="X17" s="460"/>
      <c r="Y17" s="460"/>
      <c r="Z17" s="460"/>
      <c r="AA17" s="460"/>
      <c r="AB17" s="473"/>
      <c r="AC17" s="543"/>
      <c r="AD17" s="473"/>
      <c r="AE17" s="473"/>
      <c r="AF17" s="473"/>
      <c r="AG17" s="473"/>
      <c r="AH17" s="473"/>
      <c r="AI17" s="473"/>
      <c r="AJ17" s="473"/>
      <c r="AK17" s="473"/>
      <c r="AL17" s="473"/>
      <c r="AM17" s="473"/>
      <c r="AN17" s="473"/>
      <c r="AO17" s="473"/>
      <c r="AP17" s="473"/>
      <c r="AQ17" s="473"/>
      <c r="AR17" s="473"/>
      <c r="AS17" s="473"/>
      <c r="AT17" s="473"/>
    </row>
    <row r="18" spans="1:46" ht="12.75" customHeight="1">
      <c r="A18" s="608"/>
      <c r="B18" s="581"/>
      <c r="C18" s="472"/>
      <c r="D18" s="467"/>
      <c r="E18" s="406" t="s">
        <v>37</v>
      </c>
      <c r="F18" s="8"/>
      <c r="G18" s="9">
        <v>3000</v>
      </c>
      <c r="H18" s="473"/>
      <c r="I18" s="550">
        <v>6.5</v>
      </c>
      <c r="J18" s="461" t="s">
        <v>38</v>
      </c>
      <c r="K18" s="463"/>
      <c r="L18" s="464"/>
      <c r="M18" s="464"/>
      <c r="N18" s="464"/>
      <c r="O18" s="464"/>
      <c r="P18" s="464"/>
      <c r="Q18" s="464"/>
      <c r="R18" s="464"/>
      <c r="S18" s="464">
        <f>TEKNİK!A18</f>
        <v>1000</v>
      </c>
      <c r="T18" s="462"/>
      <c r="U18" s="464">
        <f>TEKNİK!E18</f>
        <v>2021</v>
      </c>
      <c r="V18" s="464"/>
      <c r="W18" s="460"/>
      <c r="X18" s="460"/>
      <c r="Y18" s="460"/>
      <c r="Z18" s="460"/>
      <c r="AA18" s="460"/>
      <c r="AB18" s="473"/>
      <c r="AC18" s="543"/>
      <c r="AD18" s="473"/>
      <c r="AE18" s="473"/>
      <c r="AF18" s="473"/>
      <c r="AG18" s="473"/>
      <c r="AH18" s="473"/>
      <c r="AI18" s="473"/>
      <c r="AJ18" s="473"/>
      <c r="AK18" s="473"/>
      <c r="AL18" s="473"/>
      <c r="AM18" s="473"/>
      <c r="AN18" s="473"/>
      <c r="AO18" s="473"/>
      <c r="AP18" s="473"/>
      <c r="AQ18" s="473"/>
      <c r="AR18" s="473"/>
      <c r="AS18" s="473"/>
      <c r="AT18" s="473"/>
    </row>
    <row r="19" spans="1:46" ht="12.75" customHeight="1">
      <c r="A19" s="608"/>
      <c r="B19" s="581"/>
      <c r="C19" s="496"/>
      <c r="D19" s="467"/>
      <c r="E19" s="406" t="s">
        <v>39</v>
      </c>
      <c r="F19" s="8"/>
      <c r="G19" s="9">
        <v>3750</v>
      </c>
      <c r="H19" s="473"/>
      <c r="I19" s="550">
        <v>8</v>
      </c>
      <c r="J19" s="461" t="s">
        <v>40</v>
      </c>
      <c r="K19" s="463"/>
      <c r="L19" s="464"/>
      <c r="M19" s="464"/>
      <c r="N19" s="464"/>
      <c r="O19" s="464"/>
      <c r="P19" s="464"/>
      <c r="Q19" s="464"/>
      <c r="R19" s="464"/>
      <c r="S19" s="464">
        <v>1125</v>
      </c>
      <c r="T19" s="462"/>
      <c r="U19" s="464">
        <f>TEKNİK!E19</f>
        <v>2022</v>
      </c>
      <c r="V19" s="464"/>
      <c r="W19" s="460"/>
      <c r="X19" s="460"/>
      <c r="Y19" s="460"/>
      <c r="Z19" s="460"/>
      <c r="AA19" s="460"/>
      <c r="AB19" s="473"/>
      <c r="AC19" s="543"/>
      <c r="AD19" s="473"/>
      <c r="AE19" s="473"/>
      <c r="AF19" s="473"/>
      <c r="AG19" s="473"/>
      <c r="AH19" s="473"/>
      <c r="AI19" s="473"/>
      <c r="AJ19" s="473"/>
      <c r="AK19" s="473"/>
      <c r="AL19" s="473"/>
      <c r="AM19" s="473"/>
      <c r="AN19" s="473"/>
      <c r="AO19" s="473"/>
      <c r="AP19" s="473"/>
      <c r="AQ19" s="473"/>
      <c r="AR19" s="473"/>
      <c r="AS19" s="473"/>
      <c r="AT19" s="473"/>
    </row>
    <row r="20" spans="1:46" ht="12.75" customHeight="1" thickBot="1">
      <c r="A20" s="7"/>
      <c r="B20" s="497"/>
      <c r="C20" s="496"/>
      <c r="D20" s="467"/>
      <c r="E20" s="406" t="s">
        <v>41</v>
      </c>
      <c r="F20" s="8"/>
      <c r="G20" s="9"/>
      <c r="H20" s="473"/>
      <c r="I20" s="461"/>
      <c r="J20" s="461" t="s">
        <v>42</v>
      </c>
      <c r="K20" s="463"/>
      <c r="L20" s="464"/>
      <c r="M20" s="464"/>
      <c r="N20" s="464"/>
      <c r="O20" s="464"/>
      <c r="P20" s="464"/>
      <c r="Q20" s="464"/>
      <c r="R20" s="464"/>
      <c r="S20" s="464">
        <v>1200</v>
      </c>
      <c r="T20" s="462"/>
      <c r="U20" s="464">
        <f>TEKNİK!E20</f>
        <v>2023</v>
      </c>
      <c r="V20" s="464"/>
      <c r="W20" s="460"/>
      <c r="X20" s="460"/>
      <c r="Y20" s="460"/>
      <c r="Z20" s="460"/>
      <c r="AA20" s="460"/>
      <c r="AB20" s="473"/>
      <c r="AC20" s="543"/>
      <c r="AD20" s="473"/>
      <c r="AE20" s="473"/>
      <c r="AF20" s="473"/>
      <c r="AG20" s="473"/>
      <c r="AH20" s="473"/>
      <c r="AI20" s="473"/>
      <c r="AJ20" s="473"/>
      <c r="AK20" s="473"/>
      <c r="AL20" s="473"/>
      <c r="AM20" s="473"/>
      <c r="AN20" s="473"/>
      <c r="AO20" s="473"/>
      <c r="AP20" s="473"/>
      <c r="AQ20" s="473"/>
      <c r="AR20" s="473"/>
      <c r="AS20" s="473"/>
      <c r="AT20" s="473"/>
    </row>
    <row r="21" spans="1:46" ht="12.75" customHeight="1" thickBot="1">
      <c r="A21" s="577" t="s">
        <v>43</v>
      </c>
      <c r="B21" s="578"/>
      <c r="C21" s="579"/>
      <c r="D21" s="467"/>
      <c r="E21" s="406" t="s">
        <v>44</v>
      </c>
      <c r="F21" s="8"/>
      <c r="G21" s="9"/>
      <c r="H21" s="473"/>
      <c r="I21" s="461"/>
      <c r="J21" s="461" t="s">
        <v>45</v>
      </c>
      <c r="K21" s="463"/>
      <c r="L21" s="464"/>
      <c r="M21" s="464"/>
      <c r="N21" s="464"/>
      <c r="O21" s="464"/>
      <c r="P21" s="464"/>
      <c r="Q21" s="464"/>
      <c r="R21" s="464"/>
      <c r="S21" s="464">
        <v>1275</v>
      </c>
      <c r="T21" s="462"/>
      <c r="U21" s="464">
        <f>TEKNİK!E21</f>
        <v>2024</v>
      </c>
      <c r="V21" s="464"/>
      <c r="W21" s="460"/>
      <c r="X21" s="460"/>
      <c r="Y21" s="460"/>
      <c r="Z21" s="460"/>
      <c r="AA21" s="460"/>
      <c r="AB21" s="473"/>
      <c r="AC21" s="543"/>
      <c r="AD21" s="473"/>
      <c r="AE21" s="473"/>
      <c r="AF21" s="473"/>
      <c r="AG21" s="473"/>
      <c r="AH21" s="473"/>
      <c r="AI21" s="473"/>
      <c r="AJ21" s="473"/>
      <c r="AK21" s="473"/>
      <c r="AL21" s="473"/>
      <c r="AM21" s="473"/>
      <c r="AN21" s="473"/>
      <c r="AO21" s="473"/>
      <c r="AP21" s="473"/>
      <c r="AQ21" s="473"/>
      <c r="AR21" s="473"/>
      <c r="AS21" s="473"/>
      <c r="AT21" s="473"/>
    </row>
    <row r="22" spans="1:46" ht="12.75" customHeight="1">
      <c r="A22" s="653" t="s">
        <v>46</v>
      </c>
      <c r="B22" s="654"/>
      <c r="C22" s="416"/>
      <c r="D22" s="467"/>
      <c r="E22" s="406" t="s">
        <v>47</v>
      </c>
      <c r="F22" s="8"/>
      <c r="G22" s="9"/>
      <c r="H22" s="473"/>
      <c r="I22" s="461"/>
      <c r="J22" s="461"/>
      <c r="K22" s="463"/>
      <c r="L22" s="464"/>
      <c r="M22" s="464"/>
      <c r="N22" s="464"/>
      <c r="O22" s="464"/>
      <c r="P22" s="464"/>
      <c r="Q22" s="464"/>
      <c r="R22" s="464"/>
      <c r="S22" s="464">
        <v>1600</v>
      </c>
      <c r="T22" s="462"/>
      <c r="U22" s="464">
        <f>TEKNİK!E22</f>
        <v>2025</v>
      </c>
      <c r="V22" s="464"/>
      <c r="W22" s="460"/>
      <c r="X22" s="460"/>
      <c r="Y22" s="460"/>
      <c r="Z22" s="460"/>
      <c r="AA22" s="460"/>
      <c r="AB22" s="473"/>
      <c r="AC22" s="543"/>
      <c r="AD22" s="473"/>
      <c r="AE22" s="473"/>
      <c r="AF22" s="473"/>
      <c r="AG22" s="473"/>
      <c r="AH22" s="473"/>
      <c r="AI22" s="473"/>
      <c r="AJ22" s="473"/>
      <c r="AK22" s="473"/>
      <c r="AL22" s="473"/>
      <c r="AM22" s="473"/>
      <c r="AN22" s="473"/>
      <c r="AO22" s="473"/>
      <c r="AP22" s="473"/>
      <c r="AQ22" s="473"/>
      <c r="AR22" s="473"/>
      <c r="AS22" s="473"/>
      <c r="AT22" s="473"/>
    </row>
    <row r="23" spans="1:46" ht="27" customHeight="1">
      <c r="A23" s="669" t="s">
        <v>48</v>
      </c>
      <c r="B23" s="591"/>
      <c r="C23" s="413"/>
      <c r="D23" s="467"/>
      <c r="E23" s="406" t="s">
        <v>49</v>
      </c>
      <c r="F23" s="8"/>
      <c r="G23" s="9"/>
      <c r="H23" s="473"/>
      <c r="I23" s="461"/>
      <c r="J23" s="461" t="str">
        <f>"DOLDURULMAMIŞ PROJE ALANI: "&amp;(COUNTBLANK(C12)+COUNTBLANK(C13)+COUNTBLANK(C15)+COUNTBLANK(C16)+COUNTBLANK(C22)+COUNTBLANK(C23)+COUNTBLANK(C26)+COUNTBLANK(C28)+COUNTBLANK(C57)+COUNTBLANK(C62)+COUNTBLANK(F94)+COUNTBLANK(F96))&amp;" / 12"</f>
        <v>DOLDURULMAMIŞ PROJE ALANI: 11 / 12</v>
      </c>
      <c r="K23" s="463"/>
      <c r="L23" s="464"/>
      <c r="M23" s="464"/>
      <c r="N23" s="464"/>
      <c r="O23" s="464"/>
      <c r="P23" s="464"/>
      <c r="Q23" s="464"/>
      <c r="R23" s="464"/>
      <c r="S23" s="464">
        <v>2000</v>
      </c>
      <c r="T23" s="462"/>
      <c r="U23" s="464">
        <f>TEKNİK!E23</f>
        <v>2026</v>
      </c>
      <c r="V23" s="464"/>
      <c r="W23" s="460"/>
      <c r="X23" s="460"/>
      <c r="Y23" s="460"/>
      <c r="Z23" s="460"/>
      <c r="AA23" s="460"/>
      <c r="AB23" s="473"/>
      <c r="AC23" s="543"/>
      <c r="AD23" s="473"/>
      <c r="AE23" s="473"/>
      <c r="AF23" s="473"/>
      <c r="AG23" s="473"/>
      <c r="AH23" s="473"/>
      <c r="AI23" s="473"/>
      <c r="AJ23" s="473"/>
      <c r="AK23" s="473"/>
      <c r="AL23" s="473"/>
      <c r="AM23" s="473"/>
      <c r="AN23" s="473"/>
      <c r="AO23" s="473"/>
      <c r="AP23" s="473"/>
      <c r="AQ23" s="473"/>
      <c r="AR23" s="473"/>
      <c r="AS23" s="473"/>
      <c r="AT23" s="473"/>
    </row>
    <row r="24" spans="1:46" ht="12.75" hidden="1" customHeight="1">
      <c r="A24" s="11"/>
      <c r="B24" s="12"/>
      <c r="C24" s="414"/>
      <c r="D24" s="467"/>
      <c r="E24" s="406"/>
      <c r="F24" s="8"/>
      <c r="G24" s="9"/>
      <c r="H24" s="473"/>
      <c r="I24" s="461"/>
      <c r="J24" s="461"/>
      <c r="K24" s="463"/>
      <c r="L24" s="464"/>
      <c r="M24" s="464"/>
      <c r="N24" s="464"/>
      <c r="O24" s="464"/>
      <c r="P24" s="464"/>
      <c r="Q24" s="464"/>
      <c r="R24" s="464"/>
      <c r="S24" s="464"/>
      <c r="T24" s="462"/>
      <c r="U24" s="464">
        <f>TEKNİK!E24</f>
        <v>2027</v>
      </c>
      <c r="V24" s="464"/>
      <c r="W24" s="460"/>
      <c r="X24" s="460"/>
      <c r="Y24" s="460"/>
      <c r="Z24" s="460"/>
      <c r="AA24" s="460"/>
      <c r="AB24" s="473"/>
      <c r="AC24" s="543"/>
      <c r="AD24" s="473"/>
      <c r="AE24" s="473"/>
      <c r="AF24" s="473"/>
      <c r="AG24" s="473"/>
      <c r="AH24" s="473"/>
      <c r="AI24" s="473"/>
      <c r="AJ24" s="473"/>
      <c r="AK24" s="473"/>
      <c r="AL24" s="473"/>
      <c r="AM24" s="473"/>
      <c r="AN24" s="473"/>
      <c r="AO24" s="473"/>
      <c r="AP24" s="473"/>
      <c r="AQ24" s="473"/>
      <c r="AR24" s="473"/>
      <c r="AS24" s="473"/>
      <c r="AT24" s="473"/>
    </row>
    <row r="25" spans="1:46" ht="12.75" hidden="1" customHeight="1">
      <c r="A25" s="11"/>
      <c r="B25" s="12"/>
      <c r="C25" s="414"/>
      <c r="D25" s="467"/>
      <c r="E25" s="406"/>
      <c r="F25" s="8"/>
      <c r="G25" s="9"/>
      <c r="H25" s="473"/>
      <c r="I25" s="461"/>
      <c r="J25" s="461" t="s">
        <v>50</v>
      </c>
      <c r="K25" s="463"/>
      <c r="L25" s="464"/>
      <c r="M25" s="464"/>
      <c r="N25" s="465"/>
      <c r="O25" s="465"/>
      <c r="P25" s="465"/>
      <c r="Q25" s="465"/>
      <c r="R25" s="465"/>
      <c r="S25" s="465"/>
      <c r="T25" s="478"/>
      <c r="U25" s="464">
        <f>TEKNİK!E25</f>
        <v>2028</v>
      </c>
      <c r="V25" s="465"/>
      <c r="W25" s="466"/>
      <c r="X25" s="466"/>
      <c r="Y25" s="466"/>
      <c r="Z25" s="466"/>
      <c r="AA25" s="466"/>
      <c r="AB25" s="479"/>
      <c r="AC25" s="549"/>
      <c r="AD25" s="479"/>
      <c r="AE25" s="479"/>
      <c r="AF25" s="479"/>
      <c r="AG25" s="479"/>
      <c r="AH25" s="479"/>
      <c r="AI25" s="479"/>
      <c r="AJ25" s="479"/>
      <c r="AK25" s="479"/>
      <c r="AL25" s="479"/>
      <c r="AM25" s="479"/>
      <c r="AN25" s="479"/>
      <c r="AO25" s="479"/>
      <c r="AP25" s="479"/>
      <c r="AQ25" s="479"/>
      <c r="AR25" s="479"/>
      <c r="AS25" s="479"/>
      <c r="AT25" s="479"/>
    </row>
    <row r="26" spans="1:46" ht="12.75" customHeight="1">
      <c r="A26" s="669" t="s">
        <v>51</v>
      </c>
      <c r="B26" s="591"/>
      <c r="C26" s="414"/>
      <c r="D26" s="467"/>
      <c r="E26" s="406" t="s">
        <v>52</v>
      </c>
      <c r="F26" s="8"/>
      <c r="G26" s="9"/>
      <c r="H26" s="473"/>
      <c r="I26" s="461"/>
      <c r="J26" s="461" t="str">
        <f>IF('11-Muk. Hesapları'!AV355&gt;250,"!  Kabin rayı narinliği λ="&amp;'11-Muk. Hesapları'!AV355&amp;" &gt; 250. ω çizelgesi 20-250 arasıdır; konsol aralığını (B111) azaltın ya da daha büyük ray seçin.","OK  Kabin rayı narinliği λ="&amp;'11-Muk. Hesapları'!AV355&amp;"  (sınır 250)")</f>
        <v>OK  Kabin rayı narinliği λ=155  (sınır 250)</v>
      </c>
      <c r="K26" s="463"/>
      <c r="L26" s="464"/>
      <c r="M26" s="464"/>
      <c r="N26" s="464"/>
      <c r="O26" s="464"/>
      <c r="P26" s="464"/>
      <c r="Q26" s="464"/>
      <c r="R26" s="464"/>
      <c r="S26" s="464"/>
      <c r="T26" s="462"/>
      <c r="U26" s="464">
        <f>TEKNİK!E26</f>
        <v>2029</v>
      </c>
      <c r="V26" s="464"/>
      <c r="W26" s="460"/>
      <c r="X26" s="460"/>
      <c r="Y26" s="460"/>
      <c r="Z26" s="460"/>
      <c r="AA26" s="460"/>
      <c r="AB26" s="473"/>
      <c r="AC26" s="543"/>
      <c r="AD26" s="473"/>
      <c r="AE26" s="473"/>
      <c r="AF26" s="473"/>
      <c r="AG26" s="473"/>
      <c r="AH26" s="473"/>
      <c r="AI26" s="473"/>
      <c r="AJ26" s="473"/>
      <c r="AK26" s="473"/>
      <c r="AL26" s="473"/>
      <c r="AM26" s="473"/>
      <c r="AN26" s="473"/>
      <c r="AO26" s="473"/>
      <c r="AP26" s="473"/>
      <c r="AQ26" s="473"/>
      <c r="AR26" s="473"/>
      <c r="AS26" s="473"/>
      <c r="AT26" s="473"/>
    </row>
    <row r="27" spans="1:46" ht="12.75" hidden="1" customHeight="1">
      <c r="A27" s="11"/>
      <c r="B27" s="12"/>
      <c r="C27" s="414"/>
      <c r="D27" s="467"/>
      <c r="E27" s="406"/>
      <c r="F27" s="8"/>
      <c r="G27" s="9"/>
      <c r="H27" s="473"/>
      <c r="I27" s="461"/>
      <c r="J27" s="461" t="str">
        <f>IF(ISNA(MATCH(C59,TABLOLAR!$F$4:$V$4,0)),"!  Beyan yükü "&amp;C59&amp;" kg trafik çizelgesinde yok (çizelge: 180-1000 kg). Trafik hesabı #N/A verir; mukavemet etkilenmez.","OK  Beyan yükü trafik çizelgesinde var")</f>
        <v>OK  Beyan yükü trafik çizelgesinde var</v>
      </c>
      <c r="K27" s="463"/>
      <c r="L27" s="464"/>
      <c r="M27" s="464"/>
      <c r="N27" s="465"/>
      <c r="O27" s="465"/>
      <c r="P27" s="465"/>
      <c r="Q27" s="465"/>
      <c r="R27" s="465"/>
      <c r="S27" s="465"/>
      <c r="T27" s="478"/>
      <c r="U27" s="464"/>
      <c r="V27" s="465"/>
      <c r="W27" s="466"/>
      <c r="X27" s="466"/>
      <c r="Y27" s="466"/>
      <c r="Z27" s="466"/>
      <c r="AA27" s="466"/>
      <c r="AB27" s="479"/>
      <c r="AC27" s="549"/>
      <c r="AD27" s="479"/>
      <c r="AE27" s="479"/>
      <c r="AF27" s="479"/>
      <c r="AG27" s="479"/>
      <c r="AH27" s="479"/>
      <c r="AI27" s="479"/>
      <c r="AJ27" s="479"/>
      <c r="AK27" s="479"/>
      <c r="AL27" s="479"/>
      <c r="AM27" s="479"/>
      <c r="AN27" s="479"/>
      <c r="AO27" s="479"/>
      <c r="AP27" s="479"/>
      <c r="AQ27" s="479"/>
      <c r="AR27" s="479"/>
      <c r="AS27" s="479"/>
      <c r="AT27" s="479"/>
    </row>
    <row r="28" spans="1:46" ht="12.75" customHeight="1" thickBot="1">
      <c r="A28" s="661" t="s">
        <v>53</v>
      </c>
      <c r="B28" s="607"/>
      <c r="C28" s="415"/>
      <c r="D28" s="467"/>
      <c r="E28" s="406" t="s">
        <v>54</v>
      </c>
      <c r="F28" s="8"/>
      <c r="G28" s="9"/>
      <c r="H28" s="473"/>
      <c r="I28" s="461"/>
      <c r="J28" s="461" t="str">
        <f>IF(OR(B129&lt;2,B129&gt;24),"!  Ana giriş üstü durak adedi "&amp;B129&amp;" — çizelge 2-24 arasıdır. Trafik hesabı #N/A verir; mukavemet etkilenmez.","OK  Ana giriş üstü durak adedi çizelgede")</f>
        <v>OK  Ana giriş üstü durak adedi çizelgede</v>
      </c>
      <c r="K28" s="463"/>
      <c r="L28" s="464"/>
      <c r="M28" s="464"/>
      <c r="N28" s="464"/>
      <c r="O28" s="464"/>
      <c r="P28" s="464"/>
      <c r="Q28" s="464"/>
      <c r="R28" s="464"/>
      <c r="S28" s="464"/>
      <c r="T28" s="462"/>
      <c r="U28" s="464"/>
      <c r="V28" s="464"/>
      <c r="W28" s="460"/>
      <c r="X28" s="460"/>
      <c r="Y28" s="460"/>
      <c r="Z28" s="460"/>
      <c r="AA28" s="460"/>
      <c r="AB28" s="473"/>
      <c r="AC28" s="543"/>
      <c r="AD28" s="473"/>
      <c r="AE28" s="473"/>
      <c r="AF28" s="473"/>
      <c r="AG28" s="473"/>
      <c r="AH28" s="473"/>
      <c r="AI28" s="473"/>
      <c r="AJ28" s="473"/>
      <c r="AK28" s="473"/>
      <c r="AL28" s="473"/>
      <c r="AM28" s="473"/>
      <c r="AN28" s="473"/>
      <c r="AO28" s="473"/>
      <c r="AP28" s="473"/>
      <c r="AQ28" s="473"/>
      <c r="AR28" s="473"/>
      <c r="AS28" s="473"/>
      <c r="AT28" s="473"/>
    </row>
    <row r="29" spans="1:46" ht="12.75" customHeight="1">
      <c r="A29" s="398"/>
      <c r="B29" s="499"/>
      <c r="C29" s="500"/>
      <c r="D29" s="467"/>
      <c r="E29" s="406" t="s">
        <v>55</v>
      </c>
      <c r="F29" s="8"/>
      <c r="G29" s="9"/>
      <c r="H29" s="473"/>
      <c r="I29" s="461"/>
      <c r="J29" s="461" t="str">
        <f>IF(ISNA(MATCH(C66,TABLOLAR!$AT$4:$AX$4,0)),"!  Kat kapısı tipi '"&amp;C66&amp;"' trafik çizelgesinde yok (Otomatik Merkezi / Teleskopik Sağ / Teleskopik Sol). Trafik hesabı #N/A verir.","OK  Kat kapısı tipi çizelgede")</f>
        <v>OK  Kat kapısı tipi çizelgede</v>
      </c>
      <c r="K29" s="463"/>
      <c r="L29" s="464"/>
      <c r="M29" s="464"/>
      <c r="N29" s="465"/>
      <c r="O29" s="465"/>
      <c r="P29" s="465"/>
      <c r="Q29" s="465"/>
      <c r="R29" s="465"/>
      <c r="S29" s="465"/>
      <c r="T29" s="478"/>
      <c r="U29" s="465"/>
      <c r="V29" s="465"/>
      <c r="W29" s="466"/>
      <c r="X29" s="466"/>
      <c r="Y29" s="466"/>
      <c r="Z29" s="466"/>
      <c r="AA29" s="466"/>
      <c r="AB29" s="479"/>
      <c r="AC29" s="549"/>
      <c r="AD29" s="479"/>
      <c r="AE29" s="479"/>
      <c r="AF29" s="479"/>
      <c r="AG29" s="479"/>
      <c r="AH29" s="479"/>
      <c r="AI29" s="479"/>
      <c r="AJ29" s="479"/>
      <c r="AK29" s="479"/>
      <c r="AL29" s="479"/>
      <c r="AM29" s="479"/>
      <c r="AN29" s="479"/>
      <c r="AO29" s="479"/>
      <c r="AP29" s="479"/>
      <c r="AQ29" s="479"/>
      <c r="AR29" s="479"/>
      <c r="AS29" s="479"/>
      <c r="AT29" s="479"/>
    </row>
    <row r="30" spans="1:46" ht="12.75" customHeight="1">
      <c r="A30" s="666"/>
      <c r="B30" s="581"/>
      <c r="C30" s="501"/>
      <c r="D30" s="467"/>
      <c r="E30" s="406" t="s">
        <v>56</v>
      </c>
      <c r="F30" s="8"/>
      <c r="G30" s="9"/>
      <c r="H30" s="473"/>
      <c r="I30" s="461"/>
      <c r="J30" s="461" t="str">
        <f>IF(ISNA(MATCH(E73,TABLOLAR!$I$60:$I$65,0)),"!  Kabin rayı tipi ray çizelgesinde yok.","OK  Kabin rayı çizelgede")</f>
        <v>OK  Kabin rayı çizelgede</v>
      </c>
      <c r="K30" s="463"/>
      <c r="L30" s="464"/>
      <c r="M30" s="464"/>
      <c r="N30" s="464"/>
      <c r="O30" s="464"/>
      <c r="P30" s="464"/>
      <c r="Q30" s="464"/>
      <c r="R30" s="464"/>
      <c r="S30" s="464"/>
      <c r="T30" s="462"/>
      <c r="U30" s="464"/>
      <c r="V30" s="464"/>
      <c r="W30" s="460"/>
      <c r="X30" s="460"/>
      <c r="Y30" s="460"/>
      <c r="Z30" s="460"/>
      <c r="AA30" s="460"/>
      <c r="AB30" s="473"/>
      <c r="AC30" s="543"/>
      <c r="AD30" s="473"/>
      <c r="AE30" s="473"/>
      <c r="AF30" s="473"/>
      <c r="AG30" s="473"/>
      <c r="AH30" s="473"/>
      <c r="AI30" s="473"/>
      <c r="AJ30" s="473"/>
      <c r="AK30" s="473"/>
      <c r="AL30" s="473"/>
      <c r="AM30" s="473"/>
      <c r="AN30" s="473"/>
      <c r="AO30" s="473"/>
      <c r="AP30" s="473"/>
      <c r="AQ30" s="473"/>
      <c r="AR30" s="473"/>
      <c r="AS30" s="473"/>
      <c r="AT30" s="473"/>
    </row>
    <row r="31" spans="1:46" ht="12.75" customHeight="1">
      <c r="A31" s="646"/>
      <c r="B31" s="581"/>
      <c r="C31" s="593"/>
      <c r="D31" s="467"/>
      <c r="E31" s="406" t="s">
        <v>57</v>
      </c>
      <c r="F31" s="8"/>
      <c r="G31" s="9"/>
      <c r="H31" s="473"/>
      <c r="I31" s="461"/>
      <c r="J31" s="461" t="str">
        <f>IF(ISNA(MATCH(F73,TABLOLAR!$I$60:$I$65,0)),"!  Ağırlık rayı tipi ray çizelgesinde yok.","OK  Ağırlık rayı çizelgede")</f>
        <v>OK  Ağırlık rayı çizelgede</v>
      </c>
      <c r="K31" s="463"/>
      <c r="L31" s="464"/>
      <c r="M31" s="464"/>
      <c r="N31" s="465"/>
      <c r="O31" s="465"/>
      <c r="P31" s="465"/>
      <c r="Q31" s="465"/>
      <c r="R31" s="465"/>
      <c r="S31" s="465"/>
      <c r="T31" s="478"/>
      <c r="U31" s="465"/>
      <c r="V31" s="465"/>
      <c r="W31" s="466"/>
      <c r="X31" s="466"/>
      <c r="Y31" s="466"/>
      <c r="Z31" s="466"/>
      <c r="AA31" s="466"/>
      <c r="AB31" s="479"/>
      <c r="AC31" s="549"/>
      <c r="AD31" s="479"/>
      <c r="AE31" s="479"/>
      <c r="AF31" s="479"/>
      <c r="AG31" s="479"/>
      <c r="AH31" s="479"/>
      <c r="AI31" s="479"/>
      <c r="AJ31" s="479"/>
      <c r="AK31" s="479"/>
      <c r="AL31" s="479"/>
      <c r="AM31" s="479"/>
      <c r="AN31" s="479"/>
      <c r="AO31" s="479"/>
      <c r="AP31" s="479"/>
      <c r="AQ31" s="479"/>
      <c r="AR31" s="479"/>
      <c r="AS31" s="479"/>
      <c r="AT31" s="479"/>
    </row>
    <row r="32" spans="1:46" ht="12.75" customHeight="1">
      <c r="A32" s="633"/>
      <c r="B32" s="581"/>
      <c r="C32" s="581"/>
      <c r="D32" s="467"/>
      <c r="E32" s="407" t="s">
        <v>58</v>
      </c>
      <c r="F32" s="13"/>
      <c r="G32" s="9"/>
      <c r="H32" s="473"/>
      <c r="I32" s="461"/>
      <c r="J32" s="461" t="str">
        <f>IF(ISNA(MATCH(G36,TABLOLAR!$H$32:$H$34,0)),"!  G36 güvenlik tertibatı tipi geçersiz. Sadece: Kaymalı / Ani Frenlemeli Makaralı / Ani Frenlemeli","OK  Güvenlik tertibatı tipi geçerli (k1 okunuyor)")</f>
        <v>OK  Güvenlik tertibatı tipi geçerli (k1 okunuyor)</v>
      </c>
      <c r="K32" s="463"/>
      <c r="L32" s="464"/>
      <c r="M32" s="464"/>
      <c r="N32" s="464"/>
      <c r="O32" s="464"/>
      <c r="P32" s="464"/>
      <c r="Q32" s="464"/>
      <c r="R32" s="464"/>
      <c r="S32" s="464"/>
      <c r="T32" s="462"/>
      <c r="U32" s="464"/>
      <c r="V32" s="464"/>
      <c r="W32" s="460"/>
      <c r="X32" s="460"/>
      <c r="Y32" s="460"/>
      <c r="Z32" s="460"/>
      <c r="AA32" s="460"/>
      <c r="AB32" s="473"/>
      <c r="AC32" s="543"/>
      <c r="AD32" s="473"/>
      <c r="AE32" s="473"/>
      <c r="AF32" s="473"/>
      <c r="AG32" s="473"/>
      <c r="AH32" s="473"/>
      <c r="AI32" s="473"/>
      <c r="AJ32" s="473"/>
      <c r="AK32" s="473"/>
      <c r="AL32" s="473"/>
      <c r="AM32" s="473"/>
      <c r="AN32" s="473"/>
      <c r="AO32" s="473"/>
      <c r="AP32" s="473"/>
      <c r="AQ32" s="473"/>
      <c r="AR32" s="473"/>
      <c r="AS32" s="473"/>
      <c r="AT32" s="473"/>
    </row>
    <row r="33" spans="1:46" ht="12.75" customHeight="1">
      <c r="A33" s="646"/>
      <c r="B33" s="581"/>
      <c r="C33" s="502"/>
      <c r="D33" s="467"/>
      <c r="E33" s="406" t="s">
        <v>59</v>
      </c>
      <c r="F33" s="8"/>
      <c r="G33" s="9"/>
      <c r="H33" s="473"/>
      <c r="I33" s="461"/>
      <c r="J33" s="461" t="str">
        <f>IF(ISNA(MATCH(B99,TABLOLAR!$A$32:$A$43,0)),"!  Askı halatı çapı "&amp;B99&amp;" mm halat çizelgesinde yok (6-16 mm).","OK  Askı halatı çapı çizelgede")</f>
        <v>OK  Askı halatı çapı çizelgede</v>
      </c>
      <c r="K33" s="463"/>
      <c r="L33" s="464"/>
      <c r="M33" s="464"/>
      <c r="N33" s="465"/>
      <c r="O33" s="465"/>
      <c r="P33" s="465"/>
      <c r="Q33" s="465"/>
      <c r="R33" s="465"/>
      <c r="S33" s="465"/>
      <c r="T33" s="478"/>
      <c r="U33" s="465"/>
      <c r="V33" s="465"/>
      <c r="W33" s="466"/>
      <c r="X33" s="466"/>
      <c r="Y33" s="466"/>
      <c r="Z33" s="466"/>
      <c r="AA33" s="466"/>
      <c r="AB33" s="479"/>
      <c r="AC33" s="549"/>
      <c r="AD33" s="479"/>
      <c r="AE33" s="479"/>
      <c r="AF33" s="479"/>
      <c r="AG33" s="479"/>
      <c r="AH33" s="479"/>
      <c r="AI33" s="479"/>
      <c r="AJ33" s="479"/>
      <c r="AK33" s="479"/>
      <c r="AL33" s="479"/>
      <c r="AM33" s="479"/>
      <c r="AN33" s="479"/>
      <c r="AO33" s="479"/>
      <c r="AP33" s="479"/>
      <c r="AQ33" s="479"/>
      <c r="AR33" s="479"/>
      <c r="AS33" s="479"/>
      <c r="AT33" s="479"/>
    </row>
    <row r="34" spans="1:46" ht="12" customHeight="1" thickBot="1">
      <c r="A34" s="399"/>
      <c r="B34" s="1"/>
      <c r="C34" s="502"/>
      <c r="D34" s="467"/>
      <c r="E34" s="408" t="s">
        <v>60</v>
      </c>
      <c r="F34" s="409"/>
      <c r="G34" s="410"/>
      <c r="H34" s="473"/>
      <c r="I34" s="461"/>
      <c r="J34" s="461" t="str">
        <f>IF(ISNA(MATCH(B131,TEKNİK!$P$2:$P$4,0)),"!  Ray çeliği Rm "&amp;B131&amp;" çizelgede yok (370 / 440 / 520).","OK  Ray çeliği Rm çizelgede")</f>
        <v>OK  Ray çeliği Rm çizelgede</v>
      </c>
      <c r="K34" s="463"/>
      <c r="L34" s="464"/>
      <c r="M34" s="464"/>
      <c r="N34" s="465"/>
      <c r="O34" s="465"/>
      <c r="P34" s="465"/>
      <c r="Q34" s="465"/>
      <c r="R34" s="465"/>
      <c r="S34" s="465"/>
      <c r="T34" s="478"/>
      <c r="U34" s="465"/>
      <c r="V34" s="465"/>
      <c r="W34" s="466"/>
      <c r="X34" s="466"/>
      <c r="Y34" s="466"/>
      <c r="Z34" s="466"/>
      <c r="AA34" s="466"/>
      <c r="AB34" s="479"/>
      <c r="AC34" s="549"/>
      <c r="AD34" s="479"/>
      <c r="AE34" s="479"/>
      <c r="AF34" s="479"/>
      <c r="AG34" s="479"/>
      <c r="AH34" s="479"/>
      <c r="AI34" s="479"/>
      <c r="AJ34" s="479"/>
      <c r="AK34" s="479"/>
      <c r="AL34" s="479"/>
      <c r="AM34" s="479"/>
      <c r="AN34" s="479"/>
      <c r="AO34" s="479"/>
      <c r="AP34" s="479"/>
      <c r="AQ34" s="479"/>
      <c r="AR34" s="479"/>
      <c r="AS34" s="479"/>
      <c r="AT34" s="479"/>
    </row>
    <row r="35" spans="1:46" hidden="1">
      <c r="A35" s="646"/>
      <c r="B35" s="581"/>
      <c r="C35" s="502"/>
      <c r="D35" s="467"/>
      <c r="E35" s="675" t="s">
        <v>61</v>
      </c>
      <c r="F35" s="619"/>
      <c r="G35" s="400"/>
      <c r="H35" s="480"/>
      <c r="I35" s="461"/>
      <c r="J35" s="461" t="str">
        <f>"TOPLAM UYARI: "&amp;(IF(LEFT(J26,1)="!",1,0)+IF(LEFT(J27,1)="!",1,0)+IF(LEFT(J28,1)="!",1,0)+IF(LEFT(J29,1)="!",1,0)+IF(LEFT(J30,1)="!",1,0)+IF(LEFT(J31,1)="!",1,0)+IF(LEFT(J32,1)="!",1,0)+IF(LEFT(J33,1)="!",1,0)+IF(LEFT(J34,1)="!",1,0))&amp;" / 9"</f>
        <v>TOPLAM UYARI: 0 / 9</v>
      </c>
      <c r="K35" s="463"/>
      <c r="L35" s="464"/>
      <c r="M35" s="464"/>
      <c r="N35" s="464"/>
      <c r="O35" s="464"/>
      <c r="P35" s="464"/>
      <c r="Q35" s="464"/>
      <c r="R35" s="464"/>
      <c r="S35" s="464"/>
      <c r="T35" s="462"/>
      <c r="U35" s="464"/>
      <c r="V35" s="464"/>
      <c r="W35" s="460"/>
      <c r="X35" s="460"/>
      <c r="Y35" s="460"/>
      <c r="Z35" s="460"/>
      <c r="AA35" s="460"/>
      <c r="AB35" s="473"/>
      <c r="AC35" s="543"/>
      <c r="AD35" s="473"/>
      <c r="AE35" s="473"/>
      <c r="AF35" s="473"/>
      <c r="AG35" s="473"/>
      <c r="AH35" s="473"/>
      <c r="AI35" s="473"/>
      <c r="AJ35" s="473"/>
      <c r="AK35" s="473"/>
      <c r="AL35" s="473"/>
      <c r="AM35" s="473"/>
      <c r="AN35" s="473"/>
      <c r="AO35" s="473"/>
      <c r="AP35" s="473"/>
      <c r="AQ35" s="473"/>
      <c r="AR35" s="473"/>
      <c r="AS35" s="473"/>
      <c r="AT35" s="473"/>
    </row>
    <row r="36" spans="1:46" hidden="1">
      <c r="A36" s="14"/>
      <c r="B36" s="503"/>
      <c r="C36" s="504"/>
      <c r="D36" s="467"/>
      <c r="E36" s="618" t="s">
        <v>12</v>
      </c>
      <c r="F36" s="505"/>
      <c r="G36" s="620" t="s">
        <v>62</v>
      </c>
      <c r="H36" s="473"/>
      <c r="I36" s="461"/>
      <c r="J36" s="461"/>
      <c r="K36" s="463"/>
      <c r="L36" s="464"/>
      <c r="M36" s="464"/>
      <c r="N36" s="464"/>
      <c r="O36" s="464"/>
      <c r="P36" s="464"/>
      <c r="Q36" s="464"/>
      <c r="R36" s="464"/>
      <c r="S36" s="464"/>
      <c r="T36" s="462"/>
      <c r="U36" s="464"/>
      <c r="V36" s="464"/>
      <c r="W36" s="460"/>
      <c r="X36" s="460"/>
      <c r="Y36" s="460"/>
      <c r="Z36" s="460"/>
      <c r="AA36" s="460"/>
      <c r="AB36" s="473"/>
      <c r="AC36" s="543"/>
      <c r="AD36" s="473"/>
      <c r="AE36" s="473"/>
      <c r="AF36" s="473"/>
      <c r="AG36" s="473"/>
      <c r="AH36" s="473"/>
      <c r="AI36" s="473"/>
      <c r="AJ36" s="473"/>
      <c r="AK36" s="473"/>
      <c r="AL36" s="473"/>
      <c r="AM36" s="473"/>
      <c r="AN36" s="473"/>
      <c r="AO36" s="473"/>
      <c r="AP36" s="473"/>
      <c r="AQ36" s="473"/>
      <c r="AR36" s="473"/>
      <c r="AS36" s="473"/>
      <c r="AT36" s="473"/>
    </row>
    <row r="37" spans="1:46" ht="15" hidden="1">
      <c r="A37" s="623"/>
      <c r="B37" s="581"/>
      <c r="C37" s="581"/>
      <c r="D37" s="467"/>
      <c r="E37" s="619"/>
      <c r="F37" s="505"/>
      <c r="G37" s="621"/>
      <c r="H37" s="473"/>
      <c r="I37" s="461"/>
      <c r="J37" s="461"/>
      <c r="K37" s="463"/>
      <c r="L37" s="464"/>
      <c r="M37" s="464"/>
      <c r="N37" s="464"/>
      <c r="O37" s="464"/>
      <c r="P37" s="464"/>
      <c r="Q37" s="464"/>
      <c r="R37" s="464"/>
      <c r="S37" s="464"/>
      <c r="T37" s="462"/>
      <c r="U37" s="464"/>
      <c r="V37" s="464"/>
      <c r="W37" s="460"/>
      <c r="X37" s="460"/>
      <c r="Y37" s="460"/>
      <c r="Z37" s="460"/>
      <c r="AA37" s="460"/>
      <c r="AB37" s="473"/>
      <c r="AC37" s="543"/>
      <c r="AD37" s="473"/>
      <c r="AE37" s="473"/>
      <c r="AF37" s="473"/>
      <c r="AG37" s="473"/>
      <c r="AH37" s="473"/>
      <c r="AI37" s="473"/>
      <c r="AJ37" s="473"/>
      <c r="AK37" s="473"/>
      <c r="AL37" s="473"/>
      <c r="AM37" s="473"/>
      <c r="AN37" s="473"/>
      <c r="AO37" s="473"/>
      <c r="AP37" s="473"/>
      <c r="AQ37" s="473"/>
      <c r="AR37" s="473"/>
      <c r="AS37" s="473"/>
      <c r="AT37" s="473"/>
    </row>
    <row r="38" spans="1:46" hidden="1">
      <c r="A38" s="632"/>
      <c r="B38" s="581"/>
      <c r="C38" s="674"/>
      <c r="D38" s="467"/>
      <c r="E38" s="618" t="s">
        <v>14</v>
      </c>
      <c r="F38" s="506"/>
      <c r="G38" s="621"/>
      <c r="H38" s="473"/>
      <c r="I38" s="461"/>
      <c r="J38" s="461"/>
      <c r="K38" s="463"/>
      <c r="L38" s="464"/>
      <c r="M38" s="464"/>
      <c r="N38" s="464"/>
      <c r="O38" s="464"/>
      <c r="P38" s="464"/>
      <c r="Q38" s="464"/>
      <c r="R38" s="464"/>
      <c r="S38" s="464"/>
      <c r="T38" s="462"/>
      <c r="U38" s="464"/>
      <c r="V38" s="464"/>
      <c r="W38" s="460"/>
      <c r="X38" s="460"/>
      <c r="Y38" s="460"/>
      <c r="Z38" s="460"/>
      <c r="AA38" s="460"/>
      <c r="AB38" s="473"/>
      <c r="AC38" s="543"/>
      <c r="AD38" s="473"/>
      <c r="AE38" s="473"/>
      <c r="AF38" s="473"/>
      <c r="AG38" s="473"/>
      <c r="AH38" s="473"/>
      <c r="AI38" s="473"/>
      <c r="AJ38" s="473"/>
      <c r="AK38" s="473"/>
      <c r="AL38" s="473"/>
      <c r="AM38" s="473"/>
      <c r="AN38" s="473"/>
      <c r="AO38" s="473"/>
      <c r="AP38" s="473"/>
      <c r="AQ38" s="473"/>
      <c r="AR38" s="473"/>
      <c r="AS38" s="473"/>
      <c r="AT38" s="473"/>
    </row>
    <row r="39" spans="1:46" ht="12.75" hidden="1" customHeight="1">
      <c r="A39" s="633"/>
      <c r="B39" s="581"/>
      <c r="C39" s="581"/>
      <c r="D39" s="467"/>
      <c r="E39" s="619"/>
      <c r="F39" s="506"/>
      <c r="G39" s="621"/>
      <c r="H39" s="473"/>
      <c r="I39" s="461"/>
      <c r="J39" s="461"/>
      <c r="K39" s="463"/>
      <c r="L39" s="464"/>
      <c r="M39" s="464" t="str">
        <f>TEKNİK!I2</f>
        <v>Manuel Sağ</v>
      </c>
      <c r="N39" s="464" t="str">
        <f>TEKNİK!I3</f>
        <v>Manuel Sol</v>
      </c>
      <c r="O39" s="464" t="str">
        <f>TEKNİK!I4</f>
        <v>Otomatik Merkezi</v>
      </c>
      <c r="P39" s="464" t="str">
        <f>TEKNİK!I5</f>
        <v>Teleskopik Sağ</v>
      </c>
      <c r="Q39" s="464" t="str">
        <f>TEKNİK!I6</f>
        <v>Teleskopik Sol</v>
      </c>
      <c r="R39" s="464"/>
      <c r="S39" s="464"/>
      <c r="T39" s="462"/>
      <c r="U39" s="464"/>
      <c r="V39" s="464"/>
      <c r="W39" s="460"/>
      <c r="X39" s="460"/>
      <c r="Y39" s="460"/>
      <c r="Z39" s="460"/>
      <c r="AA39" s="460"/>
      <c r="AB39" s="473"/>
      <c r="AC39" s="543"/>
      <c r="AD39" s="473"/>
      <c r="AE39" s="473"/>
      <c r="AF39" s="473"/>
      <c r="AG39" s="473"/>
      <c r="AH39" s="473"/>
      <c r="AI39" s="473"/>
      <c r="AJ39" s="473"/>
      <c r="AK39" s="473"/>
      <c r="AL39" s="473"/>
      <c r="AM39" s="473"/>
      <c r="AN39" s="473"/>
      <c r="AO39" s="473"/>
      <c r="AP39" s="473"/>
      <c r="AQ39" s="473"/>
      <c r="AR39" s="473"/>
      <c r="AS39" s="473"/>
      <c r="AT39" s="473"/>
    </row>
    <row r="40" spans="1:46" ht="13.5" hidden="1" customHeight="1">
      <c r="A40" s="647"/>
      <c r="B40" s="581"/>
      <c r="C40" s="644"/>
      <c r="D40" s="467"/>
      <c r="E40" s="619"/>
      <c r="F40" s="507"/>
      <c r="G40" s="621"/>
      <c r="H40" s="473"/>
      <c r="I40" s="461"/>
      <c r="J40" s="461"/>
      <c r="K40" s="463"/>
      <c r="L40" s="464"/>
      <c r="M40" s="464" t="s">
        <v>63</v>
      </c>
      <c r="N40" s="464" t="s">
        <v>63</v>
      </c>
      <c r="O40" s="464" t="s">
        <v>64</v>
      </c>
      <c r="P40" s="464" t="s">
        <v>64</v>
      </c>
      <c r="Q40" s="464" t="s">
        <v>64</v>
      </c>
      <c r="R40" s="464"/>
      <c r="S40" s="464"/>
      <c r="T40" s="462"/>
      <c r="U40" s="464"/>
      <c r="V40" s="464"/>
      <c r="W40" s="460"/>
      <c r="X40" s="460"/>
      <c r="Y40" s="460"/>
      <c r="Z40" s="460"/>
      <c r="AA40" s="460"/>
      <c r="AB40" s="473"/>
      <c r="AC40" s="543"/>
      <c r="AD40" s="473"/>
      <c r="AE40" s="473"/>
      <c r="AF40" s="473"/>
      <c r="AG40" s="473"/>
      <c r="AH40" s="473"/>
      <c r="AI40" s="473"/>
      <c r="AJ40" s="473"/>
      <c r="AK40" s="473"/>
      <c r="AL40" s="473"/>
      <c r="AM40" s="473"/>
      <c r="AN40" s="473"/>
      <c r="AO40" s="473"/>
      <c r="AP40" s="473"/>
      <c r="AQ40" s="473"/>
      <c r="AR40" s="473"/>
      <c r="AS40" s="473"/>
      <c r="AT40" s="473"/>
    </row>
    <row r="41" spans="1:46" hidden="1">
      <c r="A41" s="633"/>
      <c r="B41" s="581"/>
      <c r="C41" s="581"/>
      <c r="D41" s="467"/>
      <c r="E41" s="468"/>
      <c r="F41" s="508"/>
      <c r="G41" s="15"/>
      <c r="H41" s="473"/>
      <c r="I41" s="461"/>
      <c r="J41" s="461"/>
      <c r="K41" s="463"/>
      <c r="L41" s="464"/>
      <c r="M41" s="464"/>
      <c r="N41" s="464"/>
      <c r="O41" s="464"/>
      <c r="P41" s="464"/>
      <c r="Q41" s="464"/>
      <c r="R41" s="464"/>
      <c r="S41" s="464"/>
      <c r="T41" s="462"/>
      <c r="U41" s="464" t="s">
        <v>65</v>
      </c>
      <c r="V41" s="464" t="s">
        <v>66</v>
      </c>
      <c r="W41" s="460" t="s">
        <v>67</v>
      </c>
      <c r="X41" s="460" t="s">
        <v>68</v>
      </c>
      <c r="Y41" s="460" t="s">
        <v>69</v>
      </c>
      <c r="Z41" s="460">
        <v>700</v>
      </c>
      <c r="AA41" s="460"/>
      <c r="AB41" s="473"/>
      <c r="AC41" s="543"/>
      <c r="AD41" s="473"/>
      <c r="AE41" s="473"/>
      <c r="AF41" s="473"/>
      <c r="AG41" s="473"/>
      <c r="AH41" s="473"/>
      <c r="AI41" s="473"/>
      <c r="AJ41" s="473"/>
      <c r="AK41" s="473"/>
      <c r="AL41" s="473"/>
      <c r="AM41" s="473"/>
      <c r="AN41" s="473"/>
      <c r="AO41" s="473"/>
      <c r="AP41" s="473"/>
      <c r="AQ41" s="473"/>
      <c r="AR41" s="473"/>
      <c r="AS41" s="473"/>
      <c r="AT41" s="473"/>
    </row>
    <row r="42" spans="1:46" ht="13.5" hidden="1" thickBot="1">
      <c r="A42" s="647"/>
      <c r="B42" s="581"/>
      <c r="C42" s="509"/>
      <c r="D42" s="467"/>
      <c r="E42" s="694" t="s">
        <v>70</v>
      </c>
      <c r="F42" s="695"/>
      <c r="G42" s="16"/>
      <c r="H42" s="473"/>
      <c r="I42" s="461"/>
      <c r="J42" s="461"/>
      <c r="K42" s="463"/>
      <c r="L42" s="464"/>
      <c r="M42" s="464" t="str">
        <f>TABLOLAR!A5</f>
        <v>KONUT</v>
      </c>
      <c r="N42" s="464" t="str">
        <f>TABLOLAR!A16</f>
        <v>KONUT</v>
      </c>
      <c r="O42" s="464" t="str">
        <f>TABLOLAR!H32</f>
        <v>Kaymalı</v>
      </c>
      <c r="P42" s="464"/>
      <c r="Q42" s="464" t="str">
        <f>TABLOLAR!M36</f>
        <v>30x15</v>
      </c>
      <c r="R42" s="464" t="str">
        <f>TABLOLAR!D47</f>
        <v>V Kanal</v>
      </c>
      <c r="S42" s="464">
        <v>2</v>
      </c>
      <c r="T42" s="462" t="s">
        <v>71</v>
      </c>
      <c r="U42" s="464">
        <f>'11-Muk. Hesapları'!AU206</f>
        <v>0.20525235013903476</v>
      </c>
      <c r="V42" s="464">
        <f>'11-Muk. Hesapları'!AV211</f>
        <v>0.1865930455809407</v>
      </c>
      <c r="W42" s="460">
        <f>'11-Muk. Hesapları'!AE216</f>
        <v>0.6143106973514485</v>
      </c>
      <c r="X42" s="460" t="s">
        <v>72</v>
      </c>
      <c r="Y42" s="460" t="s">
        <v>73</v>
      </c>
      <c r="Z42" s="460">
        <v>1050</v>
      </c>
      <c r="AA42" s="460"/>
      <c r="AB42" s="473"/>
      <c r="AC42" s="543"/>
      <c r="AD42" s="473"/>
      <c r="AE42" s="473"/>
      <c r="AF42" s="473"/>
      <c r="AG42" s="473"/>
      <c r="AH42" s="473"/>
      <c r="AI42" s="473"/>
      <c r="AJ42" s="473"/>
      <c r="AK42" s="473"/>
      <c r="AL42" s="473"/>
      <c r="AM42" s="473"/>
      <c r="AN42" s="473"/>
      <c r="AO42" s="473"/>
      <c r="AP42" s="473"/>
      <c r="AQ42" s="473"/>
      <c r="AR42" s="473"/>
      <c r="AS42" s="473"/>
      <c r="AT42" s="473"/>
    </row>
    <row r="43" spans="1:46" hidden="1">
      <c r="A43" s="647"/>
      <c r="B43" s="581"/>
      <c r="C43" s="510"/>
      <c r="D43" s="467"/>
      <c r="E43" s="17" t="s">
        <v>12</v>
      </c>
      <c r="F43" s="18"/>
      <c r="G43" s="700"/>
      <c r="H43" s="473"/>
      <c r="I43" s="461"/>
      <c r="J43" s="461"/>
      <c r="K43" s="463"/>
      <c r="L43" s="464"/>
      <c r="M43" s="464" t="str">
        <f>TABLOLAR!A6</f>
        <v>OTEL</v>
      </c>
      <c r="N43" s="464" t="str">
        <f>TABLOLAR!A17</f>
        <v>OTEL</v>
      </c>
      <c r="O43" s="464" t="str">
        <f>TABLOLAR!H33</f>
        <v>Ani Frenlemeli Makaralı</v>
      </c>
      <c r="P43" s="464"/>
      <c r="Q43" s="464">
        <f>TABLOLAR!M37</f>
        <v>30</v>
      </c>
      <c r="R43" s="464" t="str">
        <f>TABLOLAR!D48</f>
        <v>Altı Kesik V Kanal</v>
      </c>
      <c r="S43" s="464">
        <v>1</v>
      </c>
      <c r="T43" s="462" t="s">
        <v>74</v>
      </c>
      <c r="U43" s="464">
        <f>'11-Muk. Hesapları'!AJ198</f>
        <v>0.30715534867572425</v>
      </c>
      <c r="V43" s="464">
        <f>'11-Muk. Hesapları'!AL202</f>
        <v>0.27923213515974926</v>
      </c>
      <c r="W43" s="460">
        <f>'11-Muk. Hesapları'!AE216</f>
        <v>0.6143106973514485</v>
      </c>
      <c r="X43" s="460"/>
      <c r="Y43" s="460"/>
      <c r="Z43" s="460">
        <v>1400</v>
      </c>
      <c r="AA43" s="460"/>
      <c r="AB43" s="473"/>
      <c r="AC43" s="543"/>
      <c r="AD43" s="473"/>
      <c r="AE43" s="473"/>
      <c r="AF43" s="473"/>
      <c r="AG43" s="473"/>
      <c r="AH43" s="473"/>
      <c r="AI43" s="473"/>
      <c r="AJ43" s="473"/>
      <c r="AK43" s="473"/>
      <c r="AL43" s="473"/>
      <c r="AM43" s="473"/>
      <c r="AN43" s="473"/>
      <c r="AO43" s="473"/>
      <c r="AP43" s="473"/>
      <c r="AQ43" s="473"/>
      <c r="AR43" s="473"/>
      <c r="AS43" s="473"/>
      <c r="AT43" s="473"/>
    </row>
    <row r="44" spans="1:46" hidden="1">
      <c r="A44" s="702"/>
      <c r="B44" s="665"/>
      <c r="C44" s="19"/>
      <c r="D44" s="467"/>
      <c r="E44" s="20" t="s">
        <v>14</v>
      </c>
      <c r="F44" s="21"/>
      <c r="G44" s="687"/>
      <c r="H44" s="473"/>
      <c r="I44" s="461"/>
      <c r="J44" s="461"/>
      <c r="K44" s="463"/>
      <c r="L44" s="464"/>
      <c r="M44" s="464"/>
      <c r="N44" s="464"/>
      <c r="O44" s="464" t="str">
        <f>TABLOLAR!H34</f>
        <v>Ani Frenlemeli</v>
      </c>
      <c r="P44" s="464"/>
      <c r="Q44" s="464"/>
      <c r="R44" s="464"/>
      <c r="S44" s="464"/>
      <c r="T44" s="462"/>
      <c r="U44" s="464"/>
      <c r="V44" s="464"/>
      <c r="W44" s="460"/>
      <c r="X44" s="460"/>
      <c r="Y44" s="460"/>
      <c r="Z44" s="460"/>
      <c r="AA44" s="460"/>
      <c r="AB44" s="473"/>
      <c r="AC44" s="543"/>
      <c r="AD44" s="473"/>
      <c r="AE44" s="473"/>
      <c r="AF44" s="473"/>
      <c r="AG44" s="473"/>
      <c r="AH44" s="473"/>
      <c r="AI44" s="473"/>
      <c r="AJ44" s="473"/>
      <c r="AK44" s="473"/>
      <c r="AL44" s="473"/>
      <c r="AM44" s="473"/>
      <c r="AN44" s="473"/>
      <c r="AO44" s="473"/>
      <c r="AP44" s="473"/>
      <c r="AQ44" s="473"/>
      <c r="AR44" s="473"/>
      <c r="AS44" s="473"/>
      <c r="AT44" s="473"/>
    </row>
    <row r="45" spans="1:46" hidden="1">
      <c r="A45" s="640"/>
      <c r="B45" s="641"/>
      <c r="C45" s="19"/>
      <c r="D45" s="467"/>
      <c r="E45" s="20" t="s">
        <v>75</v>
      </c>
      <c r="F45" s="22" t="str">
        <f>IFERROR(VLOOKUP(F44,TEKNİK!$AC$2:$AE$21,2,0),"")</f>
        <v/>
      </c>
      <c r="G45" s="687"/>
      <c r="H45" s="473"/>
      <c r="I45" s="461"/>
      <c r="J45" s="461"/>
      <c r="K45" s="463"/>
      <c r="L45" s="464"/>
      <c r="M45" s="464"/>
      <c r="N45" s="464"/>
      <c r="O45" s="464"/>
      <c r="P45" s="464"/>
      <c r="Q45" s="464"/>
      <c r="R45" s="464"/>
      <c r="S45" s="464"/>
      <c r="T45" s="462"/>
      <c r="U45" s="464"/>
      <c r="V45" s="464"/>
      <c r="W45" s="460"/>
      <c r="X45" s="460"/>
      <c r="Y45" s="460"/>
      <c r="Z45" s="460"/>
      <c r="AA45" s="460"/>
      <c r="AB45" s="473"/>
      <c r="AC45" s="543"/>
      <c r="AD45" s="473"/>
      <c r="AE45" s="473"/>
      <c r="AF45" s="473"/>
      <c r="AG45" s="473"/>
      <c r="AH45" s="473"/>
      <c r="AI45" s="473"/>
      <c r="AJ45" s="473"/>
      <c r="AK45" s="473"/>
      <c r="AL45" s="473"/>
      <c r="AM45" s="473"/>
      <c r="AN45" s="473"/>
      <c r="AO45" s="473"/>
      <c r="AP45" s="473"/>
      <c r="AQ45" s="473"/>
      <c r="AR45" s="473"/>
      <c r="AS45" s="473"/>
      <c r="AT45" s="473"/>
    </row>
    <row r="46" spans="1:46" hidden="1">
      <c r="A46" s="640"/>
      <c r="B46" s="641"/>
      <c r="C46" s="23"/>
      <c r="D46" s="467"/>
      <c r="E46" s="20" t="s">
        <v>76</v>
      </c>
      <c r="F46" s="22" t="str">
        <f>IFERROR(VLOOKUP(F44,TEKNİK!$AC$2:$AE$21,3,0),"")</f>
        <v/>
      </c>
      <c r="G46" s="687"/>
      <c r="H46" s="473"/>
      <c r="I46" s="461"/>
      <c r="J46" s="461"/>
      <c r="K46" s="463"/>
      <c r="L46" s="464"/>
      <c r="M46" s="464"/>
      <c r="N46" s="464"/>
      <c r="O46" s="464"/>
      <c r="P46" s="464"/>
      <c r="Q46" s="464"/>
      <c r="R46" s="464"/>
      <c r="S46" s="464"/>
      <c r="T46" s="462"/>
      <c r="U46" s="464"/>
      <c r="V46" s="464"/>
      <c r="W46" s="460"/>
      <c r="X46" s="460"/>
      <c r="Y46" s="460"/>
      <c r="Z46" s="460"/>
      <c r="AA46" s="460"/>
      <c r="AB46" s="473"/>
      <c r="AC46" s="543"/>
      <c r="AD46" s="473"/>
      <c r="AE46" s="473"/>
      <c r="AF46" s="473"/>
      <c r="AG46" s="473"/>
      <c r="AH46" s="473"/>
      <c r="AI46" s="473"/>
      <c r="AJ46" s="473"/>
      <c r="AK46" s="473"/>
      <c r="AL46" s="473"/>
      <c r="AM46" s="473"/>
      <c r="AN46" s="473"/>
      <c r="AO46" s="473"/>
      <c r="AP46" s="473"/>
      <c r="AQ46" s="473"/>
      <c r="AR46" s="473"/>
      <c r="AS46" s="473"/>
      <c r="AT46" s="473"/>
    </row>
    <row r="47" spans="1:46" hidden="1">
      <c r="A47" s="701"/>
      <c r="B47" s="656"/>
      <c r="C47" s="24"/>
      <c r="D47" s="467"/>
      <c r="E47" s="25" t="s">
        <v>77</v>
      </c>
      <c r="F47" s="26"/>
      <c r="G47" s="687"/>
      <c r="H47" s="473"/>
      <c r="I47" s="461"/>
      <c r="J47" s="461"/>
      <c r="K47" s="463"/>
      <c r="L47" s="464"/>
      <c r="M47" s="464"/>
      <c r="N47" s="464"/>
      <c r="O47" s="464"/>
      <c r="P47" s="464"/>
      <c r="Q47" s="464"/>
      <c r="R47" s="464"/>
      <c r="S47" s="464"/>
      <c r="T47" s="462"/>
      <c r="U47" s="464"/>
      <c r="V47" s="464"/>
      <c r="W47" s="460"/>
      <c r="X47" s="460"/>
      <c r="Y47" s="460"/>
      <c r="Z47" s="460"/>
      <c r="AA47" s="460"/>
      <c r="AB47" s="473"/>
      <c r="AC47" s="543"/>
      <c r="AD47" s="473"/>
      <c r="AE47" s="473"/>
      <c r="AF47" s="473"/>
      <c r="AG47" s="473"/>
      <c r="AH47" s="473"/>
      <c r="AI47" s="473"/>
      <c r="AJ47" s="473"/>
      <c r="AK47" s="473"/>
      <c r="AL47" s="473"/>
      <c r="AM47" s="473"/>
      <c r="AN47" s="473"/>
      <c r="AO47" s="473"/>
      <c r="AP47" s="473"/>
      <c r="AQ47" s="473"/>
      <c r="AR47" s="473"/>
      <c r="AS47" s="473"/>
      <c r="AT47" s="473"/>
    </row>
    <row r="48" spans="1:46" ht="12.75" hidden="1" customHeight="1">
      <c r="A48" s="401"/>
      <c r="B48" s="511"/>
      <c r="C48" s="512"/>
      <c r="D48" s="467"/>
      <c r="E48" s="505"/>
      <c r="F48" s="507"/>
      <c r="G48" s="387"/>
      <c r="H48" s="473"/>
      <c r="I48" s="461"/>
      <c r="J48" s="461"/>
      <c r="K48" s="463"/>
      <c r="L48" s="464"/>
      <c r="M48" s="464"/>
      <c r="N48" s="464"/>
      <c r="O48" s="464"/>
      <c r="P48" s="464"/>
      <c r="Q48" s="464"/>
      <c r="R48" s="464"/>
      <c r="S48" s="464"/>
      <c r="T48" s="462"/>
      <c r="U48" s="464"/>
      <c r="V48" s="464"/>
      <c r="W48" s="460"/>
      <c r="X48" s="460"/>
      <c r="Y48" s="460"/>
      <c r="Z48" s="460"/>
      <c r="AA48" s="460"/>
      <c r="AB48" s="473"/>
      <c r="AC48" s="543"/>
      <c r="AD48" s="473"/>
      <c r="AE48" s="473"/>
      <c r="AF48" s="473"/>
      <c r="AG48" s="473"/>
      <c r="AH48" s="473"/>
      <c r="AI48" s="473"/>
      <c r="AJ48" s="473"/>
      <c r="AK48" s="473"/>
      <c r="AL48" s="473"/>
      <c r="AM48" s="473"/>
      <c r="AN48" s="473"/>
      <c r="AO48" s="473"/>
      <c r="AP48" s="473"/>
      <c r="AQ48" s="473"/>
      <c r="AR48" s="473"/>
      <c r="AS48" s="473"/>
      <c r="AT48" s="473"/>
    </row>
    <row r="49" spans="1:46" ht="12.75" hidden="1" customHeight="1">
      <c r="A49" s="401"/>
      <c r="B49" s="511"/>
      <c r="C49" s="512"/>
      <c r="D49" s="467"/>
      <c r="E49" s="505"/>
      <c r="F49" s="507"/>
      <c r="G49" s="387"/>
      <c r="H49" s="473"/>
      <c r="I49" s="461"/>
      <c r="J49" s="461"/>
      <c r="K49" s="463"/>
      <c r="L49" s="464"/>
      <c r="M49" s="464"/>
      <c r="N49" s="464"/>
      <c r="O49" s="464"/>
      <c r="P49" s="464"/>
      <c r="Q49" s="464"/>
      <c r="R49" s="464"/>
      <c r="S49" s="464"/>
      <c r="T49" s="462"/>
      <c r="U49" s="464"/>
      <c r="V49" s="464"/>
      <c r="W49" s="460"/>
      <c r="X49" s="460"/>
      <c r="Y49" s="460"/>
      <c r="Z49" s="460"/>
      <c r="AA49" s="460"/>
      <c r="AB49" s="473"/>
      <c r="AC49" s="543"/>
      <c r="AD49" s="473"/>
      <c r="AE49" s="473"/>
      <c r="AF49" s="473"/>
      <c r="AG49" s="473"/>
      <c r="AH49" s="473"/>
      <c r="AI49" s="473"/>
      <c r="AJ49" s="473"/>
      <c r="AK49" s="473"/>
      <c r="AL49" s="473"/>
      <c r="AM49" s="473"/>
      <c r="AN49" s="473"/>
      <c r="AO49" s="473"/>
      <c r="AP49" s="473"/>
      <c r="AQ49" s="473"/>
      <c r="AR49" s="473"/>
      <c r="AS49" s="473"/>
      <c r="AT49" s="473"/>
    </row>
    <row r="50" spans="1:46" ht="12.75" hidden="1" customHeight="1">
      <c r="A50" s="401"/>
      <c r="B50" s="511"/>
      <c r="C50" s="512"/>
      <c r="D50" s="467"/>
      <c r="E50" s="505"/>
      <c r="F50" s="507"/>
      <c r="G50" s="387"/>
      <c r="H50" s="473"/>
      <c r="I50" s="461"/>
      <c r="J50" s="461"/>
      <c r="K50" s="463"/>
      <c r="L50" s="464"/>
      <c r="M50" s="464"/>
      <c r="N50" s="464"/>
      <c r="O50" s="464"/>
      <c r="P50" s="464"/>
      <c r="Q50" s="464"/>
      <c r="R50" s="464"/>
      <c r="S50" s="464"/>
      <c r="T50" s="462"/>
      <c r="U50" s="464"/>
      <c r="V50" s="464"/>
      <c r="W50" s="460"/>
      <c r="X50" s="460"/>
      <c r="Y50" s="460"/>
      <c r="Z50" s="460"/>
      <c r="AA50" s="460"/>
      <c r="AB50" s="473"/>
      <c r="AC50" s="543"/>
      <c r="AD50" s="473"/>
      <c r="AE50" s="473"/>
      <c r="AF50" s="473"/>
      <c r="AG50" s="473"/>
      <c r="AH50" s="473"/>
      <c r="AI50" s="473"/>
      <c r="AJ50" s="473"/>
      <c r="AK50" s="473"/>
      <c r="AL50" s="473"/>
      <c r="AM50" s="473"/>
      <c r="AN50" s="473"/>
      <c r="AO50" s="473"/>
      <c r="AP50" s="473"/>
      <c r="AQ50" s="473"/>
      <c r="AR50" s="473"/>
      <c r="AS50" s="473"/>
      <c r="AT50" s="473"/>
    </row>
    <row r="51" spans="1:46" ht="12.75" hidden="1" customHeight="1">
      <c r="A51" s="401"/>
      <c r="B51" s="511"/>
      <c r="C51" s="512"/>
      <c r="D51" s="467"/>
      <c r="E51" s="505"/>
      <c r="F51" s="507"/>
      <c r="G51" s="387"/>
      <c r="H51" s="473"/>
      <c r="I51" s="461"/>
      <c r="J51" s="461"/>
      <c r="K51" s="463"/>
      <c r="L51" s="464"/>
      <c r="M51" s="464"/>
      <c r="N51" s="464"/>
      <c r="O51" s="464"/>
      <c r="P51" s="464"/>
      <c r="Q51" s="464"/>
      <c r="R51" s="464"/>
      <c r="S51" s="464"/>
      <c r="T51" s="462"/>
      <c r="U51" s="464"/>
      <c r="V51" s="464"/>
      <c r="W51" s="460"/>
      <c r="X51" s="460"/>
      <c r="Y51" s="460"/>
      <c r="Z51" s="460"/>
      <c r="AA51" s="460"/>
      <c r="AB51" s="473"/>
      <c r="AC51" s="543"/>
      <c r="AD51" s="473"/>
      <c r="AE51" s="473"/>
      <c r="AF51" s="473"/>
      <c r="AG51" s="473"/>
      <c r="AH51" s="473"/>
      <c r="AI51" s="473"/>
      <c r="AJ51" s="473"/>
      <c r="AK51" s="473"/>
      <c r="AL51" s="473"/>
      <c r="AM51" s="473"/>
      <c r="AN51" s="473"/>
      <c r="AO51" s="473"/>
      <c r="AP51" s="473"/>
      <c r="AQ51" s="473"/>
      <c r="AR51" s="473"/>
      <c r="AS51" s="473"/>
      <c r="AT51" s="473"/>
    </row>
    <row r="52" spans="1:46" ht="12.75" hidden="1" customHeight="1">
      <c r="A52" s="401"/>
      <c r="B52" s="511"/>
      <c r="C52" s="512"/>
      <c r="D52" s="467"/>
      <c r="E52" s="505"/>
      <c r="F52" s="507"/>
      <c r="G52" s="387"/>
      <c r="H52" s="473"/>
      <c r="I52" s="461"/>
      <c r="J52" s="461"/>
      <c r="K52" s="463"/>
      <c r="L52" s="464"/>
      <c r="M52" s="464"/>
      <c r="N52" s="464"/>
      <c r="O52" s="464"/>
      <c r="P52" s="464"/>
      <c r="Q52" s="464"/>
      <c r="R52" s="464"/>
      <c r="S52" s="464"/>
      <c r="T52" s="462"/>
      <c r="U52" s="464"/>
      <c r="V52" s="464"/>
      <c r="W52" s="460"/>
      <c r="X52" s="460"/>
      <c r="Y52" s="460"/>
      <c r="Z52" s="460"/>
      <c r="AA52" s="460"/>
      <c r="AB52" s="473"/>
      <c r="AC52" s="543"/>
      <c r="AD52" s="473"/>
      <c r="AE52" s="473"/>
      <c r="AF52" s="473"/>
      <c r="AG52" s="473"/>
      <c r="AH52" s="473"/>
      <c r="AI52" s="473"/>
      <c r="AJ52" s="473"/>
      <c r="AK52" s="473"/>
      <c r="AL52" s="473"/>
      <c r="AM52" s="473"/>
      <c r="AN52" s="473"/>
      <c r="AO52" s="473"/>
      <c r="AP52" s="473"/>
      <c r="AQ52" s="473"/>
      <c r="AR52" s="473"/>
      <c r="AS52" s="473"/>
      <c r="AT52" s="473"/>
    </row>
    <row r="53" spans="1:46" ht="12.75" hidden="1" customHeight="1">
      <c r="A53" s="401"/>
      <c r="B53" s="511"/>
      <c r="C53" s="512"/>
      <c r="D53" s="467"/>
      <c r="E53" s="505"/>
      <c r="F53" s="507"/>
      <c r="G53" s="387"/>
      <c r="H53" s="473"/>
      <c r="I53" s="461"/>
      <c r="J53" s="461"/>
      <c r="K53" s="463"/>
      <c r="L53" s="464"/>
      <c r="M53" s="464"/>
      <c r="N53" s="464"/>
      <c r="O53" s="464"/>
      <c r="P53" s="464"/>
      <c r="Q53" s="464"/>
      <c r="R53" s="464"/>
      <c r="S53" s="464"/>
      <c r="T53" s="462"/>
      <c r="U53" s="464"/>
      <c r="V53" s="464"/>
      <c r="W53" s="460"/>
      <c r="X53" s="460"/>
      <c r="Y53" s="460"/>
      <c r="Z53" s="460"/>
      <c r="AA53" s="460"/>
      <c r="AB53" s="473"/>
      <c r="AC53" s="543"/>
      <c r="AD53" s="473"/>
      <c r="AE53" s="473"/>
      <c r="AF53" s="473"/>
      <c r="AG53" s="473"/>
      <c r="AH53" s="473"/>
      <c r="AI53" s="473"/>
      <c r="AJ53" s="473"/>
      <c r="AK53" s="473"/>
      <c r="AL53" s="473"/>
      <c r="AM53" s="473"/>
      <c r="AN53" s="473"/>
      <c r="AO53" s="473"/>
      <c r="AP53" s="473"/>
      <c r="AQ53" s="473"/>
      <c r="AR53" s="473"/>
      <c r="AS53" s="473"/>
      <c r="AT53" s="473"/>
    </row>
    <row r="54" spans="1:46" ht="12.75" hidden="1" customHeight="1">
      <c r="A54" s="401"/>
      <c r="B54" s="511"/>
      <c r="C54" s="512"/>
      <c r="D54" s="467"/>
      <c r="E54" s="505"/>
      <c r="F54" s="507"/>
      <c r="G54" s="387"/>
      <c r="H54" s="473"/>
      <c r="I54" s="461"/>
      <c r="J54" s="461"/>
      <c r="K54" s="463"/>
      <c r="L54" s="464"/>
      <c r="M54" s="464"/>
      <c r="N54" s="464"/>
      <c r="O54" s="464"/>
      <c r="P54" s="464"/>
      <c r="Q54" s="464"/>
      <c r="R54" s="464"/>
      <c r="S54" s="464"/>
      <c r="T54" s="462"/>
      <c r="U54" s="464"/>
      <c r="V54" s="464"/>
      <c r="W54" s="460"/>
      <c r="X54" s="460"/>
      <c r="Y54" s="460"/>
      <c r="Z54" s="460"/>
      <c r="AA54" s="460"/>
      <c r="AB54" s="473"/>
      <c r="AC54" s="543"/>
      <c r="AD54" s="473"/>
      <c r="AE54" s="473"/>
      <c r="AF54" s="473"/>
      <c r="AG54" s="473"/>
      <c r="AH54" s="473"/>
      <c r="AI54" s="473"/>
      <c r="AJ54" s="473"/>
      <c r="AK54" s="473"/>
      <c r="AL54" s="473"/>
      <c r="AM54" s="473"/>
      <c r="AN54" s="473"/>
      <c r="AO54" s="473"/>
      <c r="AP54" s="473"/>
      <c r="AQ54" s="473"/>
      <c r="AR54" s="473"/>
      <c r="AS54" s="473"/>
      <c r="AT54" s="473"/>
    </row>
    <row r="55" spans="1:46" ht="6.75" customHeight="1" thickBot="1">
      <c r="A55" s="401"/>
      <c r="B55" s="511"/>
      <c r="C55" s="512"/>
      <c r="D55" s="467"/>
      <c r="E55" s="505"/>
      <c r="F55" s="507"/>
      <c r="G55" s="387"/>
      <c r="H55" s="473"/>
      <c r="I55" s="461"/>
      <c r="J55" s="461"/>
      <c r="K55" s="463"/>
      <c r="L55" s="464"/>
      <c r="M55" s="464"/>
      <c r="N55" s="464"/>
      <c r="O55" s="464"/>
      <c r="P55" s="464"/>
      <c r="Q55" s="464"/>
      <c r="R55" s="464"/>
      <c r="S55" s="464"/>
      <c r="T55" s="462"/>
      <c r="U55" s="464"/>
      <c r="V55" s="464"/>
      <c r="W55" s="460"/>
      <c r="X55" s="460"/>
      <c r="Y55" s="460"/>
      <c r="Z55" s="460"/>
      <c r="AA55" s="460"/>
      <c r="AB55" s="473"/>
      <c r="AC55" s="543"/>
      <c r="AD55" s="473"/>
      <c r="AE55" s="473"/>
      <c r="AF55" s="473"/>
      <c r="AG55" s="473"/>
      <c r="AH55" s="473"/>
      <c r="AI55" s="473"/>
      <c r="AJ55" s="473"/>
      <c r="AK55" s="473"/>
      <c r="AL55" s="473"/>
      <c r="AM55" s="473"/>
      <c r="AN55" s="473"/>
      <c r="AO55" s="473"/>
      <c r="AP55" s="473"/>
      <c r="AQ55" s="473"/>
      <c r="AR55" s="473"/>
      <c r="AS55" s="473"/>
      <c r="AT55" s="473"/>
    </row>
    <row r="56" spans="1:46" ht="12.75" customHeight="1" thickBot="1">
      <c r="A56" s="577" t="s">
        <v>78</v>
      </c>
      <c r="B56" s="696"/>
      <c r="C56" s="697"/>
      <c r="D56" s="467"/>
      <c r="E56" s="469"/>
      <c r="F56" s="513"/>
      <c r="G56" s="27"/>
      <c r="H56" s="473"/>
      <c r="I56" s="461"/>
      <c r="J56" s="461"/>
      <c r="K56" s="463"/>
      <c r="L56" s="464"/>
      <c r="M56" s="464" t="str">
        <f>TABLOLAR!A7</f>
        <v>İŞ MERKEZİ</v>
      </c>
      <c r="N56" s="464" t="str">
        <f>TABLOLAR!A18</f>
        <v>İŞ MERKEZİ</v>
      </c>
      <c r="O56" s="464"/>
      <c r="P56" s="464"/>
      <c r="Q56" s="464" t="str">
        <f>TABLOLAR!M38</f>
        <v>40x20</v>
      </c>
      <c r="R56" s="464" t="str">
        <f>TABLOLAR!D49</f>
        <v>Yarım Daire Kanal</v>
      </c>
      <c r="S56" s="464"/>
      <c r="T56" s="462"/>
      <c r="U56" s="464"/>
      <c r="V56" s="464"/>
      <c r="W56" s="460"/>
      <c r="X56" s="460"/>
      <c r="Y56" s="460"/>
      <c r="Z56" s="460"/>
      <c r="AA56" s="460"/>
      <c r="AB56" s="473"/>
      <c r="AC56" s="543"/>
      <c r="AD56" s="473"/>
      <c r="AE56" s="473"/>
      <c r="AF56" s="473"/>
      <c r="AG56" s="473"/>
      <c r="AH56" s="473"/>
      <c r="AI56" s="473"/>
      <c r="AJ56" s="473"/>
      <c r="AK56" s="473"/>
      <c r="AL56" s="473"/>
      <c r="AM56" s="473"/>
      <c r="AN56" s="473"/>
      <c r="AO56" s="473"/>
      <c r="AP56" s="473"/>
      <c r="AQ56" s="473"/>
      <c r="AR56" s="473"/>
      <c r="AS56" s="473"/>
      <c r="AT56" s="473"/>
    </row>
    <row r="57" spans="1:46" ht="12.75" customHeight="1">
      <c r="A57" s="672" t="s">
        <v>79</v>
      </c>
      <c r="B57" s="673"/>
      <c r="C57" s="555"/>
      <c r="D57" s="467"/>
      <c r="E57" s="630" t="s">
        <v>80</v>
      </c>
      <c r="F57" s="631"/>
      <c r="G57" s="692" t="s">
        <v>81</v>
      </c>
      <c r="H57" s="473"/>
      <c r="I57" s="626"/>
      <c r="J57" s="461"/>
      <c r="K57" s="463"/>
      <c r="L57" s="464"/>
      <c r="M57" s="464" t="str">
        <f>TABLOLAR!A8</f>
        <v>OKUL</v>
      </c>
      <c r="N57" s="464" t="str">
        <f>TABLOLAR!A19</f>
        <v>OKUL</v>
      </c>
      <c r="O57" s="464"/>
      <c r="P57" s="464"/>
      <c r="Q57" s="464">
        <f>TABLOLAR!M39</f>
        <v>40</v>
      </c>
      <c r="R57" s="464" t="str">
        <f>TABLOLAR!D50</f>
        <v>Altı Kesik Yarım Daire Kanal</v>
      </c>
      <c r="S57" s="464"/>
      <c r="T57" s="462"/>
      <c r="U57" s="464"/>
      <c r="V57" s="464"/>
      <c r="W57" s="460"/>
      <c r="X57" s="460"/>
      <c r="Y57" s="460"/>
      <c r="Z57" s="460"/>
      <c r="AA57" s="460"/>
      <c r="AB57" s="473"/>
      <c r="AC57" s="543"/>
      <c r="AD57" s="473"/>
      <c r="AE57" s="473"/>
      <c r="AF57" s="473"/>
      <c r="AG57" s="473"/>
      <c r="AH57" s="473"/>
      <c r="AI57" s="473"/>
      <c r="AJ57" s="473"/>
      <c r="AK57" s="473"/>
      <c r="AL57" s="473"/>
      <c r="AM57" s="473"/>
      <c r="AN57" s="473"/>
      <c r="AO57" s="473"/>
      <c r="AP57" s="473"/>
      <c r="AQ57" s="473"/>
      <c r="AR57" s="473"/>
      <c r="AS57" s="473"/>
      <c r="AT57" s="473"/>
    </row>
    <row r="58" spans="1:46" ht="15">
      <c r="A58" s="638" t="s">
        <v>82</v>
      </c>
      <c r="B58" s="639"/>
      <c r="C58" s="556"/>
      <c r="D58" s="467"/>
      <c r="E58" s="631"/>
      <c r="F58" s="631"/>
      <c r="G58" s="693"/>
      <c r="H58" s="473"/>
      <c r="I58" s="627"/>
      <c r="J58" s="461"/>
      <c r="K58" s="463"/>
      <c r="L58" s="464"/>
      <c r="M58" s="464" t="str">
        <f>TABLOLAR!A9</f>
        <v>HASTANE</v>
      </c>
      <c r="N58" s="464" t="str">
        <f>TABLOLAR!A20</f>
        <v>HASTANE</v>
      </c>
      <c r="O58" s="464"/>
      <c r="P58" s="464"/>
      <c r="Q58" s="464" t="str">
        <f>TABLOLAR!M40</f>
        <v>50x25</v>
      </c>
      <c r="R58" s="464" t="str">
        <f>TABLOLAR!D52</f>
        <v>Yarım Daire Kanal (Çift Sarım)</v>
      </c>
      <c r="S58" s="464"/>
      <c r="T58" s="462"/>
      <c r="U58" s="464"/>
      <c r="V58" s="464"/>
      <c r="W58" s="460"/>
      <c r="X58" s="460"/>
      <c r="Y58" s="460"/>
      <c r="Z58" s="460"/>
      <c r="AA58" s="460"/>
      <c r="AB58" s="473"/>
      <c r="AC58" s="543"/>
      <c r="AD58" s="473"/>
      <c r="AE58" s="473"/>
      <c r="AF58" s="473"/>
      <c r="AG58" s="473"/>
      <c r="AH58" s="473"/>
      <c r="AI58" s="473"/>
      <c r="AJ58" s="473"/>
      <c r="AK58" s="473"/>
      <c r="AL58" s="473"/>
      <c r="AM58" s="473"/>
      <c r="AN58" s="473"/>
      <c r="AO58" s="473"/>
      <c r="AP58" s="473"/>
      <c r="AQ58" s="473"/>
      <c r="AR58" s="473"/>
      <c r="AS58" s="473"/>
      <c r="AT58" s="473"/>
    </row>
    <row r="59" spans="1:46" ht="12.75" customHeight="1">
      <c r="A59" s="638" t="s">
        <v>83</v>
      </c>
      <c r="B59" s="639"/>
      <c r="C59" s="557">
        <v>800</v>
      </c>
      <c r="D59" s="514"/>
      <c r="E59" s="477" t="s">
        <v>12</v>
      </c>
      <c r="F59" s="477"/>
      <c r="G59" s="698" t="s">
        <v>73</v>
      </c>
      <c r="H59" s="473"/>
      <c r="I59" s="461"/>
      <c r="J59" s="461"/>
      <c r="K59" s="463"/>
      <c r="L59" s="464"/>
      <c r="M59" s="464" t="str">
        <f>TABLOLAR!A10</f>
        <v>RESMİ BİNA</v>
      </c>
      <c r="N59" s="464"/>
      <c r="O59" s="464"/>
      <c r="P59" s="464"/>
      <c r="Q59" s="464">
        <f>TABLOLAR!M41</f>
        <v>50</v>
      </c>
      <c r="R59" s="464"/>
      <c r="S59" s="464"/>
      <c r="T59" s="462"/>
      <c r="U59" s="464"/>
      <c r="V59" s="464"/>
      <c r="W59" s="460"/>
      <c r="X59" s="460"/>
      <c r="Y59" s="460"/>
      <c r="Z59" s="460"/>
      <c r="AA59" s="460"/>
      <c r="AB59" s="473"/>
      <c r="AC59" s="543"/>
      <c r="AD59" s="473"/>
      <c r="AE59" s="473"/>
      <c r="AF59" s="473"/>
      <c r="AG59" s="473"/>
      <c r="AH59" s="473"/>
      <c r="AI59" s="473"/>
      <c r="AJ59" s="473"/>
      <c r="AK59" s="473"/>
      <c r="AL59" s="473"/>
      <c r="AM59" s="473"/>
      <c r="AN59" s="473"/>
      <c r="AO59" s="473"/>
      <c r="AP59" s="473"/>
      <c r="AQ59" s="473"/>
      <c r="AR59" s="473"/>
      <c r="AS59" s="473"/>
      <c r="AT59" s="473"/>
    </row>
    <row r="60" spans="1:46" ht="12.75" customHeight="1">
      <c r="A60" s="638" t="s">
        <v>84</v>
      </c>
      <c r="B60" s="639"/>
      <c r="C60" s="558">
        <f>VLOOKUP(C59,TEKNİK!A2:B23,2,0)</f>
        <v>10</v>
      </c>
      <c r="D60" s="514"/>
      <c r="E60" s="477" t="s">
        <v>14</v>
      </c>
      <c r="F60" s="477"/>
      <c r="G60" s="699"/>
      <c r="H60" s="473"/>
      <c r="I60" s="461"/>
      <c r="J60" s="461"/>
      <c r="K60" s="463"/>
      <c r="L60" s="464"/>
      <c r="M60" s="464" t="str">
        <f>TABLOLAR!A11</f>
        <v>OTOPARK TİCARİ</v>
      </c>
      <c r="N60" s="464"/>
      <c r="O60" s="464"/>
      <c r="P60" s="464"/>
      <c r="Q60" s="464">
        <f>TABLOLAR!M42</f>
        <v>60</v>
      </c>
      <c r="R60" s="464"/>
      <c r="S60" s="464"/>
      <c r="T60" s="462"/>
      <c r="U60" s="464"/>
      <c r="V60" s="464"/>
      <c r="W60" s="460"/>
      <c r="X60" s="460"/>
      <c r="Y60" s="460"/>
      <c r="Z60" s="460"/>
      <c r="AA60" s="460"/>
      <c r="AB60" s="473"/>
      <c r="AC60" s="543"/>
      <c r="AD60" s="473"/>
      <c r="AE60" s="473"/>
      <c r="AF60" s="473"/>
      <c r="AG60" s="473"/>
      <c r="AH60" s="473"/>
      <c r="AI60" s="473"/>
      <c r="AJ60" s="473"/>
      <c r="AK60" s="473"/>
      <c r="AL60" s="473"/>
      <c r="AM60" s="473"/>
      <c r="AN60" s="473"/>
      <c r="AO60" s="473"/>
      <c r="AP60" s="473"/>
      <c r="AQ60" s="473"/>
      <c r="AR60" s="473"/>
      <c r="AS60" s="473"/>
      <c r="AT60" s="473"/>
    </row>
    <row r="61" spans="1:46" ht="12.75" customHeight="1">
      <c r="A61" s="638" t="s">
        <v>85</v>
      </c>
      <c r="B61" s="639"/>
      <c r="C61" s="559">
        <v>1</v>
      </c>
      <c r="D61" s="514"/>
      <c r="E61" s="477" t="s">
        <v>75</v>
      </c>
      <c r="F61" s="473" t="str">
        <f>IFERROR(VLOOKUP(F60,TEKNİK!$AC$2:$AE$21,2,0),"")</f>
        <v/>
      </c>
      <c r="G61" s="699"/>
      <c r="H61" s="473"/>
      <c r="I61" s="461"/>
      <c r="J61" s="461"/>
      <c r="K61" s="463"/>
      <c r="L61" s="464"/>
      <c r="M61" s="464" t="str">
        <f>TABLOLAR!A12</f>
        <v>OTOPARK ÖZEL</v>
      </c>
      <c r="N61" s="464"/>
      <c r="O61" s="464"/>
      <c r="P61" s="464"/>
      <c r="Q61" s="464">
        <f>TABLOLAR!M43</f>
        <v>65</v>
      </c>
      <c r="R61" s="464"/>
      <c r="S61" s="464"/>
      <c r="T61" s="462"/>
      <c r="U61" s="464"/>
      <c r="V61" s="464"/>
      <c r="W61" s="460"/>
      <c r="X61" s="460"/>
      <c r="Y61" s="460"/>
      <c r="Z61" s="460"/>
      <c r="AA61" s="460"/>
      <c r="AB61" s="473"/>
      <c r="AC61" s="543"/>
      <c r="AD61" s="473"/>
      <c r="AE61" s="473"/>
      <c r="AF61" s="473"/>
      <c r="AG61" s="473"/>
      <c r="AH61" s="473"/>
      <c r="AI61" s="473"/>
      <c r="AJ61" s="473"/>
      <c r="AK61" s="473"/>
      <c r="AL61" s="473"/>
      <c r="AM61" s="473"/>
      <c r="AN61" s="473"/>
      <c r="AO61" s="473"/>
      <c r="AP61" s="473"/>
      <c r="AQ61" s="473"/>
      <c r="AR61" s="473"/>
      <c r="AS61" s="473"/>
      <c r="AT61" s="473"/>
    </row>
    <row r="62" spans="1:46" ht="12.75" customHeight="1">
      <c r="A62" s="638" t="s">
        <v>86</v>
      </c>
      <c r="B62" s="639"/>
      <c r="C62" s="560">
        <v>2026</v>
      </c>
      <c r="D62" s="514"/>
      <c r="E62" s="477" t="s">
        <v>76</v>
      </c>
      <c r="F62" s="473" t="str">
        <f>IFERROR(VLOOKUP(F60,TEKNİK!$AC$2:$AE$21,3,0),"")</f>
        <v/>
      </c>
      <c r="G62" s="699"/>
      <c r="H62" s="473"/>
      <c r="I62" s="461"/>
      <c r="J62" s="461"/>
      <c r="K62" s="463"/>
      <c r="L62" s="464"/>
      <c r="M62" s="464"/>
      <c r="N62" s="464"/>
      <c r="O62" s="464"/>
      <c r="P62" s="464"/>
      <c r="Q62" s="464">
        <f>TABLOLAR!M44</f>
        <v>80</v>
      </c>
      <c r="R62" s="464"/>
      <c r="S62" s="464"/>
      <c r="T62" s="462"/>
      <c r="U62" s="464"/>
      <c r="V62" s="464"/>
      <c r="W62" s="460"/>
      <c r="X62" s="460"/>
      <c r="Y62" s="460"/>
      <c r="Z62" s="460"/>
      <c r="AA62" s="460"/>
      <c r="AB62" s="473"/>
      <c r="AC62" s="543"/>
      <c r="AD62" s="473"/>
      <c r="AE62" s="473"/>
      <c r="AF62" s="473"/>
      <c r="AG62" s="473"/>
      <c r="AH62" s="473"/>
      <c r="AI62" s="473"/>
      <c r="AJ62" s="473"/>
      <c r="AK62" s="473"/>
      <c r="AL62" s="473"/>
      <c r="AM62" s="473"/>
      <c r="AN62" s="473"/>
      <c r="AO62" s="473"/>
      <c r="AP62" s="473"/>
      <c r="AQ62" s="473"/>
      <c r="AR62" s="473"/>
      <c r="AS62" s="473"/>
      <c r="AT62" s="473"/>
    </row>
    <row r="63" spans="1:46" ht="12.75" customHeight="1">
      <c r="A63" s="638" t="s">
        <v>87</v>
      </c>
      <c r="B63" s="639"/>
      <c r="C63" s="561">
        <v>21</v>
      </c>
      <c r="D63" s="514"/>
      <c r="E63" s="477" t="s">
        <v>77</v>
      </c>
      <c r="F63" s="473"/>
      <c r="G63" s="699"/>
      <c r="H63" s="473"/>
      <c r="I63" s="461"/>
      <c r="J63" s="461"/>
      <c r="K63" s="463"/>
      <c r="L63" s="464"/>
      <c r="M63" s="464"/>
      <c r="N63" s="464"/>
      <c r="O63" s="464"/>
      <c r="P63" s="464"/>
      <c r="Q63" s="464">
        <f>TABLOLAR!M45</f>
        <v>100</v>
      </c>
      <c r="R63" s="464"/>
      <c r="S63" s="464"/>
      <c r="T63" s="462"/>
      <c r="U63" s="464"/>
      <c r="V63" s="464"/>
      <c r="W63" s="460"/>
      <c r="X63" s="460"/>
      <c r="Y63" s="460"/>
      <c r="Z63" s="460"/>
      <c r="AA63" s="460"/>
      <c r="AB63" s="473"/>
      <c r="AC63" s="543"/>
      <c r="AD63" s="473"/>
      <c r="AE63" s="473"/>
      <c r="AF63" s="473"/>
      <c r="AG63" s="473"/>
      <c r="AH63" s="473"/>
      <c r="AI63" s="473"/>
      <c r="AJ63" s="473"/>
      <c r="AK63" s="473"/>
      <c r="AL63" s="473"/>
      <c r="AM63" s="473"/>
      <c r="AN63" s="473"/>
      <c r="AO63" s="473"/>
      <c r="AP63" s="473"/>
      <c r="AQ63" s="473"/>
      <c r="AR63" s="473"/>
      <c r="AS63" s="473"/>
      <c r="AT63" s="473"/>
    </row>
    <row r="64" spans="1:46" ht="12.75" customHeight="1">
      <c r="A64" s="638" t="s">
        <v>88</v>
      </c>
      <c r="B64" s="639"/>
      <c r="C64" s="562">
        <v>8</v>
      </c>
      <c r="D64" s="515"/>
      <c r="E64" s="473"/>
      <c r="F64" s="473"/>
      <c r="G64" s="551"/>
      <c r="H64" s="473"/>
      <c r="I64" s="461"/>
      <c r="J64" s="461"/>
      <c r="K64" s="461"/>
      <c r="L64" s="460"/>
      <c r="M64" s="460"/>
      <c r="N64" s="460"/>
      <c r="O64" s="460"/>
      <c r="P64" s="460"/>
      <c r="Q64" s="460">
        <f>TABLOLAR!M46</f>
        <v>120</v>
      </c>
      <c r="R64" s="460"/>
      <c r="S64" s="460"/>
      <c r="T64" s="462"/>
      <c r="U64" s="460"/>
      <c r="V64" s="460"/>
      <c r="W64" s="460"/>
      <c r="X64" s="460"/>
      <c r="Y64" s="460"/>
      <c r="Z64" s="460"/>
      <c r="AA64" s="460"/>
      <c r="AB64" s="473"/>
      <c r="AC64" s="543"/>
      <c r="AD64" s="473"/>
      <c r="AE64" s="473"/>
      <c r="AF64" s="473"/>
      <c r="AG64" s="473"/>
      <c r="AH64" s="473"/>
      <c r="AI64" s="473"/>
      <c r="AJ64" s="473"/>
      <c r="AK64" s="473"/>
      <c r="AL64" s="473"/>
      <c r="AM64" s="473"/>
      <c r="AN64" s="473"/>
      <c r="AO64" s="473"/>
      <c r="AP64" s="473"/>
      <c r="AQ64" s="473"/>
      <c r="AR64" s="473"/>
      <c r="AS64" s="473"/>
      <c r="AT64" s="473"/>
    </row>
    <row r="65" spans="1:46" ht="12.75" customHeight="1">
      <c r="A65" s="638" t="s">
        <v>89</v>
      </c>
      <c r="B65" s="639"/>
      <c r="C65" s="562">
        <v>8</v>
      </c>
      <c r="D65" s="515"/>
      <c r="E65" s="634"/>
      <c r="F65" s="635"/>
      <c r="G65" s="551"/>
      <c r="H65" s="473"/>
      <c r="I65" s="461"/>
      <c r="J65" s="461"/>
      <c r="K65" s="461"/>
      <c r="L65" s="460"/>
      <c r="M65" s="460"/>
      <c r="N65" s="460"/>
      <c r="O65" s="460"/>
      <c r="P65" s="460"/>
      <c r="Q65" s="460">
        <f>TABLOLAR!M47</f>
        <v>140</v>
      </c>
      <c r="R65" s="460"/>
      <c r="S65" s="460"/>
      <c r="T65" s="462"/>
      <c r="U65" s="460"/>
      <c r="V65" s="460"/>
      <c r="W65" s="460"/>
      <c r="X65" s="460"/>
      <c r="Y65" s="460"/>
      <c r="Z65" s="460"/>
      <c r="AA65" s="460"/>
      <c r="AB65" s="473"/>
      <c r="AC65" s="543"/>
      <c r="AD65" s="473"/>
      <c r="AE65" s="473"/>
      <c r="AF65" s="473"/>
      <c r="AG65" s="473"/>
      <c r="AH65" s="473"/>
      <c r="AI65" s="473"/>
      <c r="AJ65" s="473"/>
      <c r="AK65" s="473"/>
      <c r="AL65" s="473"/>
      <c r="AM65" s="473"/>
      <c r="AN65" s="473"/>
      <c r="AO65" s="473"/>
      <c r="AP65" s="473"/>
      <c r="AQ65" s="473"/>
      <c r="AR65" s="473"/>
      <c r="AS65" s="473"/>
      <c r="AT65" s="473"/>
    </row>
    <row r="66" spans="1:46" ht="12.75" customHeight="1">
      <c r="A66" s="628" t="s">
        <v>90</v>
      </c>
      <c r="B66" s="656"/>
      <c r="C66" s="686" t="s">
        <v>91</v>
      </c>
      <c r="D66" s="515"/>
      <c r="E66" s="477"/>
      <c r="F66" s="477"/>
      <c r="G66" s="551"/>
      <c r="H66" s="473"/>
      <c r="I66" s="461"/>
      <c r="J66" s="461"/>
      <c r="K66" s="461"/>
      <c r="L66" s="460"/>
      <c r="M66" s="460"/>
      <c r="N66" s="460"/>
      <c r="O66" s="460"/>
      <c r="P66" s="460"/>
      <c r="Q66" s="460">
        <f>TABLOLAR!M48</f>
        <v>160</v>
      </c>
      <c r="R66" s="460"/>
      <c r="S66" s="460"/>
      <c r="T66" s="462"/>
      <c r="U66" s="460"/>
      <c r="V66" s="460"/>
      <c r="W66" s="460"/>
      <c r="X66" s="460"/>
      <c r="Y66" s="460"/>
      <c r="Z66" s="460"/>
      <c r="AA66" s="460"/>
      <c r="AB66" s="473"/>
      <c r="AC66" s="543"/>
      <c r="AD66" s="473"/>
      <c r="AE66" s="473"/>
      <c r="AF66" s="473"/>
      <c r="AG66" s="473"/>
      <c r="AH66" s="473"/>
      <c r="AI66" s="473"/>
      <c r="AJ66" s="473"/>
      <c r="AK66" s="473"/>
      <c r="AL66" s="473"/>
      <c r="AM66" s="473"/>
      <c r="AN66" s="473"/>
      <c r="AO66" s="473"/>
      <c r="AP66" s="473"/>
      <c r="AQ66" s="473"/>
      <c r="AR66" s="473"/>
      <c r="AS66" s="473"/>
      <c r="AT66" s="473"/>
    </row>
    <row r="67" spans="1:46" ht="12.75" customHeight="1" thickBot="1">
      <c r="A67" s="633"/>
      <c r="B67" s="665"/>
      <c r="C67" s="687"/>
      <c r="D67" s="517"/>
      <c r="E67" s="477"/>
      <c r="F67" s="477"/>
      <c r="G67" s="551"/>
      <c r="H67" s="473"/>
      <c r="I67" s="461"/>
      <c r="J67" s="461"/>
      <c r="K67" s="461"/>
      <c r="L67" s="460"/>
      <c r="M67" s="460"/>
      <c r="N67" s="460"/>
      <c r="O67" s="460"/>
      <c r="P67" s="460"/>
      <c r="Q67" s="460">
        <f>TABLOLAR!M49</f>
        <v>180</v>
      </c>
      <c r="R67" s="460"/>
      <c r="S67" s="460"/>
      <c r="T67" s="462"/>
      <c r="U67" s="460"/>
      <c r="V67" s="460"/>
      <c r="W67" s="460"/>
      <c r="X67" s="460"/>
      <c r="Y67" s="460"/>
      <c r="Z67" s="460"/>
      <c r="AA67" s="460"/>
      <c r="AB67" s="473"/>
      <c r="AC67" s="543"/>
      <c r="AD67" s="473"/>
      <c r="AE67" s="473"/>
      <c r="AF67" s="473"/>
      <c r="AG67" s="473"/>
      <c r="AH67" s="473"/>
      <c r="AI67" s="473"/>
      <c r="AJ67" s="473"/>
      <c r="AK67" s="473"/>
      <c r="AL67" s="473"/>
      <c r="AM67" s="473"/>
      <c r="AN67" s="473"/>
      <c r="AO67" s="473"/>
      <c r="AP67" s="473"/>
      <c r="AQ67" s="473"/>
      <c r="AR67" s="473"/>
      <c r="AS67" s="473"/>
      <c r="AT67" s="473"/>
    </row>
    <row r="68" spans="1:46" ht="12.75" customHeight="1">
      <c r="A68" s="657"/>
      <c r="B68" s="658"/>
      <c r="C68" s="660"/>
      <c r="D68" s="517"/>
      <c r="E68" s="678" t="s">
        <v>92</v>
      </c>
      <c r="F68" s="679"/>
      <c r="G68" s="552"/>
      <c r="H68" s="473"/>
      <c r="I68" s="461"/>
      <c r="J68" s="461"/>
      <c r="K68" s="461"/>
      <c r="L68" s="460"/>
      <c r="M68" s="460"/>
      <c r="N68" s="460"/>
      <c r="O68" s="460"/>
      <c r="P68" s="460"/>
      <c r="Q68" s="460">
        <f>TABLOLAR!M50</f>
        <v>200</v>
      </c>
      <c r="R68" s="460"/>
      <c r="S68" s="460"/>
      <c r="T68" s="462"/>
      <c r="U68" s="460"/>
      <c r="V68" s="460"/>
      <c r="W68" s="460"/>
      <c r="X68" s="460"/>
      <c r="Y68" s="460"/>
      <c r="Z68" s="460"/>
      <c r="AA68" s="460"/>
      <c r="AB68" s="473"/>
      <c r="AC68" s="543"/>
      <c r="AD68" s="473"/>
      <c r="AE68" s="473"/>
      <c r="AF68" s="473"/>
      <c r="AG68" s="473"/>
      <c r="AH68" s="473"/>
      <c r="AI68" s="473"/>
      <c r="AJ68" s="473"/>
      <c r="AK68" s="473"/>
      <c r="AL68" s="473"/>
      <c r="AM68" s="473"/>
      <c r="AN68" s="473"/>
      <c r="AO68" s="473"/>
      <c r="AP68" s="473"/>
      <c r="AQ68" s="473"/>
      <c r="AR68" s="473"/>
      <c r="AS68" s="473"/>
      <c r="AT68" s="473"/>
    </row>
    <row r="69" spans="1:46" ht="12.75" customHeight="1">
      <c r="A69" s="628" t="s">
        <v>93</v>
      </c>
      <c r="B69" s="656"/>
      <c r="C69" s="659" t="s">
        <v>91</v>
      </c>
      <c r="D69" s="518"/>
      <c r="E69" s="563" t="s">
        <v>94</v>
      </c>
      <c r="F69" s="564">
        <v>90</v>
      </c>
      <c r="G69" s="552"/>
      <c r="H69" s="473"/>
      <c r="I69" s="461"/>
      <c r="J69" s="461"/>
      <c r="K69" s="461"/>
      <c r="L69" s="460"/>
      <c r="M69" s="460"/>
      <c r="N69" s="460"/>
      <c r="O69" s="460"/>
      <c r="P69" s="460"/>
      <c r="Q69" s="460">
        <f>TABLOLAR!M51</f>
        <v>240</v>
      </c>
      <c r="R69" s="460"/>
      <c r="S69" s="460"/>
      <c r="T69" s="462"/>
      <c r="U69" s="460"/>
      <c r="V69" s="460"/>
      <c r="W69" s="460"/>
      <c r="X69" s="460"/>
      <c r="Y69" s="460"/>
      <c r="Z69" s="460"/>
      <c r="AA69" s="460"/>
      <c r="AB69" s="473"/>
      <c r="AC69" s="543"/>
      <c r="AD69" s="473"/>
      <c r="AE69" s="473"/>
      <c r="AF69" s="473"/>
      <c r="AG69" s="473"/>
      <c r="AH69" s="473"/>
      <c r="AI69" s="473"/>
      <c r="AJ69" s="473"/>
      <c r="AK69" s="473"/>
      <c r="AL69" s="473"/>
      <c r="AM69" s="473"/>
      <c r="AN69" s="473"/>
      <c r="AO69" s="473"/>
      <c r="AP69" s="473"/>
      <c r="AQ69" s="473"/>
      <c r="AR69" s="473"/>
      <c r="AS69" s="473"/>
      <c r="AT69" s="473"/>
    </row>
    <row r="70" spans="1:46" ht="12.75" customHeight="1" thickBot="1">
      <c r="A70" s="657"/>
      <c r="B70" s="658"/>
      <c r="C70" s="660"/>
      <c r="D70" s="518"/>
      <c r="E70" s="565" t="s">
        <v>95</v>
      </c>
      <c r="F70" s="566">
        <v>60</v>
      </c>
      <c r="G70" s="552"/>
      <c r="H70" s="473"/>
      <c r="I70" s="461"/>
      <c r="J70" s="461"/>
      <c r="K70" s="461"/>
      <c r="L70" s="460"/>
      <c r="M70" s="460"/>
      <c r="N70" s="460"/>
      <c r="O70" s="460"/>
      <c r="P70" s="460"/>
      <c r="Q70" s="460">
        <f>TABLOLAR!M52</f>
        <v>280</v>
      </c>
      <c r="R70" s="460"/>
      <c r="S70" s="460"/>
      <c r="T70" s="462"/>
      <c r="U70" s="460"/>
      <c r="V70" s="460"/>
      <c r="W70" s="460"/>
      <c r="X70" s="460"/>
      <c r="Y70" s="460"/>
      <c r="Z70" s="460"/>
      <c r="AA70" s="460"/>
      <c r="AB70" s="473"/>
      <c r="AC70" s="543"/>
      <c r="AD70" s="473"/>
      <c r="AE70" s="473"/>
      <c r="AF70" s="473"/>
      <c r="AG70" s="473"/>
      <c r="AH70" s="473"/>
      <c r="AI70" s="473"/>
      <c r="AJ70" s="473"/>
      <c r="AK70" s="473"/>
      <c r="AL70" s="473"/>
      <c r="AM70" s="473"/>
      <c r="AN70" s="473"/>
      <c r="AO70" s="473"/>
      <c r="AP70" s="473"/>
      <c r="AQ70" s="473"/>
      <c r="AR70" s="473"/>
      <c r="AS70" s="473"/>
      <c r="AT70" s="473"/>
    </row>
    <row r="71" spans="1:46" ht="12.75" customHeight="1" thickBot="1">
      <c r="A71" s="628" t="s">
        <v>90</v>
      </c>
      <c r="B71" s="29" t="s">
        <v>96</v>
      </c>
      <c r="C71" s="30">
        <v>900</v>
      </c>
      <c r="D71" s="515"/>
      <c r="E71" s="553"/>
      <c r="F71" s="554"/>
      <c r="G71" s="552"/>
      <c r="H71" s="473"/>
      <c r="I71" s="461"/>
      <c r="J71" s="461"/>
      <c r="K71" s="461"/>
      <c r="L71" s="460"/>
      <c r="M71" s="460"/>
      <c r="N71" s="460"/>
      <c r="O71" s="460"/>
      <c r="P71" s="460"/>
      <c r="Q71" s="460">
        <f>TABLOLAR!M53</f>
        <v>300</v>
      </c>
      <c r="R71" s="460"/>
      <c r="S71" s="460"/>
      <c r="T71" s="462"/>
      <c r="U71" s="460"/>
      <c r="V71" s="460"/>
      <c r="W71" s="460"/>
      <c r="X71" s="460"/>
      <c r="Y71" s="460"/>
      <c r="Z71" s="460"/>
      <c r="AA71" s="460"/>
      <c r="AB71" s="473"/>
      <c r="AC71" s="543"/>
      <c r="AD71" s="473"/>
      <c r="AE71" s="473"/>
      <c r="AF71" s="473"/>
      <c r="AG71" s="473"/>
      <c r="AH71" s="473"/>
      <c r="AI71" s="473"/>
      <c r="AJ71" s="473"/>
      <c r="AK71" s="473"/>
      <c r="AL71" s="473"/>
      <c r="AM71" s="473"/>
      <c r="AN71" s="473"/>
      <c r="AO71" s="473"/>
      <c r="AP71" s="473"/>
      <c r="AQ71" s="473"/>
      <c r="AR71" s="473"/>
      <c r="AS71" s="473"/>
      <c r="AT71" s="473"/>
    </row>
    <row r="72" spans="1:46" ht="12.75" customHeight="1" thickBot="1">
      <c r="A72" s="629"/>
      <c r="B72" s="31" t="s">
        <v>97</v>
      </c>
      <c r="C72" s="30">
        <v>2000</v>
      </c>
      <c r="D72" s="467"/>
      <c r="E72" s="440" t="s">
        <v>98</v>
      </c>
      <c r="F72" s="441" t="s">
        <v>99</v>
      </c>
      <c r="G72" s="28"/>
      <c r="H72" s="473"/>
      <c r="I72" s="461"/>
      <c r="J72" s="461"/>
      <c r="K72" s="461"/>
      <c r="L72" s="460"/>
      <c r="M72" s="460"/>
      <c r="N72" s="460"/>
      <c r="O72" s="460"/>
      <c r="P72" s="460"/>
      <c r="Q72" s="460"/>
      <c r="R72" s="460"/>
      <c r="S72" s="460"/>
      <c r="T72" s="462"/>
      <c r="U72" s="460"/>
      <c r="V72" s="460"/>
      <c r="W72" s="460"/>
      <c r="X72" s="460"/>
      <c r="Y72" s="460"/>
      <c r="Z72" s="460"/>
      <c r="AA72" s="460"/>
      <c r="AB72" s="473"/>
      <c r="AC72" s="543"/>
      <c r="AD72" s="473"/>
      <c r="AE72" s="473"/>
      <c r="AF72" s="473"/>
      <c r="AG72" s="473"/>
      <c r="AH72" s="473"/>
      <c r="AI72" s="473"/>
      <c r="AJ72" s="473"/>
      <c r="AK72" s="473"/>
      <c r="AL72" s="473"/>
      <c r="AM72" s="473"/>
      <c r="AN72" s="473"/>
      <c r="AO72" s="473"/>
      <c r="AP72" s="473"/>
      <c r="AQ72" s="473"/>
      <c r="AR72" s="473"/>
      <c r="AS72" s="473"/>
      <c r="AT72" s="473"/>
    </row>
    <row r="73" spans="1:46" ht="12.75" customHeight="1" thickBot="1">
      <c r="A73" s="703" t="s">
        <v>100</v>
      </c>
      <c r="B73" s="29" t="s">
        <v>96</v>
      </c>
      <c r="C73" s="32">
        <v>1450</v>
      </c>
      <c r="D73" s="467"/>
      <c r="E73" s="33" t="s">
        <v>101</v>
      </c>
      <c r="F73" s="34" t="s">
        <v>102</v>
      </c>
      <c r="G73" s="2"/>
      <c r="H73" s="473"/>
      <c r="I73" s="461"/>
      <c r="J73" s="461"/>
      <c r="K73" s="461"/>
      <c r="L73" s="460"/>
      <c r="M73" s="460"/>
      <c r="N73" s="460"/>
      <c r="O73" s="460"/>
      <c r="P73" s="460"/>
      <c r="Q73" s="460"/>
      <c r="R73" s="460"/>
      <c r="S73" s="460"/>
      <c r="T73" s="462"/>
      <c r="U73" s="460"/>
      <c r="V73" s="460"/>
      <c r="W73" s="460"/>
      <c r="X73" s="460"/>
      <c r="Y73" s="460"/>
      <c r="Z73" s="460"/>
      <c r="AA73" s="460"/>
      <c r="AB73" s="473"/>
      <c r="AC73" s="543"/>
      <c r="AD73" s="473"/>
      <c r="AE73" s="473"/>
      <c r="AF73" s="473"/>
      <c r="AG73" s="473"/>
      <c r="AH73" s="473"/>
      <c r="AI73" s="473"/>
      <c r="AJ73" s="473"/>
      <c r="AK73" s="473"/>
      <c r="AL73" s="473"/>
      <c r="AM73" s="473"/>
      <c r="AN73" s="473"/>
      <c r="AO73" s="473"/>
      <c r="AP73" s="473"/>
      <c r="AQ73" s="473"/>
      <c r="AR73" s="473"/>
      <c r="AS73" s="473"/>
      <c r="AT73" s="473"/>
    </row>
    <row r="74" spans="1:46" ht="12.75" customHeight="1">
      <c r="A74" s="657"/>
      <c r="B74" s="31" t="s">
        <v>103</v>
      </c>
      <c r="C74" s="35">
        <v>1350</v>
      </c>
      <c r="D74" s="467"/>
      <c r="E74" s="36"/>
      <c r="F74" s="496"/>
      <c r="G74" s="2"/>
      <c r="H74" s="473"/>
      <c r="I74" s="461"/>
      <c r="J74" s="461"/>
      <c r="K74" s="461"/>
      <c r="L74" s="460"/>
      <c r="M74" s="460"/>
      <c r="N74" s="460"/>
      <c r="O74" s="460"/>
      <c r="P74" s="460"/>
      <c r="Q74" s="460"/>
      <c r="R74" s="460"/>
      <c r="S74" s="460"/>
      <c r="T74" s="462"/>
      <c r="U74" s="460"/>
      <c r="V74" s="460"/>
      <c r="W74" s="460"/>
      <c r="X74" s="460"/>
      <c r="Y74" s="460"/>
      <c r="Z74" s="460"/>
      <c r="AA74" s="460"/>
      <c r="AB74" s="473"/>
      <c r="AC74" s="543"/>
      <c r="AD74" s="473"/>
      <c r="AE74" s="473"/>
      <c r="AF74" s="473"/>
      <c r="AG74" s="473"/>
      <c r="AH74" s="473"/>
      <c r="AI74" s="473"/>
      <c r="AJ74" s="473"/>
      <c r="AK74" s="473"/>
      <c r="AL74" s="473"/>
      <c r="AM74" s="473"/>
      <c r="AN74" s="473"/>
      <c r="AO74" s="473"/>
      <c r="AP74" s="473"/>
      <c r="AQ74" s="473"/>
      <c r="AR74" s="473"/>
      <c r="AS74" s="473"/>
      <c r="AT74" s="473"/>
    </row>
    <row r="75" spans="1:46" ht="12.75" customHeight="1">
      <c r="A75" s="638" t="s">
        <v>104</v>
      </c>
      <c r="B75" s="641"/>
      <c r="C75" s="37">
        <v>700</v>
      </c>
      <c r="D75" s="467"/>
      <c r="E75" s="38"/>
      <c r="F75" s="38"/>
      <c r="G75" s="2"/>
      <c r="H75" s="473"/>
      <c r="I75" s="461"/>
      <c r="J75" s="461"/>
      <c r="K75" s="461"/>
      <c r="L75" s="460"/>
      <c r="M75" s="460"/>
      <c r="N75" s="460"/>
      <c r="O75" s="460"/>
      <c r="P75" s="460"/>
      <c r="Q75" s="460"/>
      <c r="R75" s="460"/>
      <c r="S75" s="460"/>
      <c r="T75" s="462"/>
      <c r="U75" s="460"/>
      <c r="V75" s="460"/>
      <c r="W75" s="460"/>
      <c r="X75" s="460"/>
      <c r="Y75" s="460"/>
      <c r="Z75" s="460"/>
      <c r="AA75" s="460"/>
      <c r="AB75" s="473"/>
      <c r="AC75" s="543"/>
      <c r="AD75" s="473"/>
      <c r="AE75" s="473"/>
      <c r="AF75" s="473"/>
      <c r="AG75" s="473"/>
      <c r="AH75" s="473"/>
      <c r="AI75" s="473"/>
      <c r="AJ75" s="473"/>
      <c r="AK75" s="473"/>
      <c r="AL75" s="473"/>
      <c r="AM75" s="473"/>
      <c r="AN75" s="473"/>
      <c r="AO75" s="473"/>
      <c r="AP75" s="473"/>
      <c r="AQ75" s="473"/>
      <c r="AR75" s="473"/>
      <c r="AS75" s="473"/>
      <c r="AT75" s="473"/>
    </row>
    <row r="76" spans="1:46" ht="12.75" customHeight="1">
      <c r="A76" s="638" t="s">
        <v>105</v>
      </c>
      <c r="B76" s="641"/>
      <c r="C76" s="39">
        <v>0</v>
      </c>
      <c r="D76" s="467"/>
      <c r="E76" s="519"/>
      <c r="F76" s="519"/>
      <c r="G76" s="2"/>
      <c r="H76" s="473"/>
      <c r="I76" s="461"/>
      <c r="J76" s="461"/>
      <c r="K76" s="461"/>
      <c r="L76" s="460"/>
      <c r="M76" s="460"/>
      <c r="N76" s="460"/>
      <c r="O76" s="460"/>
      <c r="P76" s="460"/>
      <c r="Q76" s="460"/>
      <c r="R76" s="460"/>
      <c r="S76" s="460"/>
      <c r="T76" s="462"/>
      <c r="U76" s="460"/>
      <c r="V76" s="460"/>
      <c r="W76" s="460"/>
      <c r="X76" s="460"/>
      <c r="Y76" s="460"/>
      <c r="Z76" s="460"/>
      <c r="AA76" s="460"/>
      <c r="AB76" s="473"/>
      <c r="AC76" s="543"/>
      <c r="AD76" s="473"/>
      <c r="AE76" s="473"/>
      <c r="AF76" s="473"/>
      <c r="AG76" s="473"/>
      <c r="AH76" s="473"/>
      <c r="AI76" s="473"/>
      <c r="AJ76" s="473"/>
      <c r="AK76" s="473"/>
      <c r="AL76" s="473"/>
      <c r="AM76" s="473"/>
      <c r="AN76" s="473"/>
      <c r="AO76" s="473"/>
      <c r="AP76" s="473"/>
      <c r="AQ76" s="473"/>
      <c r="AR76" s="473"/>
      <c r="AS76" s="473"/>
      <c r="AT76" s="473"/>
    </row>
    <row r="77" spans="1:46" ht="12.75" customHeight="1" thickBot="1">
      <c r="A77" s="628" t="s">
        <v>106</v>
      </c>
      <c r="B77" s="656"/>
      <c r="C77" s="659" t="s">
        <v>107</v>
      </c>
      <c r="D77" s="467"/>
      <c r="E77" s="40"/>
      <c r="F77" s="470"/>
      <c r="G77" s="41"/>
      <c r="H77" s="473"/>
      <c r="I77" s="461"/>
      <c r="J77" s="461"/>
      <c r="K77" s="461"/>
      <c r="L77" s="460"/>
      <c r="M77" s="460"/>
      <c r="N77" s="460"/>
      <c r="O77" s="460"/>
      <c r="P77" s="460"/>
      <c r="Q77" s="460"/>
      <c r="R77" s="460"/>
      <c r="S77" s="460"/>
      <c r="T77" s="462"/>
      <c r="U77" s="460"/>
      <c r="V77" s="460"/>
      <c r="W77" s="460"/>
      <c r="X77" s="460"/>
      <c r="Y77" s="460"/>
      <c r="Z77" s="460"/>
      <c r="AA77" s="460"/>
      <c r="AB77" s="473"/>
      <c r="AC77" s="543"/>
      <c r="AD77" s="473"/>
      <c r="AE77" s="473"/>
      <c r="AF77" s="473"/>
      <c r="AG77" s="473"/>
      <c r="AH77" s="473"/>
      <c r="AI77" s="473"/>
      <c r="AJ77" s="473"/>
      <c r="AK77" s="473"/>
      <c r="AL77" s="473"/>
      <c r="AM77" s="473"/>
      <c r="AN77" s="473"/>
      <c r="AO77" s="473"/>
      <c r="AP77" s="473"/>
      <c r="AQ77" s="473"/>
      <c r="AR77" s="473"/>
      <c r="AS77" s="473"/>
      <c r="AT77" s="473"/>
    </row>
    <row r="78" spans="1:46" ht="12.75" customHeight="1" thickBot="1">
      <c r="A78" s="633"/>
      <c r="B78" s="665"/>
      <c r="C78" s="687"/>
      <c r="D78" s="467"/>
      <c r="E78" s="438" t="s">
        <v>108</v>
      </c>
      <c r="F78" s="438" t="s">
        <v>109</v>
      </c>
      <c r="G78" s="439" t="s">
        <v>110</v>
      </c>
      <c r="H78" s="473"/>
      <c r="I78" s="461"/>
      <c r="J78" s="461"/>
      <c r="K78" s="461"/>
      <c r="L78" s="460"/>
      <c r="M78" s="460"/>
      <c r="N78" s="460"/>
      <c r="O78" s="460"/>
      <c r="P78" s="460"/>
      <c r="Q78" s="460"/>
      <c r="R78" s="460"/>
      <c r="S78" s="460"/>
      <c r="T78" s="462"/>
      <c r="U78" s="460"/>
      <c r="V78" s="460"/>
      <c r="W78" s="460"/>
      <c r="X78" s="460"/>
      <c r="Y78" s="460"/>
      <c r="Z78" s="460"/>
      <c r="AA78" s="460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  <c r="AL78" s="473"/>
      <c r="AM78" s="473"/>
      <c r="AN78" s="473"/>
      <c r="AO78" s="473"/>
      <c r="AP78" s="473"/>
      <c r="AQ78" s="473"/>
      <c r="AR78" s="473"/>
      <c r="AS78" s="473"/>
      <c r="AT78" s="473"/>
    </row>
    <row r="79" spans="1:46" ht="13.5" customHeight="1" thickBot="1">
      <c r="A79" s="657"/>
      <c r="B79" s="658"/>
      <c r="C79" s="660"/>
      <c r="D79" s="467"/>
      <c r="E79" s="458">
        <v>2.5</v>
      </c>
      <c r="F79" s="42">
        <v>1.6</v>
      </c>
      <c r="G79" s="42">
        <v>3</v>
      </c>
      <c r="H79" s="473"/>
      <c r="I79" s="461"/>
      <c r="J79" s="461"/>
      <c r="K79" s="461"/>
      <c r="L79" s="460"/>
      <c r="M79" s="460"/>
      <c r="N79" s="460"/>
      <c r="O79" s="460"/>
      <c r="P79" s="460"/>
      <c r="Q79" s="460"/>
      <c r="R79" s="460"/>
      <c r="S79" s="460"/>
      <c r="T79" s="462"/>
      <c r="U79" s="460"/>
      <c r="V79" s="460"/>
      <c r="W79" s="460"/>
      <c r="X79" s="460"/>
      <c r="Y79" s="460"/>
      <c r="Z79" s="460"/>
      <c r="AA79" s="460"/>
      <c r="AB79" s="473"/>
      <c r="AC79" s="473"/>
      <c r="AD79" s="473"/>
      <c r="AE79" s="473"/>
      <c r="AF79" s="473"/>
      <c r="AG79" s="473"/>
      <c r="AH79" s="473"/>
      <c r="AI79" s="473"/>
      <c r="AJ79" s="473"/>
      <c r="AK79" s="473"/>
      <c r="AL79" s="473"/>
      <c r="AM79" s="473"/>
      <c r="AN79" s="473"/>
      <c r="AO79" s="473"/>
      <c r="AP79" s="473"/>
      <c r="AQ79" s="473"/>
      <c r="AR79" s="473"/>
      <c r="AS79" s="473"/>
      <c r="AT79" s="473"/>
    </row>
    <row r="80" spans="1:46" ht="17.25" customHeight="1" thickBot="1">
      <c r="A80" s="688" t="s">
        <v>111</v>
      </c>
      <c r="B80" s="668"/>
      <c r="C80" s="417">
        <f>C75+(C59/2)</f>
        <v>1100</v>
      </c>
      <c r="D80" s="467"/>
      <c r="E80" s="43" t="s">
        <v>112</v>
      </c>
      <c r="F80" s="44">
        <f>(C63*1000)+B132+F114</f>
        <v>26350</v>
      </c>
      <c r="G80" s="459"/>
      <c r="H80" s="473"/>
      <c r="I80" s="461"/>
      <c r="J80" s="461"/>
      <c r="K80" s="461"/>
      <c r="L80" s="460"/>
      <c r="M80" s="460"/>
      <c r="N80" s="460"/>
      <c r="O80" s="460"/>
      <c r="P80" s="460"/>
      <c r="Q80" s="460"/>
      <c r="R80" s="460"/>
      <c r="S80" s="460"/>
      <c r="T80" s="462"/>
      <c r="U80" s="460"/>
      <c r="V80" s="460"/>
      <c r="W80" s="460"/>
      <c r="X80" s="460"/>
      <c r="Y80" s="460"/>
      <c r="Z80" s="460"/>
      <c r="AA80" s="460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  <c r="AL80" s="473"/>
      <c r="AM80" s="473"/>
      <c r="AN80" s="473"/>
      <c r="AO80" s="473"/>
      <c r="AP80" s="473"/>
      <c r="AQ80" s="473"/>
      <c r="AR80" s="473"/>
      <c r="AS80" s="473"/>
      <c r="AT80" s="473"/>
    </row>
    <row r="81" spans="1:46" ht="12.75" hidden="1" customHeight="1">
      <c r="A81" s="647"/>
      <c r="B81" s="676"/>
      <c r="C81" s="520"/>
      <c r="D81" s="521"/>
      <c r="E81" s="467"/>
      <c r="F81" s="470"/>
      <c r="G81" s="41"/>
      <c r="H81" s="543"/>
      <c r="I81" s="542"/>
      <c r="J81" s="542"/>
      <c r="K81" s="542"/>
      <c r="L81" s="544"/>
      <c r="M81" s="544"/>
      <c r="N81" s="544"/>
      <c r="O81" s="544"/>
      <c r="P81" s="544"/>
      <c r="Q81" s="544"/>
      <c r="R81" s="544"/>
      <c r="S81" s="544"/>
      <c r="T81" s="545"/>
      <c r="U81" s="460"/>
      <c r="V81" s="460"/>
      <c r="W81" s="460"/>
      <c r="X81" s="460"/>
      <c r="Y81" s="460"/>
      <c r="Z81" s="460"/>
      <c r="AA81" s="460"/>
      <c r="AB81" s="473"/>
      <c r="AC81" s="473"/>
      <c r="AD81" s="473"/>
      <c r="AE81" s="473"/>
      <c r="AF81" s="473"/>
      <c r="AG81" s="473"/>
      <c r="AH81" s="473"/>
      <c r="AI81" s="473"/>
      <c r="AJ81" s="473"/>
      <c r="AK81" s="473"/>
      <c r="AL81" s="473"/>
      <c r="AM81" s="473"/>
      <c r="AN81" s="473"/>
      <c r="AO81" s="473"/>
      <c r="AP81" s="473"/>
      <c r="AQ81" s="473"/>
      <c r="AR81" s="473"/>
      <c r="AS81" s="473"/>
      <c r="AT81" s="473"/>
    </row>
    <row r="82" spans="1:46" ht="12.75" hidden="1" customHeight="1">
      <c r="A82" s="633"/>
      <c r="B82" s="581"/>
      <c r="C82" s="520"/>
      <c r="D82" s="521"/>
      <c r="E82" s="522"/>
      <c r="F82" s="470"/>
      <c r="G82" s="41"/>
      <c r="H82" s="543"/>
      <c r="I82" s="542"/>
      <c r="J82" s="542"/>
      <c r="K82" s="542"/>
      <c r="L82" s="544"/>
      <c r="M82" s="544"/>
      <c r="N82" s="544"/>
      <c r="O82" s="544"/>
      <c r="P82" s="544"/>
      <c r="Q82" s="544"/>
      <c r="R82" s="544"/>
      <c r="S82" s="544"/>
      <c r="T82" s="545"/>
      <c r="U82" s="460"/>
      <c r="V82" s="460"/>
      <c r="W82" s="460"/>
      <c r="X82" s="460"/>
      <c r="Y82" s="460"/>
      <c r="Z82" s="460"/>
      <c r="AA82" s="460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  <c r="AL82" s="473"/>
      <c r="AM82" s="473"/>
      <c r="AN82" s="473"/>
      <c r="AO82" s="473"/>
      <c r="AP82" s="473"/>
      <c r="AQ82" s="473"/>
      <c r="AR82" s="473"/>
      <c r="AS82" s="473"/>
      <c r="AT82" s="473"/>
    </row>
    <row r="83" spans="1:46" ht="12.75" hidden="1" customHeight="1">
      <c r="A83" s="647"/>
      <c r="B83" s="676"/>
      <c r="C83" s="520"/>
      <c r="D83" s="523"/>
      <c r="E83" s="523"/>
      <c r="F83" s="470"/>
      <c r="G83" s="41"/>
      <c r="H83" s="543"/>
      <c r="I83" s="542"/>
      <c r="J83" s="542"/>
      <c r="K83" s="542"/>
      <c r="L83" s="544"/>
      <c r="M83" s="544"/>
      <c r="N83" s="544"/>
      <c r="O83" s="544"/>
      <c r="P83" s="544"/>
      <c r="Q83" s="544"/>
      <c r="R83" s="544"/>
      <c r="S83" s="544"/>
      <c r="T83" s="545"/>
      <c r="U83" s="460"/>
      <c r="V83" s="460"/>
      <c r="W83" s="460"/>
      <c r="X83" s="460"/>
      <c r="Y83" s="460"/>
      <c r="Z83" s="460"/>
      <c r="AA83" s="460"/>
      <c r="AB83" s="473"/>
      <c r="AC83" s="473"/>
      <c r="AD83" s="473"/>
      <c r="AE83" s="473"/>
      <c r="AF83" s="473"/>
      <c r="AG83" s="473"/>
      <c r="AH83" s="473"/>
      <c r="AI83" s="473"/>
      <c r="AJ83" s="473"/>
      <c r="AK83" s="473"/>
      <c r="AL83" s="473"/>
      <c r="AM83" s="473"/>
      <c r="AN83" s="473"/>
      <c r="AO83" s="473"/>
      <c r="AP83" s="473"/>
      <c r="AQ83" s="473"/>
      <c r="AR83" s="473"/>
      <c r="AS83" s="473"/>
      <c r="AT83" s="473"/>
    </row>
    <row r="84" spans="1:46" ht="13.5" hidden="1" customHeight="1">
      <c r="A84" s="633"/>
      <c r="B84" s="581"/>
      <c r="C84" s="520"/>
      <c r="D84" s="523"/>
      <c r="E84" s="522"/>
      <c r="F84" s="470"/>
      <c r="G84" s="41"/>
      <c r="H84" s="543"/>
      <c r="I84" s="542"/>
      <c r="J84" s="542"/>
      <c r="K84" s="542"/>
      <c r="L84" s="544"/>
      <c r="M84" s="544"/>
      <c r="N84" s="544"/>
      <c r="O84" s="544"/>
      <c r="P84" s="544"/>
      <c r="Q84" s="544"/>
      <c r="R84" s="544"/>
      <c r="S84" s="544"/>
      <c r="T84" s="545"/>
      <c r="U84" s="460"/>
      <c r="V84" s="460"/>
      <c r="W84" s="460"/>
      <c r="X84" s="460"/>
      <c r="Y84" s="460"/>
      <c r="Z84" s="460"/>
      <c r="AA84" s="460"/>
      <c r="AB84" s="473"/>
      <c r="AC84" s="473"/>
      <c r="AD84" s="473"/>
      <c r="AE84" s="473"/>
      <c r="AF84" s="473"/>
      <c r="AG84" s="473"/>
      <c r="AH84" s="473"/>
      <c r="AI84" s="473"/>
      <c r="AJ84" s="473"/>
      <c r="AK84" s="473"/>
      <c r="AL84" s="473"/>
      <c r="AM84" s="473"/>
      <c r="AN84" s="473"/>
      <c r="AO84" s="473"/>
      <c r="AP84" s="473"/>
      <c r="AQ84" s="473"/>
      <c r="AR84" s="473"/>
      <c r="AS84" s="473"/>
      <c r="AT84" s="473"/>
    </row>
    <row r="85" spans="1:46" ht="13.5" hidden="1" customHeight="1">
      <c r="A85" s="46"/>
      <c r="B85" s="521"/>
      <c r="C85" s="45"/>
      <c r="D85" s="523"/>
      <c r="E85" s="522"/>
      <c r="F85" s="649"/>
      <c r="G85" s="650"/>
      <c r="H85" s="543"/>
      <c r="I85" s="542"/>
      <c r="J85" s="542"/>
      <c r="K85" s="542"/>
      <c r="L85" s="544"/>
      <c r="M85" s="544"/>
      <c r="N85" s="544"/>
      <c r="O85" s="544"/>
      <c r="P85" s="544"/>
      <c r="Q85" s="544"/>
      <c r="R85" s="544"/>
      <c r="S85" s="544"/>
      <c r="T85" s="545"/>
      <c r="U85" s="460"/>
      <c r="V85" s="460"/>
      <c r="W85" s="460"/>
      <c r="X85" s="460"/>
      <c r="Y85" s="460"/>
      <c r="Z85" s="460"/>
      <c r="AA85" s="460"/>
      <c r="AB85" s="473"/>
      <c r="AC85" s="473"/>
      <c r="AD85" s="473"/>
      <c r="AE85" s="473"/>
      <c r="AF85" s="473"/>
      <c r="AG85" s="473"/>
      <c r="AH85" s="473"/>
      <c r="AI85" s="473"/>
      <c r="AJ85" s="473"/>
      <c r="AK85" s="473"/>
      <c r="AL85" s="473"/>
      <c r="AM85" s="473"/>
      <c r="AN85" s="473"/>
      <c r="AO85" s="473"/>
      <c r="AP85" s="473"/>
      <c r="AQ85" s="473"/>
      <c r="AR85" s="473"/>
      <c r="AS85" s="473"/>
      <c r="AT85" s="473"/>
    </row>
    <row r="86" spans="1:46" ht="13.5" hidden="1" customHeight="1">
      <c r="A86" s="46"/>
      <c r="B86" s="521"/>
      <c r="C86" s="524"/>
      <c r="D86" s="521"/>
      <c r="E86" s="522"/>
      <c r="F86" s="581"/>
      <c r="G86" s="650"/>
      <c r="H86" s="543"/>
      <c r="I86" s="542"/>
      <c r="J86" s="542"/>
      <c r="K86" s="542"/>
      <c r="L86" s="544"/>
      <c r="M86" s="544"/>
      <c r="N86" s="544"/>
      <c r="O86" s="544"/>
      <c r="P86" s="544"/>
      <c r="Q86" s="544"/>
      <c r="R86" s="544"/>
      <c r="S86" s="544"/>
      <c r="T86" s="545"/>
      <c r="U86" s="460"/>
      <c r="V86" s="460"/>
      <c r="W86" s="460"/>
      <c r="X86" s="460"/>
      <c r="Y86" s="460"/>
      <c r="Z86" s="460"/>
      <c r="AA86" s="460"/>
      <c r="AB86" s="473"/>
      <c r="AC86" s="473"/>
      <c r="AD86" s="473"/>
      <c r="AE86" s="473"/>
      <c r="AF86" s="473"/>
      <c r="AG86" s="473"/>
      <c r="AH86" s="473"/>
      <c r="AI86" s="473"/>
      <c r="AJ86" s="473"/>
      <c r="AK86" s="473"/>
      <c r="AL86" s="473"/>
      <c r="AM86" s="473"/>
      <c r="AN86" s="473"/>
      <c r="AO86" s="473"/>
      <c r="AP86" s="473"/>
      <c r="AQ86" s="473"/>
      <c r="AR86" s="473"/>
      <c r="AS86" s="473"/>
      <c r="AT86" s="473"/>
    </row>
    <row r="87" spans="1:46" ht="13.5" hidden="1" customHeight="1">
      <c r="A87" s="46"/>
      <c r="B87" s="521"/>
      <c r="C87" s="496"/>
      <c r="D87" s="521"/>
      <c r="E87" s="522"/>
      <c r="F87" s="581"/>
      <c r="G87" s="650"/>
      <c r="H87" s="543"/>
      <c r="I87" s="542"/>
      <c r="J87" s="542"/>
      <c r="K87" s="542"/>
      <c r="L87" s="544"/>
      <c r="M87" s="544"/>
      <c r="N87" s="544"/>
      <c r="O87" s="544"/>
      <c r="P87" s="544"/>
      <c r="Q87" s="544"/>
      <c r="R87" s="544"/>
      <c r="S87" s="544"/>
      <c r="T87" s="545"/>
      <c r="U87" s="460"/>
      <c r="V87" s="460"/>
      <c r="W87" s="460"/>
      <c r="X87" s="460"/>
      <c r="Y87" s="460"/>
      <c r="Z87" s="460"/>
      <c r="AA87" s="460"/>
      <c r="AB87" s="473"/>
      <c r="AC87" s="473"/>
      <c r="AD87" s="473"/>
      <c r="AE87" s="473"/>
      <c r="AF87" s="473"/>
      <c r="AG87" s="473"/>
      <c r="AH87" s="473"/>
      <c r="AI87" s="473"/>
      <c r="AJ87" s="473"/>
      <c r="AK87" s="473"/>
      <c r="AL87" s="473"/>
      <c r="AM87" s="473"/>
      <c r="AN87" s="473"/>
      <c r="AO87" s="473"/>
      <c r="AP87" s="473"/>
      <c r="AQ87" s="473"/>
      <c r="AR87" s="473"/>
      <c r="AS87" s="473"/>
      <c r="AT87" s="473"/>
    </row>
    <row r="88" spans="1:46" ht="13.5" hidden="1" customHeight="1">
      <c r="A88" s="580"/>
      <c r="B88" s="581"/>
      <c r="C88" s="496"/>
      <c r="D88" s="521"/>
      <c r="E88" s="522"/>
      <c r="F88" s="581"/>
      <c r="G88" s="650"/>
      <c r="H88" s="543"/>
      <c r="I88" s="542"/>
      <c r="J88" s="542"/>
      <c r="K88" s="542"/>
      <c r="L88" s="544"/>
      <c r="M88" s="544"/>
      <c r="N88" s="544"/>
      <c r="O88" s="544"/>
      <c r="P88" s="544"/>
      <c r="Q88" s="544"/>
      <c r="R88" s="544"/>
      <c r="S88" s="544"/>
      <c r="T88" s="545"/>
      <c r="U88" s="460"/>
      <c r="V88" s="460"/>
      <c r="W88" s="460"/>
      <c r="X88" s="460"/>
      <c r="Y88" s="460"/>
      <c r="Z88" s="460"/>
      <c r="AA88" s="460"/>
      <c r="AB88" s="473"/>
      <c r="AC88" s="473"/>
      <c r="AD88" s="473"/>
      <c r="AE88" s="473"/>
      <c r="AF88" s="473"/>
      <c r="AG88" s="473"/>
      <c r="AH88" s="473"/>
      <c r="AI88" s="473"/>
      <c r="AJ88" s="473"/>
      <c r="AK88" s="473"/>
      <c r="AL88" s="473"/>
      <c r="AM88" s="473"/>
      <c r="AN88" s="473"/>
      <c r="AO88" s="473"/>
      <c r="AP88" s="473"/>
      <c r="AQ88" s="473"/>
      <c r="AR88" s="473"/>
      <c r="AS88" s="473"/>
      <c r="AT88" s="473"/>
    </row>
    <row r="89" spans="1:46" ht="3" customHeight="1" thickBot="1">
      <c r="A89" s="46"/>
      <c r="B89" s="521"/>
      <c r="C89" s="521"/>
      <c r="D89" s="521"/>
      <c r="E89" s="47"/>
      <c r="F89" s="651"/>
      <c r="G89" s="652"/>
      <c r="H89" s="543"/>
      <c r="I89" s="542"/>
      <c r="J89" s="542"/>
      <c r="K89" s="542"/>
      <c r="L89" s="544"/>
      <c r="M89" s="544"/>
      <c r="N89" s="544"/>
      <c r="O89" s="544"/>
      <c r="P89" s="544"/>
      <c r="Q89" s="544"/>
      <c r="R89" s="544"/>
      <c r="S89" s="544"/>
      <c r="T89" s="545"/>
      <c r="U89" s="460"/>
      <c r="V89" s="460"/>
      <c r="W89" s="460"/>
      <c r="X89" s="460"/>
      <c r="Y89" s="460"/>
      <c r="Z89" s="460"/>
      <c r="AA89" s="460"/>
      <c r="AB89" s="473"/>
      <c r="AC89" s="473"/>
      <c r="AD89" s="473"/>
      <c r="AE89" s="473"/>
      <c r="AF89" s="473"/>
      <c r="AG89" s="473"/>
      <c r="AH89" s="473"/>
      <c r="AI89" s="473"/>
      <c r="AJ89" s="473"/>
      <c r="AK89" s="473"/>
      <c r="AL89" s="473"/>
      <c r="AM89" s="473"/>
      <c r="AN89" s="473"/>
      <c r="AO89" s="473"/>
      <c r="AP89" s="473"/>
      <c r="AQ89" s="473"/>
      <c r="AR89" s="473"/>
      <c r="AS89" s="473"/>
      <c r="AT89" s="473"/>
    </row>
    <row r="90" spans="1:46" ht="13.5" thickBot="1">
      <c r="A90" s="680" t="s">
        <v>113</v>
      </c>
      <c r="B90" s="681"/>
      <c r="C90" s="681"/>
      <c r="D90" s="681"/>
      <c r="E90" s="681"/>
      <c r="F90" s="681"/>
      <c r="G90" s="682"/>
      <c r="H90" s="543"/>
      <c r="I90" s="542"/>
      <c r="J90" s="542"/>
      <c r="K90" s="542"/>
      <c r="L90" s="544"/>
      <c r="M90" s="544"/>
      <c r="N90" s="544"/>
      <c r="O90" s="544"/>
      <c r="P90" s="544"/>
      <c r="Q90" s="544"/>
      <c r="R90" s="544"/>
      <c r="S90" s="544"/>
      <c r="T90" s="545"/>
      <c r="U90" s="460"/>
      <c r="V90" s="460"/>
      <c r="W90" s="460"/>
      <c r="X90" s="460"/>
      <c r="Y90" s="460"/>
      <c r="Z90" s="460"/>
      <c r="AA90" s="460"/>
      <c r="AB90" s="473"/>
      <c r="AC90" s="473"/>
      <c r="AD90" s="473"/>
      <c r="AE90" s="473"/>
      <c r="AF90" s="473"/>
      <c r="AG90" s="473"/>
      <c r="AH90" s="473"/>
      <c r="AI90" s="473"/>
      <c r="AJ90" s="473"/>
      <c r="AK90" s="473"/>
      <c r="AL90" s="473"/>
      <c r="AM90" s="473"/>
      <c r="AN90" s="473"/>
      <c r="AO90" s="473"/>
      <c r="AP90" s="473"/>
      <c r="AQ90" s="473"/>
      <c r="AR90" s="473"/>
      <c r="AS90" s="473"/>
      <c r="AT90" s="473"/>
    </row>
    <row r="91" spans="1:46" ht="13.5" hidden="1" customHeight="1">
      <c r="A91" s="683"/>
      <c r="B91" s="684"/>
      <c r="C91" s="684"/>
      <c r="D91" s="684"/>
      <c r="E91" s="684"/>
      <c r="F91" s="684"/>
      <c r="G91" s="685"/>
      <c r="H91" s="543"/>
      <c r="I91" s="542"/>
      <c r="J91" s="542"/>
      <c r="K91" s="542"/>
      <c r="L91" s="544"/>
      <c r="M91" s="544"/>
      <c r="N91" s="544"/>
      <c r="O91" s="544"/>
      <c r="P91" s="544"/>
      <c r="Q91" s="544"/>
      <c r="R91" s="544"/>
      <c r="S91" s="544"/>
      <c r="T91" s="545"/>
      <c r="U91" s="460"/>
      <c r="V91" s="460"/>
      <c r="W91" s="460"/>
      <c r="X91" s="460"/>
      <c r="Y91" s="460"/>
      <c r="Z91" s="460"/>
      <c r="AA91" s="460"/>
      <c r="AB91" s="473"/>
      <c r="AC91" s="473"/>
      <c r="AD91" s="473"/>
      <c r="AE91" s="473"/>
      <c r="AF91" s="473"/>
      <c r="AG91" s="473"/>
      <c r="AH91" s="473"/>
      <c r="AI91" s="473"/>
      <c r="AJ91" s="473"/>
      <c r="AK91" s="473"/>
      <c r="AL91" s="473"/>
      <c r="AM91" s="473"/>
      <c r="AN91" s="473"/>
      <c r="AO91" s="473"/>
      <c r="AP91" s="473"/>
      <c r="AQ91" s="473"/>
      <c r="AR91" s="473"/>
      <c r="AS91" s="473"/>
      <c r="AT91" s="473"/>
    </row>
    <row r="92" spans="1:46" ht="3.75" customHeight="1" thickBot="1">
      <c r="A92" s="46"/>
      <c r="B92" s="521"/>
      <c r="C92" s="525"/>
      <c r="D92" s="467"/>
      <c r="E92" s="467"/>
      <c r="F92" s="496"/>
      <c r="G92" s="2"/>
      <c r="H92" s="543"/>
      <c r="I92" s="542"/>
      <c r="J92" s="542"/>
      <c r="K92" s="542"/>
      <c r="L92" s="544"/>
      <c r="M92" s="544"/>
      <c r="N92" s="544"/>
      <c r="O92" s="544"/>
      <c r="P92" s="544"/>
      <c r="Q92" s="544"/>
      <c r="R92" s="544"/>
      <c r="S92" s="544"/>
      <c r="T92" s="545"/>
      <c r="U92" s="460"/>
      <c r="V92" s="460"/>
      <c r="W92" s="460"/>
      <c r="X92" s="460"/>
      <c r="Y92" s="460"/>
      <c r="Z92" s="460"/>
      <c r="AA92" s="460"/>
      <c r="AB92" s="473"/>
      <c r="AC92" s="473"/>
      <c r="AD92" s="473"/>
      <c r="AE92" s="473"/>
      <c r="AF92" s="473"/>
      <c r="AG92" s="473"/>
      <c r="AH92" s="473"/>
      <c r="AI92" s="473"/>
      <c r="AJ92" s="473"/>
      <c r="AK92" s="473"/>
      <c r="AL92" s="473"/>
      <c r="AM92" s="473"/>
      <c r="AN92" s="473"/>
      <c r="AO92" s="473"/>
      <c r="AP92" s="473"/>
      <c r="AQ92" s="473"/>
      <c r="AR92" s="473"/>
      <c r="AS92" s="473"/>
      <c r="AT92" s="473"/>
    </row>
    <row r="93" spans="1:46" ht="12.75" customHeight="1" thickBot="1">
      <c r="A93" s="442" t="s">
        <v>114</v>
      </c>
      <c r="B93" s="444">
        <v>1</v>
      </c>
      <c r="C93" s="525"/>
      <c r="D93" s="467"/>
      <c r="E93" s="663" t="s">
        <v>115</v>
      </c>
      <c r="F93" s="664"/>
      <c r="G93" s="2"/>
      <c r="H93" s="543"/>
      <c r="I93" s="543"/>
      <c r="J93" s="546"/>
      <c r="K93" s="546"/>
      <c r="L93" s="543"/>
      <c r="M93" s="543"/>
      <c r="N93" s="543"/>
      <c r="O93" s="543"/>
      <c r="P93" s="543"/>
      <c r="Q93" s="543"/>
      <c r="R93" s="543"/>
      <c r="S93" s="543"/>
      <c r="T93" s="547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3"/>
      <c r="AH93" s="473"/>
      <c r="AI93" s="473"/>
      <c r="AJ93" s="473"/>
      <c r="AK93" s="473"/>
      <c r="AL93" s="473"/>
      <c r="AM93" s="473"/>
      <c r="AN93" s="473"/>
      <c r="AO93" s="473"/>
      <c r="AP93" s="473"/>
      <c r="AQ93" s="473"/>
      <c r="AR93" s="473"/>
      <c r="AS93" s="473"/>
      <c r="AT93" s="473"/>
    </row>
    <row r="94" spans="1:46" ht="12.75" customHeight="1">
      <c r="A94" s="49" t="s">
        <v>116</v>
      </c>
      <c r="B94" s="455">
        <v>4</v>
      </c>
      <c r="C94" s="525"/>
      <c r="D94" s="467"/>
      <c r="E94" s="48" t="s">
        <v>12</v>
      </c>
      <c r="F94" s="50"/>
      <c r="G94" s="2"/>
      <c r="H94" s="543"/>
      <c r="I94" s="543"/>
      <c r="J94" s="546"/>
      <c r="K94" s="546"/>
      <c r="L94" s="543"/>
      <c r="M94" s="543"/>
      <c r="N94" s="543"/>
      <c r="O94" s="543"/>
      <c r="P94" s="543"/>
      <c r="Q94" s="543"/>
      <c r="R94" s="543"/>
      <c r="S94" s="543"/>
      <c r="T94" s="547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  <c r="AL94" s="473"/>
      <c r="AM94" s="473"/>
      <c r="AN94" s="473"/>
      <c r="AO94" s="473"/>
      <c r="AP94" s="473"/>
      <c r="AQ94" s="473"/>
      <c r="AR94" s="473"/>
      <c r="AS94" s="473"/>
      <c r="AT94" s="473"/>
    </row>
    <row r="95" spans="1:46" ht="12.75" customHeight="1" thickBot="1">
      <c r="A95" s="52" t="s">
        <v>117</v>
      </c>
      <c r="B95" s="456" t="s">
        <v>118</v>
      </c>
      <c r="C95" s="525"/>
      <c r="D95" s="467"/>
      <c r="E95" s="48" t="s">
        <v>119</v>
      </c>
      <c r="F95" s="51">
        <v>4.9000000000000004</v>
      </c>
      <c r="G95" s="2"/>
      <c r="H95" s="543"/>
      <c r="I95" s="543"/>
      <c r="J95" s="546"/>
      <c r="K95" s="546"/>
      <c r="L95" s="543"/>
      <c r="M95" s="543"/>
      <c r="N95" s="543"/>
      <c r="O95" s="543"/>
      <c r="P95" s="543"/>
      <c r="Q95" s="543"/>
      <c r="R95" s="543"/>
      <c r="S95" s="543"/>
      <c r="T95" s="547"/>
      <c r="U95" s="473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  <c r="AL95" s="473"/>
      <c r="AM95" s="473"/>
      <c r="AN95" s="473"/>
      <c r="AO95" s="473"/>
      <c r="AP95" s="473"/>
      <c r="AQ95" s="473"/>
      <c r="AR95" s="473"/>
      <c r="AS95" s="473"/>
      <c r="AT95" s="473"/>
    </row>
    <row r="96" spans="1:46" ht="12.75" customHeight="1" thickBot="1">
      <c r="A96" s="46"/>
      <c r="B96" s="521"/>
      <c r="C96" s="525"/>
      <c r="D96" s="467"/>
      <c r="E96" s="52" t="s">
        <v>77</v>
      </c>
      <c r="F96" s="53"/>
      <c r="G96" s="2"/>
      <c r="H96" s="543"/>
      <c r="I96" s="543"/>
      <c r="J96" s="546"/>
      <c r="K96" s="546"/>
      <c r="L96" s="543"/>
      <c r="M96" s="543"/>
      <c r="N96" s="543"/>
      <c r="O96" s="543"/>
      <c r="P96" s="543"/>
      <c r="Q96" s="543"/>
      <c r="R96" s="543"/>
      <c r="S96" s="543"/>
      <c r="T96" s="547"/>
      <c r="U96" s="473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3"/>
      <c r="AH96" s="473"/>
      <c r="AI96" s="473"/>
      <c r="AJ96" s="473"/>
      <c r="AK96" s="473"/>
      <c r="AL96" s="473"/>
      <c r="AM96" s="473"/>
      <c r="AN96" s="473"/>
      <c r="AO96" s="473"/>
      <c r="AP96" s="473"/>
      <c r="AQ96" s="473"/>
      <c r="AR96" s="473"/>
      <c r="AS96" s="473"/>
      <c r="AT96" s="473"/>
    </row>
    <row r="97" spans="1:46" ht="12.75" customHeight="1" thickBot="1">
      <c r="A97" s="663" t="s">
        <v>120</v>
      </c>
      <c r="B97" s="664"/>
      <c r="C97" s="525"/>
      <c r="D97" s="467"/>
      <c r="E97" s="420" t="s">
        <v>121</v>
      </c>
      <c r="F97" s="421">
        <v>230</v>
      </c>
      <c r="G97" s="418" t="s">
        <v>122</v>
      </c>
      <c r="H97" s="543"/>
      <c r="I97" s="548"/>
      <c r="J97" s="546"/>
      <c r="K97" s="546"/>
      <c r="L97" s="543"/>
      <c r="M97" s="543"/>
      <c r="N97" s="543"/>
      <c r="O97" s="543"/>
      <c r="P97" s="543"/>
      <c r="Q97" s="543"/>
      <c r="R97" s="543"/>
      <c r="S97" s="543"/>
      <c r="T97" s="547"/>
      <c r="U97" s="473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3"/>
      <c r="AH97" s="473"/>
      <c r="AI97" s="473"/>
      <c r="AJ97" s="473"/>
      <c r="AK97" s="473"/>
      <c r="AL97" s="473"/>
      <c r="AM97" s="473"/>
      <c r="AN97" s="473"/>
      <c r="AO97" s="473"/>
      <c r="AP97" s="473"/>
      <c r="AQ97" s="473"/>
      <c r="AR97" s="473"/>
      <c r="AS97" s="473"/>
      <c r="AT97" s="473"/>
    </row>
    <row r="98" spans="1:46" ht="12.75" customHeight="1">
      <c r="A98" s="54" t="s">
        <v>123</v>
      </c>
      <c r="B98" s="55">
        <v>7</v>
      </c>
      <c r="C98" s="525"/>
      <c r="D98" s="467"/>
      <c r="E98" s="422" t="s">
        <v>124</v>
      </c>
      <c r="F98" s="423">
        <v>172</v>
      </c>
      <c r="G98" s="418" t="s">
        <v>122</v>
      </c>
      <c r="H98" s="543"/>
      <c r="I98" s="543"/>
      <c r="J98" s="546"/>
      <c r="K98" s="546"/>
      <c r="L98" s="543"/>
      <c r="M98" s="543"/>
      <c r="N98" s="543"/>
      <c r="O98" s="543"/>
      <c r="P98" s="543"/>
      <c r="Q98" s="543"/>
      <c r="R98" s="543"/>
      <c r="S98" s="543"/>
      <c r="T98" s="547"/>
      <c r="U98" s="473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3"/>
      <c r="AH98" s="473"/>
      <c r="AI98" s="473"/>
      <c r="AJ98" s="473"/>
      <c r="AK98" s="473"/>
      <c r="AL98" s="473"/>
      <c r="AM98" s="473"/>
      <c r="AN98" s="473"/>
      <c r="AO98" s="473"/>
      <c r="AP98" s="473"/>
      <c r="AQ98" s="473"/>
      <c r="AR98" s="473"/>
      <c r="AS98" s="473"/>
      <c r="AT98" s="473"/>
    </row>
    <row r="99" spans="1:46" ht="12.75" customHeight="1">
      <c r="A99" s="48" t="s">
        <v>125</v>
      </c>
      <c r="B99" s="56">
        <v>6.5</v>
      </c>
      <c r="C99" s="525"/>
      <c r="D99" s="467"/>
      <c r="E99" s="422" t="s">
        <v>126</v>
      </c>
      <c r="F99" s="423">
        <v>240</v>
      </c>
      <c r="G99" s="418" t="s">
        <v>122</v>
      </c>
      <c r="H99" s="543"/>
      <c r="I99" s="543"/>
      <c r="J99" s="546"/>
      <c r="K99" s="546"/>
      <c r="L99" s="543"/>
      <c r="M99" s="543"/>
      <c r="N99" s="543"/>
      <c r="O99" s="543"/>
      <c r="P99" s="543"/>
      <c r="Q99" s="543"/>
      <c r="R99" s="543"/>
      <c r="S99" s="543"/>
      <c r="T99" s="547"/>
      <c r="U99" s="473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3"/>
      <c r="AH99" s="473"/>
      <c r="AI99" s="473"/>
      <c r="AJ99" s="473"/>
      <c r="AK99" s="473"/>
      <c r="AL99" s="473"/>
      <c r="AM99" s="473"/>
      <c r="AN99" s="473"/>
      <c r="AO99" s="473"/>
      <c r="AP99" s="473"/>
      <c r="AQ99" s="473"/>
      <c r="AR99" s="473"/>
      <c r="AS99" s="473"/>
      <c r="AT99" s="473"/>
    </row>
    <row r="100" spans="1:46" ht="12.75" customHeight="1">
      <c r="A100" s="48" t="s">
        <v>127</v>
      </c>
      <c r="B100" s="57">
        <v>2</v>
      </c>
      <c r="C100" s="525"/>
      <c r="D100" s="467"/>
      <c r="E100" s="422" t="s">
        <v>128</v>
      </c>
      <c r="F100" s="423">
        <v>240</v>
      </c>
      <c r="G100" s="418" t="s">
        <v>122</v>
      </c>
      <c r="H100" s="543"/>
      <c r="I100" s="543"/>
      <c r="J100" s="546"/>
      <c r="K100" s="546"/>
      <c r="L100" s="543"/>
      <c r="M100" s="543"/>
      <c r="N100" s="543"/>
      <c r="O100" s="543"/>
      <c r="P100" s="543"/>
      <c r="Q100" s="543"/>
      <c r="R100" s="543"/>
      <c r="S100" s="543"/>
      <c r="T100" s="547"/>
      <c r="U100" s="473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3"/>
      <c r="AH100" s="473"/>
      <c r="AI100" s="473"/>
      <c r="AJ100" s="473"/>
      <c r="AK100" s="473"/>
      <c r="AL100" s="473"/>
      <c r="AM100" s="473"/>
      <c r="AN100" s="473"/>
      <c r="AO100" s="473"/>
      <c r="AP100" s="473"/>
      <c r="AQ100" s="473"/>
      <c r="AR100" s="473"/>
      <c r="AS100" s="473"/>
      <c r="AT100" s="473"/>
    </row>
    <row r="101" spans="1:46" ht="12.75" customHeight="1" thickBot="1">
      <c r="A101" s="402"/>
      <c r="B101" s="521"/>
      <c r="C101" s="525"/>
      <c r="D101" s="467"/>
      <c r="E101" s="424" t="s">
        <v>129</v>
      </c>
      <c r="F101" s="423">
        <v>1100</v>
      </c>
      <c r="G101" s="418" t="s">
        <v>122</v>
      </c>
      <c r="H101" s="543"/>
      <c r="I101" s="543"/>
      <c r="J101" s="546"/>
      <c r="K101" s="546"/>
      <c r="L101" s="543"/>
      <c r="M101" s="543"/>
      <c r="N101" s="543"/>
      <c r="O101" s="543"/>
      <c r="P101" s="543"/>
      <c r="Q101" s="543"/>
      <c r="R101" s="543"/>
      <c r="S101" s="543"/>
      <c r="T101" s="547"/>
      <c r="U101" s="473"/>
      <c r="V101" s="473"/>
      <c r="W101" s="473"/>
      <c r="X101" s="473"/>
      <c r="Y101" s="473"/>
      <c r="Z101" s="473"/>
      <c r="AA101" s="473"/>
      <c r="AB101" s="473"/>
      <c r="AC101" s="473"/>
      <c r="AD101" s="473"/>
      <c r="AE101" s="473"/>
      <c r="AF101" s="473"/>
      <c r="AG101" s="473"/>
      <c r="AH101" s="473"/>
      <c r="AI101" s="473"/>
      <c r="AJ101" s="473"/>
      <c r="AK101" s="473"/>
      <c r="AL101" s="473"/>
      <c r="AM101" s="473"/>
      <c r="AN101" s="473"/>
      <c r="AO101" s="473"/>
      <c r="AP101" s="473"/>
      <c r="AQ101" s="473"/>
      <c r="AR101" s="473"/>
      <c r="AS101" s="473"/>
      <c r="AT101" s="473"/>
    </row>
    <row r="102" spans="1:46" ht="12.75" customHeight="1" thickBot="1">
      <c r="A102" s="663" t="s">
        <v>130</v>
      </c>
      <c r="B102" s="664"/>
      <c r="C102" s="525"/>
      <c r="D102" s="467"/>
      <c r="E102" s="422" t="s">
        <v>131</v>
      </c>
      <c r="F102" s="425">
        <v>120</v>
      </c>
      <c r="G102" s="419" t="s">
        <v>132</v>
      </c>
      <c r="H102" s="543"/>
      <c r="I102" s="543"/>
      <c r="J102" s="543"/>
      <c r="K102" s="546"/>
      <c r="L102" s="543"/>
      <c r="M102" s="543"/>
      <c r="N102" s="543"/>
      <c r="O102" s="543"/>
      <c r="P102" s="543"/>
      <c r="Q102" s="543"/>
      <c r="R102" s="543"/>
      <c r="S102" s="543"/>
      <c r="T102" s="547"/>
      <c r="U102" s="473"/>
      <c r="V102" s="473"/>
      <c r="W102" s="473"/>
      <c r="X102" s="473"/>
      <c r="Y102" s="473"/>
      <c r="Z102" s="473"/>
      <c r="AA102" s="473"/>
      <c r="AB102" s="473"/>
      <c r="AC102" s="473"/>
      <c r="AD102" s="473"/>
      <c r="AE102" s="473"/>
      <c r="AF102" s="473"/>
      <c r="AG102" s="473"/>
      <c r="AH102" s="473"/>
      <c r="AI102" s="473"/>
      <c r="AJ102" s="473"/>
      <c r="AK102" s="473"/>
      <c r="AL102" s="473"/>
      <c r="AM102" s="473"/>
      <c r="AN102" s="473"/>
      <c r="AO102" s="473"/>
      <c r="AP102" s="473"/>
      <c r="AQ102" s="473"/>
      <c r="AR102" s="473"/>
      <c r="AS102" s="473"/>
      <c r="AT102" s="473"/>
    </row>
    <row r="103" spans="1:46" ht="12.75" customHeight="1">
      <c r="A103" s="54" t="s">
        <v>123</v>
      </c>
      <c r="B103" s="58">
        <v>1</v>
      </c>
      <c r="C103" s="525"/>
      <c r="D103" s="467"/>
      <c r="E103" s="422" t="s">
        <v>133</v>
      </c>
      <c r="F103" s="426">
        <v>120</v>
      </c>
      <c r="G103" s="419" t="s">
        <v>132</v>
      </c>
      <c r="H103" s="473"/>
      <c r="I103" s="473"/>
      <c r="J103" s="473"/>
      <c r="K103" s="481"/>
      <c r="L103" s="473"/>
      <c r="M103" s="473"/>
      <c r="N103" s="473"/>
      <c r="O103" s="473"/>
      <c r="P103" s="473"/>
      <c r="Q103" s="473"/>
      <c r="R103" s="473"/>
      <c r="S103" s="473"/>
      <c r="T103" s="482"/>
      <c r="U103" s="473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3"/>
      <c r="AH103" s="473"/>
      <c r="AI103" s="473"/>
      <c r="AJ103" s="473"/>
      <c r="AK103" s="473"/>
      <c r="AL103" s="473"/>
      <c r="AM103" s="473"/>
      <c r="AN103" s="473"/>
      <c r="AO103" s="473"/>
      <c r="AP103" s="473"/>
      <c r="AQ103" s="473"/>
      <c r="AR103" s="473"/>
      <c r="AS103" s="473"/>
      <c r="AT103" s="473"/>
    </row>
    <row r="104" spans="1:46" ht="12.75" customHeight="1">
      <c r="A104" s="48" t="s">
        <v>125</v>
      </c>
      <c r="B104" s="57">
        <v>6</v>
      </c>
      <c r="C104" s="525"/>
      <c r="D104" s="467"/>
      <c r="E104" s="424" t="s">
        <v>134</v>
      </c>
      <c r="F104" s="423">
        <v>1400</v>
      </c>
      <c r="G104" s="418" t="s">
        <v>122</v>
      </c>
      <c r="H104" s="473"/>
      <c r="I104" s="473"/>
      <c r="J104" s="473"/>
      <c r="K104" s="481"/>
      <c r="L104" s="473"/>
      <c r="M104" s="473"/>
      <c r="N104" s="473"/>
      <c r="O104" s="473"/>
      <c r="P104" s="473"/>
      <c r="Q104" s="473"/>
      <c r="R104" s="473"/>
      <c r="S104" s="473"/>
      <c r="T104" s="482"/>
      <c r="U104" s="473"/>
      <c r="V104" s="473"/>
      <c r="W104" s="473"/>
      <c r="X104" s="473"/>
      <c r="Y104" s="473"/>
      <c r="Z104" s="473"/>
      <c r="AA104" s="473"/>
      <c r="AB104" s="473"/>
      <c r="AC104" s="473"/>
      <c r="AD104" s="473"/>
      <c r="AE104" s="473"/>
      <c r="AF104" s="473"/>
      <c r="AG104" s="473"/>
      <c r="AH104" s="473"/>
      <c r="AI104" s="473"/>
      <c r="AJ104" s="473"/>
      <c r="AK104" s="473"/>
      <c r="AL104" s="473"/>
      <c r="AM104" s="473"/>
      <c r="AN104" s="473"/>
      <c r="AO104" s="473"/>
      <c r="AP104" s="473"/>
      <c r="AQ104" s="473"/>
      <c r="AR104" s="473"/>
      <c r="AS104" s="473"/>
      <c r="AT104" s="473"/>
    </row>
    <row r="105" spans="1:46" ht="12.75" customHeight="1" thickBot="1">
      <c r="A105" s="46"/>
      <c r="B105" s="521"/>
      <c r="C105" s="525"/>
      <c r="D105" s="467"/>
      <c r="E105" s="427" t="s">
        <v>135</v>
      </c>
      <c r="F105" s="428" t="s">
        <v>1163</v>
      </c>
      <c r="G105" s="418"/>
      <c r="H105" s="473"/>
      <c r="I105" s="473"/>
      <c r="J105" s="473"/>
      <c r="K105" s="481"/>
      <c r="L105" s="473"/>
      <c r="M105" s="473"/>
      <c r="N105" s="473"/>
      <c r="O105" s="473"/>
      <c r="P105" s="473"/>
      <c r="Q105" s="473"/>
      <c r="R105" s="473"/>
      <c r="S105" s="473"/>
      <c r="T105" s="482"/>
      <c r="U105" s="473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3"/>
      <c r="AH105" s="473"/>
      <c r="AI105" s="473"/>
      <c r="AJ105" s="473"/>
      <c r="AK105" s="473"/>
      <c r="AL105" s="473"/>
      <c r="AM105" s="473"/>
      <c r="AN105" s="473"/>
      <c r="AO105" s="473"/>
      <c r="AP105" s="473"/>
      <c r="AQ105" s="473"/>
      <c r="AR105" s="473"/>
      <c r="AS105" s="473"/>
      <c r="AT105" s="473"/>
    </row>
    <row r="106" spans="1:46" ht="12.75" customHeight="1" thickBot="1">
      <c r="A106" s="663" t="s">
        <v>137</v>
      </c>
      <c r="B106" s="664"/>
      <c r="C106" s="525"/>
      <c r="D106" s="467"/>
      <c r="E106" s="424" t="s">
        <v>138</v>
      </c>
      <c r="F106" s="426" t="s">
        <v>71</v>
      </c>
      <c r="G106" s="418"/>
      <c r="H106" s="473"/>
      <c r="I106" s="473"/>
      <c r="J106" s="473"/>
      <c r="K106" s="481"/>
      <c r="L106" s="473"/>
      <c r="M106" s="473"/>
      <c r="N106" s="473"/>
      <c r="O106" s="473"/>
      <c r="P106" s="473"/>
      <c r="Q106" s="473"/>
      <c r="R106" s="473"/>
      <c r="S106" s="473"/>
      <c r="T106" s="482"/>
      <c r="U106" s="473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3"/>
      <c r="AH106" s="473"/>
      <c r="AI106" s="473"/>
      <c r="AJ106" s="473"/>
      <c r="AK106" s="473"/>
      <c r="AL106" s="473"/>
      <c r="AM106" s="473"/>
      <c r="AN106" s="473"/>
      <c r="AO106" s="473"/>
      <c r="AP106" s="473"/>
      <c r="AQ106" s="473"/>
      <c r="AR106" s="473"/>
      <c r="AS106" s="473"/>
      <c r="AT106" s="473"/>
    </row>
    <row r="107" spans="1:46" ht="12.75" customHeight="1">
      <c r="A107" s="54" t="s">
        <v>139</v>
      </c>
      <c r="B107" s="59" t="s">
        <v>64</v>
      </c>
      <c r="C107" s="525"/>
      <c r="D107" s="467"/>
      <c r="E107" s="424" t="s">
        <v>140</v>
      </c>
      <c r="F107" s="429">
        <v>750</v>
      </c>
      <c r="G107" s="418" t="s">
        <v>122</v>
      </c>
      <c r="H107" s="473"/>
      <c r="I107" s="473"/>
      <c r="J107" s="473"/>
      <c r="K107" s="481"/>
      <c r="L107" s="473"/>
      <c r="M107" s="473"/>
      <c r="N107" s="473"/>
      <c r="O107" s="473"/>
      <c r="P107" s="473"/>
      <c r="Q107" s="473"/>
      <c r="R107" s="473"/>
      <c r="S107" s="473"/>
      <c r="T107" s="482"/>
      <c r="U107" s="473"/>
      <c r="V107" s="473"/>
      <c r="W107" s="473"/>
      <c r="X107" s="473"/>
      <c r="Y107" s="473"/>
      <c r="Z107" s="473"/>
      <c r="AA107" s="473"/>
      <c r="AB107" s="473"/>
      <c r="AC107" s="473"/>
      <c r="AD107" s="473"/>
      <c r="AE107" s="473"/>
      <c r="AF107" s="473"/>
      <c r="AG107" s="473"/>
      <c r="AH107" s="473"/>
      <c r="AI107" s="473"/>
      <c r="AJ107" s="473"/>
      <c r="AK107" s="473"/>
      <c r="AL107" s="473"/>
      <c r="AM107" s="473"/>
      <c r="AN107" s="473"/>
      <c r="AO107" s="473"/>
      <c r="AP107" s="473"/>
      <c r="AQ107" s="473"/>
      <c r="AR107" s="473"/>
      <c r="AS107" s="473"/>
      <c r="AT107" s="473"/>
    </row>
    <row r="108" spans="1:46" ht="12.75" customHeight="1" thickBot="1">
      <c r="A108" s="48" t="s">
        <v>141</v>
      </c>
      <c r="B108" s="60" t="str">
        <f>HLOOKUP(C66,M39:R40,2,0)</f>
        <v>24 x 0,75</v>
      </c>
      <c r="C108" s="525"/>
      <c r="D108" s="467"/>
      <c r="E108" s="430" t="s">
        <v>142</v>
      </c>
      <c r="F108" s="431" t="str">
        <f>IF(C77="ARKA",F111-F112-F113,"-")</f>
        <v>-</v>
      </c>
      <c r="G108" s="418" t="s">
        <v>122</v>
      </c>
      <c r="H108" s="473"/>
      <c r="I108" s="473"/>
      <c r="J108" s="473"/>
      <c r="K108" s="481"/>
      <c r="L108" s="473"/>
      <c r="M108" s="473"/>
      <c r="N108" s="473"/>
      <c r="O108" s="473"/>
      <c r="P108" s="473"/>
      <c r="Q108" s="473"/>
      <c r="R108" s="473"/>
      <c r="S108" s="473"/>
      <c r="T108" s="482"/>
      <c r="U108" s="473"/>
      <c r="V108" s="473"/>
      <c r="W108" s="473"/>
      <c r="X108" s="473"/>
      <c r="Y108" s="473"/>
      <c r="Z108" s="473"/>
      <c r="AA108" s="473"/>
      <c r="AB108" s="473"/>
      <c r="AC108" s="473"/>
      <c r="AD108" s="473"/>
      <c r="AE108" s="473"/>
      <c r="AF108" s="473"/>
      <c r="AG108" s="473"/>
      <c r="AH108" s="473"/>
      <c r="AI108" s="473"/>
      <c r="AJ108" s="473"/>
      <c r="AK108" s="473"/>
      <c r="AL108" s="473"/>
      <c r="AM108" s="473"/>
      <c r="AN108" s="473"/>
      <c r="AO108" s="473"/>
      <c r="AP108" s="473"/>
      <c r="AQ108" s="473"/>
      <c r="AR108" s="473"/>
      <c r="AS108" s="473"/>
      <c r="AT108" s="473"/>
    </row>
    <row r="109" spans="1:46" ht="15" customHeight="1" thickBot="1">
      <c r="A109" s="46"/>
      <c r="B109" s="61"/>
      <c r="C109" s="526"/>
      <c r="D109" s="527"/>
      <c r="E109" s="457" t="str">
        <f>IF(F108="-","HALAT ARASI !!!",".")</f>
        <v>HALAT ARASI !!!</v>
      </c>
      <c r="F109" s="435">
        <v>1182</v>
      </c>
      <c r="G109" s="418" t="s">
        <v>122</v>
      </c>
      <c r="H109" s="473"/>
      <c r="I109" s="473"/>
      <c r="J109" s="473"/>
      <c r="K109" s="481"/>
      <c r="L109" s="473"/>
      <c r="M109" s="473"/>
      <c r="N109" s="473"/>
      <c r="O109" s="473"/>
      <c r="P109" s="473"/>
      <c r="Q109" s="473"/>
      <c r="R109" s="473"/>
      <c r="S109" s="473"/>
      <c r="T109" s="482"/>
      <c r="U109" s="473"/>
      <c r="V109" s="473"/>
      <c r="W109" s="473"/>
      <c r="X109" s="473"/>
      <c r="Y109" s="473"/>
      <c r="Z109" s="473"/>
      <c r="AA109" s="473"/>
      <c r="AB109" s="473"/>
      <c r="AC109" s="473"/>
      <c r="AD109" s="473"/>
      <c r="AE109" s="473"/>
      <c r="AF109" s="473"/>
      <c r="AG109" s="473"/>
      <c r="AH109" s="473"/>
      <c r="AI109" s="473"/>
      <c r="AJ109" s="473"/>
      <c r="AK109" s="473"/>
      <c r="AL109" s="473"/>
      <c r="AM109" s="473"/>
      <c r="AN109" s="473"/>
      <c r="AO109" s="473"/>
      <c r="AP109" s="473"/>
      <c r="AQ109" s="473"/>
      <c r="AR109" s="473"/>
      <c r="AS109" s="473"/>
      <c r="AT109" s="473"/>
    </row>
    <row r="110" spans="1:46" ht="12.75" customHeight="1" thickBot="1">
      <c r="A110" s="663" t="s">
        <v>143</v>
      </c>
      <c r="B110" s="664"/>
      <c r="C110" s="528"/>
      <c r="D110" s="670" t="s">
        <v>144</v>
      </c>
      <c r="E110" s="671"/>
      <c r="F110" s="432">
        <v>2400</v>
      </c>
      <c r="G110" s="418" t="s">
        <v>122</v>
      </c>
      <c r="H110" s="473"/>
      <c r="I110" s="473"/>
      <c r="J110" s="473"/>
      <c r="K110" s="481"/>
      <c r="L110" s="473"/>
      <c r="M110" s="473"/>
      <c r="N110" s="473"/>
      <c r="O110" s="473"/>
      <c r="P110" s="473"/>
      <c r="Q110" s="473"/>
      <c r="R110" s="473"/>
      <c r="S110" s="473"/>
      <c r="T110" s="482"/>
      <c r="U110" s="473"/>
      <c r="V110" s="473"/>
      <c r="W110" s="473"/>
      <c r="X110" s="473"/>
      <c r="Y110" s="473"/>
      <c r="Z110" s="473"/>
      <c r="AA110" s="473"/>
      <c r="AB110" s="473"/>
      <c r="AC110" s="473"/>
      <c r="AD110" s="473"/>
      <c r="AE110" s="473"/>
      <c r="AF110" s="473"/>
      <c r="AG110" s="473"/>
      <c r="AH110" s="473"/>
      <c r="AI110" s="473"/>
      <c r="AJ110" s="473"/>
      <c r="AK110" s="473"/>
      <c r="AL110" s="473"/>
      <c r="AM110" s="473"/>
      <c r="AN110" s="473"/>
      <c r="AO110" s="473"/>
      <c r="AP110" s="473"/>
      <c r="AQ110" s="473"/>
      <c r="AR110" s="473"/>
      <c r="AS110" s="473"/>
      <c r="AT110" s="473"/>
    </row>
    <row r="111" spans="1:46" ht="12.75" customHeight="1">
      <c r="A111" s="54" t="s">
        <v>145</v>
      </c>
      <c r="B111" s="63">
        <v>3000</v>
      </c>
      <c r="C111" s="528"/>
      <c r="D111" s="648" t="s">
        <v>146</v>
      </c>
      <c r="E111" s="641"/>
      <c r="F111" s="423">
        <v>1600</v>
      </c>
      <c r="G111" s="418" t="s">
        <v>122</v>
      </c>
      <c r="H111" s="473"/>
      <c r="I111" s="473"/>
      <c r="J111" s="473"/>
      <c r="K111" s="481"/>
      <c r="L111" s="473"/>
      <c r="M111" s="473"/>
      <c r="N111" s="473"/>
      <c r="O111" s="473"/>
      <c r="P111" s="473"/>
      <c r="Q111" s="473"/>
      <c r="R111" s="473"/>
      <c r="S111" s="473"/>
      <c r="T111" s="482"/>
      <c r="U111" s="473"/>
      <c r="V111" s="473"/>
      <c r="W111" s="473"/>
      <c r="X111" s="473"/>
      <c r="Y111" s="473"/>
      <c r="Z111" s="473"/>
      <c r="AA111" s="473"/>
      <c r="AB111" s="473"/>
      <c r="AC111" s="473"/>
      <c r="AD111" s="473"/>
      <c r="AE111" s="473"/>
      <c r="AF111" s="473"/>
      <c r="AG111" s="473"/>
      <c r="AH111" s="473"/>
      <c r="AI111" s="473"/>
      <c r="AJ111" s="473"/>
      <c r="AK111" s="473"/>
      <c r="AL111" s="473"/>
      <c r="AM111" s="473"/>
      <c r="AN111" s="473"/>
      <c r="AO111" s="473"/>
      <c r="AP111" s="473"/>
      <c r="AQ111" s="473"/>
      <c r="AR111" s="473"/>
      <c r="AS111" s="473"/>
      <c r="AT111" s="473"/>
    </row>
    <row r="112" spans="1:46" ht="12.75" customHeight="1">
      <c r="A112" s="48" t="s">
        <v>147</v>
      </c>
      <c r="B112" s="62">
        <v>3000</v>
      </c>
      <c r="C112" s="529"/>
      <c r="D112" s="648" t="s">
        <v>148</v>
      </c>
      <c r="E112" s="641"/>
      <c r="F112" s="423">
        <v>650</v>
      </c>
      <c r="G112" s="418" t="s">
        <v>122</v>
      </c>
      <c r="H112" s="473"/>
      <c r="I112" s="473"/>
      <c r="J112" s="473"/>
      <c r="K112" s="481"/>
      <c r="L112" s="473"/>
      <c r="M112" s="473"/>
      <c r="N112" s="473"/>
      <c r="O112" s="473"/>
      <c r="P112" s="473"/>
      <c r="Q112" s="473"/>
      <c r="R112" s="473"/>
      <c r="S112" s="473"/>
      <c r="T112" s="482"/>
      <c r="U112" s="473"/>
      <c r="V112" s="473"/>
      <c r="W112" s="473"/>
      <c r="X112" s="473"/>
      <c r="Y112" s="473"/>
      <c r="Z112" s="473"/>
      <c r="AA112" s="473"/>
      <c r="AB112" s="473"/>
      <c r="AC112" s="473"/>
      <c r="AD112" s="473"/>
      <c r="AE112" s="473"/>
      <c r="AF112" s="473"/>
      <c r="AG112" s="473"/>
      <c r="AH112" s="473"/>
      <c r="AI112" s="473"/>
      <c r="AJ112" s="473"/>
      <c r="AK112" s="473"/>
      <c r="AL112" s="473"/>
      <c r="AM112" s="473"/>
      <c r="AN112" s="473"/>
      <c r="AO112" s="473"/>
      <c r="AP112" s="473"/>
      <c r="AQ112" s="473"/>
      <c r="AR112" s="473"/>
      <c r="AS112" s="473"/>
      <c r="AT112" s="473"/>
    </row>
    <row r="113" spans="1:90" ht="12.75" customHeight="1" thickBot="1">
      <c r="A113" s="46"/>
      <c r="B113" s="521"/>
      <c r="C113" s="528"/>
      <c r="D113" s="662" t="s">
        <v>149</v>
      </c>
      <c r="E113" s="641"/>
      <c r="F113" s="423">
        <v>125</v>
      </c>
      <c r="G113" s="418" t="s">
        <v>122</v>
      </c>
      <c r="H113" s="473"/>
      <c r="I113" s="473"/>
      <c r="J113" s="473"/>
      <c r="K113" s="481"/>
      <c r="L113" s="473"/>
      <c r="M113" s="473"/>
      <c r="N113" s="473"/>
      <c r="O113" s="473"/>
      <c r="P113" s="473"/>
      <c r="Q113" s="473"/>
      <c r="R113" s="473"/>
      <c r="S113" s="473"/>
      <c r="T113" s="482"/>
      <c r="U113" s="473"/>
      <c r="V113" s="473"/>
      <c r="W113" s="473"/>
      <c r="X113" s="473"/>
      <c r="Y113" s="473"/>
      <c r="Z113" s="473"/>
      <c r="AA113" s="473"/>
      <c r="AB113" s="473"/>
      <c r="AC113" s="473"/>
      <c r="AD113" s="473"/>
      <c r="AE113" s="473"/>
      <c r="AF113" s="473"/>
      <c r="AG113" s="473"/>
      <c r="AH113" s="473"/>
      <c r="AI113" s="473"/>
      <c r="AJ113" s="473"/>
      <c r="AK113" s="473"/>
      <c r="AL113" s="473"/>
      <c r="AM113" s="473"/>
      <c r="AN113" s="473"/>
      <c r="AO113" s="473"/>
      <c r="AP113" s="473"/>
      <c r="AQ113" s="473"/>
      <c r="AR113" s="473"/>
      <c r="AS113" s="473"/>
      <c r="AT113" s="473"/>
    </row>
    <row r="114" spans="1:90" ht="12.75" customHeight="1" thickBot="1">
      <c r="A114" s="663" t="s">
        <v>150</v>
      </c>
      <c r="B114" s="664"/>
      <c r="C114" s="529"/>
      <c r="D114" s="655" t="s">
        <v>151</v>
      </c>
      <c r="E114" s="641"/>
      <c r="F114" s="433">
        <v>1600</v>
      </c>
      <c r="G114" s="418" t="s">
        <v>122</v>
      </c>
      <c r="H114" s="473"/>
      <c r="I114" s="473"/>
      <c r="J114" s="473"/>
      <c r="K114" s="481"/>
      <c r="L114" s="473"/>
      <c r="M114" s="473"/>
      <c r="N114" s="473"/>
      <c r="O114" s="473"/>
      <c r="P114" s="473"/>
      <c r="Q114" s="473"/>
      <c r="R114" s="473"/>
      <c r="S114" s="473"/>
      <c r="T114" s="482"/>
      <c r="U114" s="473"/>
      <c r="V114" s="473"/>
      <c r="W114" s="473"/>
      <c r="X114" s="473"/>
      <c r="Y114" s="473"/>
      <c r="Z114" s="473"/>
      <c r="AA114" s="473"/>
      <c r="AB114" s="473"/>
      <c r="AC114" s="473"/>
      <c r="AD114" s="473"/>
      <c r="AE114" s="473"/>
      <c r="AF114" s="473"/>
      <c r="AG114" s="473"/>
      <c r="AH114" s="473"/>
      <c r="AI114" s="473"/>
      <c r="AJ114" s="473"/>
      <c r="AK114" s="473"/>
      <c r="AL114" s="473"/>
      <c r="AM114" s="473"/>
      <c r="AN114" s="473"/>
      <c r="AO114" s="473"/>
      <c r="AP114" s="473"/>
      <c r="AQ114" s="473"/>
      <c r="AR114" s="473"/>
      <c r="AS114" s="473"/>
      <c r="AT114" s="473"/>
    </row>
    <row r="115" spans="1:90" ht="12.75" customHeight="1" thickBot="1">
      <c r="A115" s="54" t="s">
        <v>145</v>
      </c>
      <c r="B115" s="444">
        <v>2</v>
      </c>
      <c r="C115" s="528"/>
      <c r="D115" s="667" t="s">
        <v>152</v>
      </c>
      <c r="E115" s="668"/>
      <c r="F115" s="434">
        <v>1600</v>
      </c>
      <c r="G115" s="418" t="s">
        <v>122</v>
      </c>
      <c r="H115" s="473"/>
      <c r="I115" s="473"/>
      <c r="J115" s="473"/>
      <c r="K115" s="481"/>
      <c r="L115" s="473"/>
      <c r="M115" s="473"/>
      <c r="N115" s="473"/>
      <c r="O115" s="473"/>
      <c r="P115" s="473"/>
      <c r="Q115" s="473"/>
      <c r="R115" s="473"/>
      <c r="S115" s="473"/>
      <c r="T115" s="482"/>
      <c r="U115" s="473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3"/>
      <c r="AH115" s="473"/>
      <c r="AI115" s="473"/>
      <c r="AJ115" s="473"/>
      <c r="AK115" s="473"/>
      <c r="AL115" s="473"/>
      <c r="AM115" s="473"/>
      <c r="AN115" s="473"/>
      <c r="AO115" s="473"/>
      <c r="AP115" s="473"/>
      <c r="AQ115" s="473"/>
      <c r="AR115" s="473"/>
      <c r="AS115" s="473"/>
      <c r="AT115" s="473"/>
    </row>
    <row r="116" spans="1:90" ht="12.75" customHeight="1" thickBot="1">
      <c r="A116" s="52" t="s">
        <v>147</v>
      </c>
      <c r="B116" s="445">
        <v>2</v>
      </c>
      <c r="C116" s="529"/>
      <c r="D116" s="467"/>
      <c r="E116" s="467"/>
      <c r="F116" s="496"/>
      <c r="G116" s="2"/>
      <c r="H116" s="473"/>
      <c r="I116" s="473"/>
      <c r="J116" s="473"/>
      <c r="K116" s="481"/>
      <c r="L116" s="473"/>
      <c r="M116" s="473"/>
      <c r="N116" s="473"/>
      <c r="O116" s="473"/>
      <c r="P116" s="473"/>
      <c r="Q116" s="473"/>
      <c r="R116" s="473"/>
      <c r="S116" s="473"/>
      <c r="T116" s="482"/>
      <c r="U116" s="473"/>
      <c r="V116" s="473"/>
      <c r="W116" s="473"/>
      <c r="X116" s="473"/>
      <c r="Y116" s="473"/>
      <c r="Z116" s="473"/>
      <c r="AA116" s="473"/>
      <c r="AB116" s="473"/>
      <c r="AC116" s="473"/>
      <c r="AD116" s="473"/>
      <c r="AE116" s="473"/>
      <c r="AF116" s="473"/>
      <c r="AG116" s="473"/>
      <c r="AH116" s="473"/>
      <c r="AI116" s="473"/>
      <c r="AJ116" s="473"/>
      <c r="AK116" s="473"/>
      <c r="AL116" s="473"/>
      <c r="AM116" s="473"/>
      <c r="AN116" s="473"/>
      <c r="AO116" s="473"/>
      <c r="AP116" s="473"/>
      <c r="AQ116" s="473"/>
      <c r="AR116" s="473"/>
      <c r="AS116" s="473"/>
      <c r="AT116" s="473"/>
    </row>
    <row r="117" spans="1:90" ht="12.75" customHeight="1" thickBot="1">
      <c r="A117" s="46"/>
      <c r="B117" s="521"/>
      <c r="C117" s="525"/>
      <c r="D117" s="597" t="s">
        <v>153</v>
      </c>
      <c r="E117" s="598"/>
      <c r="F117" s="599"/>
      <c r="G117" s="2"/>
      <c r="H117" s="634"/>
      <c r="I117" s="635"/>
      <c r="J117" s="473"/>
      <c r="K117" s="481"/>
      <c r="L117" s="473"/>
      <c r="M117" s="473"/>
      <c r="N117" s="473"/>
      <c r="O117" s="473"/>
      <c r="P117" s="473"/>
      <c r="Q117" s="473"/>
      <c r="R117" s="473"/>
      <c r="S117" s="473"/>
      <c r="T117" s="482"/>
      <c r="U117" s="473"/>
      <c r="V117" s="473"/>
      <c r="W117" s="473"/>
      <c r="X117" s="473"/>
      <c r="Y117" s="473"/>
      <c r="Z117" s="473"/>
      <c r="AA117" s="473"/>
      <c r="AB117" s="473"/>
      <c r="AC117" s="473"/>
      <c r="AD117" s="473"/>
      <c r="AE117" s="473"/>
      <c r="AF117" s="473"/>
      <c r="AG117" s="473"/>
      <c r="AH117" s="473"/>
      <c r="AI117" s="473"/>
      <c r="AJ117" s="473"/>
      <c r="AK117" s="473"/>
      <c r="AL117" s="473"/>
      <c r="AM117" s="473"/>
      <c r="AN117" s="473"/>
      <c r="AO117" s="473"/>
      <c r="AP117" s="473"/>
      <c r="AQ117" s="473"/>
      <c r="AR117" s="473"/>
      <c r="AS117" s="473"/>
      <c r="AT117" s="473"/>
    </row>
    <row r="118" spans="1:90" ht="12.75" customHeight="1">
      <c r="A118" s="442" t="s">
        <v>154</v>
      </c>
      <c r="B118" s="443" t="s">
        <v>68</v>
      </c>
      <c r="C118" s="525"/>
      <c r="D118" s="670" t="s">
        <v>155</v>
      </c>
      <c r="E118" s="671"/>
      <c r="F118" s="453">
        <v>1000</v>
      </c>
      <c r="G118" s="418" t="s">
        <v>122</v>
      </c>
      <c r="H118" s="484"/>
      <c r="I118" s="485"/>
      <c r="J118" s="473"/>
      <c r="K118" s="481"/>
      <c r="L118" s="473"/>
      <c r="M118" s="473"/>
      <c r="N118" s="473"/>
      <c r="O118" s="473"/>
      <c r="P118" s="473"/>
      <c r="Q118" s="473"/>
      <c r="R118" s="473"/>
      <c r="S118" s="473"/>
      <c r="T118" s="482"/>
      <c r="U118" s="473"/>
      <c r="V118" s="473"/>
      <c r="W118" s="473"/>
      <c r="X118" s="473"/>
      <c r="Y118" s="473"/>
      <c r="Z118" s="473"/>
      <c r="AA118" s="473"/>
      <c r="AB118" s="473"/>
      <c r="AC118" s="473"/>
      <c r="AD118" s="473"/>
      <c r="AE118" s="473"/>
      <c r="AF118" s="473"/>
      <c r="AG118" s="473"/>
      <c r="AH118" s="473"/>
      <c r="AI118" s="473"/>
      <c r="AJ118" s="473"/>
      <c r="AK118" s="473"/>
      <c r="AL118" s="473"/>
      <c r="AM118" s="473"/>
      <c r="AN118" s="473"/>
      <c r="AO118" s="473"/>
      <c r="AP118" s="473"/>
      <c r="AQ118" s="473"/>
      <c r="AR118" s="473"/>
      <c r="AS118" s="473"/>
      <c r="AT118" s="473"/>
    </row>
    <row r="119" spans="1:90" ht="12.75" customHeight="1" thickBot="1">
      <c r="A119" s="52" t="s">
        <v>156</v>
      </c>
      <c r="B119" s="434">
        <v>1050</v>
      </c>
      <c r="C119" s="525"/>
      <c r="D119" s="667" t="s">
        <v>157</v>
      </c>
      <c r="E119" s="668"/>
      <c r="F119" s="454">
        <v>300</v>
      </c>
      <c r="G119" s="418" t="s">
        <v>122</v>
      </c>
      <c r="H119" s="484"/>
      <c r="I119" s="485"/>
      <c r="J119" s="473"/>
      <c r="K119" s="481"/>
      <c r="L119" s="473"/>
      <c r="M119" s="473"/>
      <c r="N119" s="473"/>
      <c r="O119" s="473"/>
      <c r="P119" s="473"/>
      <c r="Q119" s="473"/>
      <c r="R119" s="473"/>
      <c r="S119" s="473"/>
      <c r="T119" s="482"/>
      <c r="U119" s="473"/>
      <c r="V119" s="473"/>
      <c r="W119" s="473"/>
      <c r="X119" s="473"/>
      <c r="Y119" s="473"/>
      <c r="Z119" s="473"/>
      <c r="AA119" s="473"/>
      <c r="AB119" s="473"/>
      <c r="AC119" s="473"/>
      <c r="AD119" s="473"/>
      <c r="AE119" s="473"/>
      <c r="AF119" s="473"/>
      <c r="AG119" s="473"/>
      <c r="AH119" s="473"/>
      <c r="AI119" s="473"/>
      <c r="AJ119" s="473"/>
      <c r="AK119" s="473"/>
      <c r="AL119" s="473"/>
      <c r="AM119" s="473"/>
      <c r="AN119" s="473"/>
      <c r="AO119" s="473"/>
      <c r="AP119" s="473"/>
      <c r="AQ119" s="473"/>
      <c r="AR119" s="473"/>
      <c r="AS119" s="473"/>
      <c r="AT119" s="473"/>
    </row>
    <row r="120" spans="1:90" ht="12.75" customHeight="1" thickBot="1">
      <c r="A120" s="46"/>
      <c r="B120" s="521"/>
      <c r="C120" s="530"/>
      <c r="D120" s="530"/>
      <c r="E120" s="530"/>
      <c r="F120" s="530"/>
      <c r="G120" s="386"/>
      <c r="H120" s="484"/>
      <c r="I120" s="486"/>
      <c r="J120" s="473"/>
      <c r="K120" s="481"/>
      <c r="L120" s="473"/>
      <c r="M120" s="473"/>
      <c r="N120" s="473"/>
      <c r="O120" s="473"/>
      <c r="P120" s="473"/>
      <c r="Q120" s="473"/>
      <c r="R120" s="473"/>
      <c r="S120" s="473"/>
      <c r="T120" s="482"/>
      <c r="U120" s="473"/>
      <c r="V120" s="473"/>
      <c r="W120" s="473"/>
      <c r="X120" s="473"/>
      <c r="Y120" s="473"/>
      <c r="Z120" s="473"/>
      <c r="AA120" s="473"/>
      <c r="AB120" s="473"/>
      <c r="AC120" s="473"/>
      <c r="AD120" s="473"/>
      <c r="AE120" s="473"/>
      <c r="AF120" s="473"/>
      <c r="AG120" s="473"/>
      <c r="AH120" s="473"/>
      <c r="AI120" s="473"/>
      <c r="AJ120" s="473"/>
      <c r="AK120" s="473"/>
      <c r="AL120" s="473"/>
      <c r="AM120" s="473"/>
      <c r="AN120" s="473"/>
      <c r="AO120" s="473"/>
      <c r="AP120" s="473"/>
      <c r="AQ120" s="473"/>
      <c r="AR120" s="473"/>
      <c r="AS120" s="473"/>
      <c r="AT120" s="473"/>
    </row>
    <row r="121" spans="1:90" ht="24.75" customHeight="1">
      <c r="A121" s="446" t="s">
        <v>158</v>
      </c>
      <c r="B121" s="447">
        <v>90</v>
      </c>
      <c r="C121" s="531"/>
      <c r="D121" s="532" t="s">
        <v>159</v>
      </c>
      <c r="E121" s="531"/>
      <c r="F121" s="533">
        <v>300</v>
      </c>
      <c r="G121" s="386" t="s">
        <v>122</v>
      </c>
      <c r="H121" s="484"/>
      <c r="I121" s="486"/>
      <c r="J121" s="473"/>
      <c r="K121" s="481"/>
      <c r="L121" s="473"/>
      <c r="M121" s="473"/>
      <c r="N121" s="473"/>
      <c r="O121" s="473"/>
      <c r="P121" s="473"/>
      <c r="Q121" s="473"/>
      <c r="R121" s="473"/>
      <c r="S121" s="473"/>
      <c r="T121" s="482"/>
      <c r="U121" s="473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473"/>
      <c r="AF121" s="473"/>
      <c r="AG121" s="473"/>
      <c r="AH121" s="473"/>
      <c r="AI121" s="473"/>
      <c r="AJ121" s="473"/>
      <c r="AK121" s="473"/>
      <c r="AL121" s="473"/>
      <c r="AM121" s="473"/>
      <c r="AN121" s="473"/>
      <c r="AO121" s="473"/>
      <c r="AP121" s="473"/>
      <c r="AQ121" s="473"/>
      <c r="AR121" s="473"/>
      <c r="AS121" s="473"/>
      <c r="AT121" s="473"/>
    </row>
    <row r="122" spans="1:90" ht="24.75" customHeight="1">
      <c r="A122" s="403" t="s">
        <v>160</v>
      </c>
      <c r="B122" s="448">
        <v>150</v>
      </c>
      <c r="C122" s="531"/>
      <c r="D122" s="532" t="s">
        <v>161</v>
      </c>
      <c r="E122" s="531"/>
      <c r="F122" s="533">
        <v>40</v>
      </c>
      <c r="G122" s="386" t="s">
        <v>162</v>
      </c>
      <c r="H122" s="484"/>
      <c r="I122" s="486"/>
      <c r="J122" s="473"/>
      <c r="K122" s="481"/>
      <c r="L122" s="473"/>
      <c r="M122" s="473"/>
      <c r="N122" s="473"/>
      <c r="O122" s="473"/>
      <c r="P122" s="473"/>
      <c r="Q122" s="473"/>
      <c r="R122" s="473"/>
      <c r="S122" s="473"/>
      <c r="T122" s="482"/>
      <c r="U122" s="473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473"/>
      <c r="AF122" s="473"/>
      <c r="AG122" s="473"/>
      <c r="AH122" s="473"/>
      <c r="AI122" s="473"/>
      <c r="AJ122" s="473"/>
      <c r="AK122" s="473"/>
      <c r="AL122" s="473"/>
      <c r="AM122" s="473"/>
      <c r="AN122" s="473"/>
      <c r="AO122" s="473"/>
      <c r="AP122" s="473"/>
      <c r="AQ122" s="473"/>
      <c r="AR122" s="473"/>
      <c r="AS122" s="473"/>
      <c r="AT122" s="473"/>
    </row>
    <row r="123" spans="1:90" ht="24.75" customHeight="1">
      <c r="A123" s="403" t="s">
        <v>163</v>
      </c>
      <c r="B123" s="448">
        <v>100</v>
      </c>
      <c r="C123" s="531"/>
      <c r="D123" s="532" t="s">
        <v>164</v>
      </c>
      <c r="E123" s="531"/>
      <c r="F123" s="533">
        <v>0.2</v>
      </c>
      <c r="G123" s="386"/>
      <c r="H123" s="484"/>
      <c r="I123" s="486"/>
      <c r="J123" s="473"/>
      <c r="K123" s="481"/>
      <c r="L123" s="473"/>
      <c r="M123" s="473"/>
      <c r="N123" s="473"/>
      <c r="O123" s="473"/>
      <c r="P123" s="473"/>
      <c r="Q123" s="473"/>
      <c r="R123" s="473"/>
      <c r="S123" s="473"/>
      <c r="T123" s="482"/>
      <c r="U123" s="473"/>
      <c r="V123" s="473"/>
      <c r="W123" s="473"/>
      <c r="X123" s="473"/>
      <c r="Y123" s="473"/>
      <c r="Z123" s="473"/>
      <c r="AA123" s="473"/>
      <c r="AB123" s="473"/>
      <c r="AC123" s="473"/>
      <c r="AD123" s="473"/>
      <c r="AE123" s="473"/>
      <c r="AF123" s="473"/>
      <c r="AG123" s="473"/>
      <c r="AH123" s="473"/>
      <c r="AI123" s="473"/>
      <c r="AJ123" s="473"/>
      <c r="AK123" s="473"/>
      <c r="AL123" s="473"/>
      <c r="AM123" s="473"/>
      <c r="AN123" s="473"/>
      <c r="AO123" s="473"/>
      <c r="AP123" s="473"/>
      <c r="AQ123" s="473"/>
      <c r="AR123" s="473"/>
      <c r="AS123" s="473"/>
      <c r="AT123" s="473"/>
    </row>
    <row r="124" spans="1:90" ht="24.75" customHeight="1">
      <c r="A124" s="403" t="s">
        <v>165</v>
      </c>
      <c r="B124" s="448">
        <v>90</v>
      </c>
      <c r="C124" s="531"/>
      <c r="D124" s="532" t="s">
        <v>166</v>
      </c>
      <c r="E124" s="531"/>
      <c r="F124" s="533">
        <v>70</v>
      </c>
      <c r="G124" s="386" t="s">
        <v>167</v>
      </c>
      <c r="H124" s="484"/>
      <c r="I124" s="486"/>
      <c r="J124" s="473"/>
      <c r="K124" s="481"/>
      <c r="L124" s="473"/>
      <c r="M124" s="473"/>
      <c r="N124" s="473"/>
      <c r="O124" s="473"/>
      <c r="P124" s="473"/>
      <c r="Q124" s="473"/>
      <c r="R124" s="473"/>
      <c r="S124" s="473"/>
      <c r="T124" s="482"/>
      <c r="U124" s="473"/>
      <c r="V124" s="473"/>
      <c r="W124" s="473"/>
      <c r="X124" s="473"/>
      <c r="Y124" s="473"/>
      <c r="Z124" s="473"/>
      <c r="AA124" s="473"/>
      <c r="AB124" s="473"/>
      <c r="AC124" s="473"/>
      <c r="AD124" s="473"/>
      <c r="AE124" s="473"/>
      <c r="AF124" s="473"/>
      <c r="AG124" s="473"/>
      <c r="AH124" s="473"/>
      <c r="AI124" s="473"/>
      <c r="AJ124" s="473"/>
      <c r="AK124" s="473"/>
      <c r="AL124" s="473"/>
      <c r="AM124" s="473"/>
      <c r="AN124" s="473"/>
      <c r="AO124" s="473"/>
      <c r="AP124" s="473"/>
      <c r="AQ124" s="473"/>
      <c r="AR124" s="473"/>
      <c r="AS124" s="473"/>
      <c r="AT124" s="473"/>
    </row>
    <row r="125" spans="1:90" s="66" customFormat="1" ht="39" customHeight="1">
      <c r="A125" s="403" t="s">
        <v>168</v>
      </c>
      <c r="B125" s="449">
        <v>150</v>
      </c>
      <c r="C125" s="534"/>
      <c r="D125" s="534"/>
      <c r="E125" s="534"/>
      <c r="F125" s="535"/>
      <c r="G125" s="388"/>
      <c r="H125" s="487"/>
      <c r="I125" s="486"/>
      <c r="J125" s="488"/>
      <c r="K125" s="489"/>
      <c r="L125" s="488"/>
      <c r="M125" s="488"/>
      <c r="N125" s="488"/>
      <c r="O125" s="488"/>
      <c r="P125" s="488"/>
      <c r="Q125" s="488"/>
      <c r="R125" s="488"/>
      <c r="S125" s="488"/>
      <c r="T125" s="490"/>
      <c r="U125" s="488"/>
      <c r="V125" s="488"/>
      <c r="W125" s="488"/>
      <c r="X125" s="488"/>
      <c r="Y125" s="488"/>
      <c r="Z125" s="488"/>
      <c r="AA125" s="488"/>
      <c r="AB125" s="488"/>
      <c r="AC125" s="488"/>
      <c r="AD125" s="488"/>
      <c r="AE125" s="488"/>
      <c r="AF125" s="488"/>
      <c r="AG125" s="488"/>
      <c r="AH125" s="488"/>
      <c r="AI125" s="488"/>
      <c r="AJ125" s="488"/>
      <c r="AK125" s="488"/>
      <c r="AL125" s="488"/>
      <c r="AM125" s="488"/>
      <c r="AN125" s="488"/>
      <c r="AO125" s="488"/>
      <c r="AP125" s="488"/>
      <c r="AQ125" s="488"/>
      <c r="AR125" s="488"/>
      <c r="AS125" s="488"/>
      <c r="AT125" s="488"/>
      <c r="AU125" s="491"/>
      <c r="AV125" s="491"/>
      <c r="AW125" s="491"/>
      <c r="AX125" s="491"/>
      <c r="AY125" s="491"/>
      <c r="AZ125" s="491"/>
      <c r="BA125" s="491"/>
      <c r="BB125" s="491"/>
      <c r="BC125" s="491"/>
      <c r="BD125" s="491"/>
      <c r="BE125" s="491"/>
      <c r="BF125" s="491"/>
      <c r="BG125" s="491"/>
      <c r="BH125" s="491"/>
      <c r="BI125" s="491"/>
      <c r="BJ125" s="491"/>
      <c r="BK125" s="491"/>
      <c r="BL125" s="491"/>
      <c r="BM125" s="491"/>
      <c r="BN125" s="491"/>
      <c r="BO125" s="491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</row>
    <row r="126" spans="1:90" s="66" customFormat="1" ht="25.5" customHeight="1">
      <c r="A126" s="403" t="s">
        <v>169</v>
      </c>
      <c r="B126" s="449">
        <v>100</v>
      </c>
      <c r="C126" s="534"/>
      <c r="D126" s="532" t="s">
        <v>170</v>
      </c>
      <c r="E126" s="534"/>
      <c r="F126" s="533">
        <v>300</v>
      </c>
      <c r="G126" s="386" t="s">
        <v>167</v>
      </c>
      <c r="H126" s="487"/>
      <c r="I126" s="486"/>
      <c r="J126" s="488"/>
      <c r="K126" s="489"/>
      <c r="L126" s="488"/>
      <c r="M126" s="488"/>
      <c r="N126" s="488"/>
      <c r="O126" s="488"/>
      <c r="P126" s="488"/>
      <c r="Q126" s="488"/>
      <c r="R126" s="488"/>
      <c r="S126" s="488"/>
      <c r="T126" s="490"/>
      <c r="U126" s="488"/>
      <c r="V126" s="488"/>
      <c r="W126" s="488"/>
      <c r="X126" s="488"/>
      <c r="Y126" s="488"/>
      <c r="Z126" s="488"/>
      <c r="AA126" s="488"/>
      <c r="AB126" s="488"/>
      <c r="AC126" s="488"/>
      <c r="AD126" s="488"/>
      <c r="AE126" s="488"/>
      <c r="AF126" s="488"/>
      <c r="AG126" s="488"/>
      <c r="AH126" s="488"/>
      <c r="AI126" s="488"/>
      <c r="AJ126" s="488"/>
      <c r="AK126" s="488"/>
      <c r="AL126" s="488"/>
      <c r="AM126" s="488"/>
      <c r="AN126" s="488"/>
      <c r="AO126" s="488"/>
      <c r="AP126" s="488"/>
      <c r="AQ126" s="488"/>
      <c r="AR126" s="488"/>
      <c r="AS126" s="488"/>
      <c r="AT126" s="488"/>
      <c r="AU126" s="491"/>
      <c r="AV126" s="491"/>
      <c r="AW126" s="491"/>
      <c r="AX126" s="491"/>
      <c r="AY126" s="491"/>
      <c r="AZ126" s="491"/>
      <c r="BA126" s="491"/>
      <c r="BB126" s="491"/>
      <c r="BC126" s="491"/>
      <c r="BD126" s="491"/>
      <c r="BE126" s="491"/>
      <c r="BF126" s="491"/>
      <c r="BG126" s="491"/>
      <c r="BH126" s="491"/>
      <c r="BI126" s="491"/>
      <c r="BJ126" s="491"/>
      <c r="BK126" s="491"/>
      <c r="BL126" s="491"/>
      <c r="BM126" s="491"/>
      <c r="BN126" s="491"/>
      <c r="BO126" s="491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</row>
    <row r="127" spans="1:90" ht="12.75" customHeight="1">
      <c r="A127" s="403" t="s">
        <v>171</v>
      </c>
      <c r="B127" s="448">
        <v>3400</v>
      </c>
      <c r="C127" s="530"/>
      <c r="D127" s="530" t="s">
        <v>172</v>
      </c>
      <c r="E127" s="530"/>
      <c r="F127" s="530">
        <v>75</v>
      </c>
      <c r="G127" s="386" t="s">
        <v>167</v>
      </c>
      <c r="H127" s="484"/>
      <c r="I127" s="486"/>
      <c r="J127" s="473"/>
      <c r="K127" s="481"/>
      <c r="L127" s="473"/>
      <c r="M127" s="473"/>
      <c r="N127" s="473"/>
      <c r="O127" s="473"/>
      <c r="P127" s="473"/>
      <c r="Q127" s="473"/>
      <c r="R127" s="473"/>
      <c r="S127" s="473"/>
      <c r="T127" s="482"/>
      <c r="U127" s="473"/>
      <c r="V127" s="473"/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473"/>
      <c r="AH127" s="473"/>
      <c r="AI127" s="473"/>
      <c r="AJ127" s="473"/>
      <c r="AK127" s="473"/>
      <c r="AL127" s="473"/>
      <c r="AM127" s="473"/>
      <c r="AN127" s="473"/>
      <c r="AO127" s="473"/>
      <c r="AP127" s="473"/>
      <c r="AQ127" s="473"/>
      <c r="AR127" s="473"/>
      <c r="AS127" s="473"/>
      <c r="AT127" s="473"/>
    </row>
    <row r="128" spans="1:90" ht="12.75" customHeight="1">
      <c r="A128" s="403" t="s">
        <v>173</v>
      </c>
      <c r="B128" s="448">
        <v>3400</v>
      </c>
      <c r="C128" s="530"/>
      <c r="D128" s="530" t="s">
        <v>174</v>
      </c>
      <c r="E128" s="530"/>
      <c r="F128" s="530">
        <v>50</v>
      </c>
      <c r="G128" s="386" t="s">
        <v>122</v>
      </c>
      <c r="H128" s="484"/>
      <c r="I128" s="486"/>
      <c r="J128" s="473"/>
      <c r="K128" s="481"/>
      <c r="L128" s="473"/>
      <c r="M128" s="473"/>
      <c r="N128" s="473"/>
      <c r="O128" s="473"/>
      <c r="P128" s="473"/>
      <c r="Q128" s="473"/>
      <c r="R128" s="473"/>
      <c r="S128" s="473"/>
      <c r="T128" s="482"/>
      <c r="U128" s="473"/>
      <c r="V128" s="473"/>
      <c r="W128" s="473"/>
      <c r="X128" s="473"/>
      <c r="Y128" s="473"/>
      <c r="Z128" s="473"/>
      <c r="AA128" s="473"/>
      <c r="AB128" s="473"/>
      <c r="AC128" s="473"/>
      <c r="AD128" s="473"/>
      <c r="AE128" s="473"/>
      <c r="AF128" s="473"/>
      <c r="AG128" s="473"/>
      <c r="AH128" s="473"/>
      <c r="AI128" s="473"/>
      <c r="AJ128" s="473"/>
      <c r="AK128" s="473"/>
      <c r="AL128" s="473"/>
      <c r="AM128" s="473"/>
      <c r="AN128" s="473"/>
      <c r="AO128" s="473"/>
      <c r="AP128" s="473"/>
      <c r="AQ128" s="473"/>
      <c r="AR128" s="473"/>
      <c r="AS128" s="473"/>
      <c r="AT128" s="473"/>
    </row>
    <row r="129" spans="1:46" ht="18" hidden="1" customHeight="1">
      <c r="A129" s="403" t="s">
        <v>175</v>
      </c>
      <c r="B129" s="448">
        <v>6</v>
      </c>
      <c r="C129" s="530"/>
      <c r="D129" s="471" t="s">
        <v>176</v>
      </c>
      <c r="E129" s="471"/>
      <c r="F129" s="471"/>
      <c r="G129" s="386"/>
      <c r="H129" s="484"/>
      <c r="I129" s="486"/>
      <c r="J129" s="473"/>
      <c r="K129" s="481"/>
      <c r="L129" s="473"/>
      <c r="M129" s="473"/>
      <c r="N129" s="473"/>
      <c r="O129" s="473"/>
      <c r="P129" s="473"/>
      <c r="Q129" s="473"/>
      <c r="R129" s="473"/>
      <c r="S129" s="473"/>
      <c r="T129" s="482"/>
      <c r="U129" s="473"/>
      <c r="V129" s="473"/>
      <c r="W129" s="473"/>
      <c r="X129" s="473"/>
      <c r="Y129" s="473"/>
      <c r="Z129" s="473"/>
      <c r="AA129" s="473"/>
      <c r="AB129" s="473"/>
      <c r="AC129" s="473"/>
      <c r="AD129" s="473"/>
      <c r="AE129" s="473"/>
      <c r="AF129" s="473"/>
      <c r="AG129" s="473"/>
      <c r="AH129" s="473"/>
      <c r="AI129" s="473"/>
      <c r="AJ129" s="473"/>
      <c r="AK129" s="473"/>
      <c r="AL129" s="473"/>
      <c r="AM129" s="473"/>
      <c r="AN129" s="473"/>
      <c r="AO129" s="473"/>
      <c r="AP129" s="473"/>
      <c r="AQ129" s="473"/>
      <c r="AR129" s="473"/>
      <c r="AS129" s="473"/>
      <c r="AT129" s="473"/>
    </row>
    <row r="130" spans="1:46" ht="12" customHeight="1">
      <c r="A130" s="403" t="s">
        <v>177</v>
      </c>
      <c r="B130" s="448" t="s">
        <v>1356</v>
      </c>
      <c r="C130" s="525"/>
      <c r="D130" s="467"/>
      <c r="E130" s="467"/>
      <c r="F130" s="496"/>
      <c r="G130" s="2"/>
      <c r="H130" s="484"/>
      <c r="I130" s="486"/>
      <c r="J130" s="473"/>
      <c r="K130" s="481"/>
      <c r="L130" s="473"/>
      <c r="M130" s="473"/>
      <c r="N130" s="473"/>
      <c r="O130" s="473"/>
      <c r="P130" s="473"/>
      <c r="Q130" s="473"/>
      <c r="R130" s="473"/>
      <c r="S130" s="473"/>
      <c r="T130" s="482"/>
      <c r="U130" s="473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3"/>
      <c r="AH130" s="473"/>
      <c r="AI130" s="473"/>
      <c r="AJ130" s="473"/>
      <c r="AK130" s="473"/>
      <c r="AL130" s="473"/>
      <c r="AM130" s="473"/>
      <c r="AN130" s="473"/>
      <c r="AO130" s="473"/>
      <c r="AP130" s="473"/>
      <c r="AQ130" s="473"/>
      <c r="AR130" s="473"/>
      <c r="AS130" s="473"/>
      <c r="AT130" s="473"/>
    </row>
    <row r="131" spans="1:46" ht="12.75" hidden="1" customHeight="1">
      <c r="A131" s="403" t="s">
        <v>178</v>
      </c>
      <c r="B131" s="448">
        <v>370</v>
      </c>
      <c r="G131" s="385"/>
    </row>
    <row r="132" spans="1:46" ht="12.75" customHeight="1">
      <c r="A132" s="404" t="s">
        <v>179</v>
      </c>
      <c r="B132" s="450">
        <v>3750</v>
      </c>
      <c r="C132" s="704" t="s">
        <v>180</v>
      </c>
      <c r="D132" s="639"/>
      <c r="E132" s="639"/>
      <c r="F132" s="639"/>
      <c r="G132" s="643"/>
      <c r="H132" s="484"/>
      <c r="I132" s="485"/>
      <c r="J132" s="473"/>
      <c r="K132" s="481"/>
      <c r="L132" s="473"/>
      <c r="M132" s="473"/>
      <c r="N132" s="473"/>
      <c r="O132" s="473"/>
      <c r="P132" s="473"/>
      <c r="Q132" s="473"/>
      <c r="R132" s="473"/>
      <c r="S132" s="473"/>
      <c r="T132" s="482"/>
      <c r="U132" s="473"/>
      <c r="V132" s="473"/>
      <c r="W132" s="473"/>
      <c r="X132" s="473"/>
      <c r="Y132" s="473"/>
      <c r="Z132" s="473"/>
      <c r="AA132" s="473"/>
      <c r="AB132" s="473"/>
      <c r="AC132" s="473"/>
      <c r="AD132" s="473"/>
      <c r="AE132" s="473"/>
      <c r="AF132" s="473"/>
      <c r="AG132" s="473"/>
      <c r="AH132" s="473"/>
      <c r="AI132" s="473"/>
      <c r="AJ132" s="473"/>
      <c r="AK132" s="473"/>
      <c r="AL132" s="473"/>
      <c r="AM132" s="473"/>
      <c r="AN132" s="473"/>
      <c r="AO132" s="473"/>
      <c r="AP132" s="473"/>
      <c r="AQ132" s="473"/>
      <c r="AR132" s="473"/>
      <c r="AS132" s="473"/>
      <c r="AT132" s="473"/>
    </row>
    <row r="133" spans="1:46" ht="12.75" customHeight="1" thickBot="1">
      <c r="A133" s="451" t="s">
        <v>181</v>
      </c>
      <c r="B133" s="452">
        <v>0.8</v>
      </c>
      <c r="C133" s="642" t="s">
        <v>182</v>
      </c>
      <c r="D133" s="639"/>
      <c r="E133" s="639"/>
      <c r="F133" s="639"/>
      <c r="G133" s="643"/>
      <c r="H133" s="473"/>
      <c r="I133" s="473"/>
      <c r="J133" s="473"/>
      <c r="K133" s="481"/>
      <c r="L133" s="473"/>
      <c r="M133" s="473"/>
      <c r="N133" s="473"/>
      <c r="O133" s="473"/>
      <c r="P133" s="473"/>
      <c r="Q133" s="473"/>
      <c r="R133" s="473"/>
      <c r="S133" s="473"/>
      <c r="T133" s="482"/>
      <c r="U133" s="473"/>
      <c r="V133" s="473"/>
      <c r="W133" s="473"/>
      <c r="X133" s="473"/>
      <c r="Y133" s="473"/>
      <c r="Z133" s="473"/>
      <c r="AA133" s="473"/>
      <c r="AB133" s="473"/>
      <c r="AC133" s="473"/>
      <c r="AD133" s="473"/>
      <c r="AE133" s="473"/>
      <c r="AF133" s="473"/>
      <c r="AG133" s="473"/>
      <c r="AH133" s="473"/>
      <c r="AI133" s="473"/>
      <c r="AJ133" s="473"/>
      <c r="AK133" s="473"/>
      <c r="AL133" s="473"/>
      <c r="AM133" s="473"/>
      <c r="AN133" s="473"/>
      <c r="AO133" s="473"/>
      <c r="AP133" s="473"/>
      <c r="AQ133" s="473"/>
      <c r="AR133" s="473"/>
      <c r="AS133" s="473"/>
      <c r="AT133" s="473"/>
    </row>
    <row r="134" spans="1:46" ht="12.75" customHeight="1" thickBot="1">
      <c r="A134" s="67"/>
      <c r="B134" s="68"/>
      <c r="C134" s="69"/>
      <c r="D134" s="40"/>
      <c r="E134" s="40"/>
      <c r="F134" s="69"/>
      <c r="G134" s="70"/>
      <c r="H134" s="473"/>
      <c r="I134" s="473"/>
      <c r="J134" s="473"/>
      <c r="K134" s="481"/>
      <c r="L134" s="473"/>
      <c r="M134" s="473"/>
      <c r="N134" s="473"/>
      <c r="O134" s="473"/>
      <c r="P134" s="473"/>
      <c r="Q134" s="473"/>
      <c r="R134" s="473"/>
      <c r="S134" s="473"/>
      <c r="T134" s="482"/>
      <c r="U134" s="473"/>
      <c r="V134" s="473"/>
      <c r="W134" s="473"/>
      <c r="X134" s="473"/>
      <c r="Y134" s="473"/>
      <c r="Z134" s="473"/>
      <c r="AA134" s="473"/>
      <c r="AB134" s="473"/>
      <c r="AC134" s="473"/>
      <c r="AD134" s="473"/>
      <c r="AE134" s="473"/>
      <c r="AF134" s="473"/>
      <c r="AG134" s="473"/>
      <c r="AH134" s="473"/>
      <c r="AI134" s="473"/>
      <c r="AJ134" s="473"/>
      <c r="AK134" s="473"/>
      <c r="AL134" s="473"/>
      <c r="AM134" s="473"/>
      <c r="AN134" s="473"/>
      <c r="AO134" s="473"/>
      <c r="AP134" s="473"/>
      <c r="AQ134" s="473"/>
      <c r="AR134" s="473"/>
      <c r="AS134" s="473"/>
      <c r="AT134" s="473"/>
    </row>
    <row r="135" spans="1:46" ht="15" customHeight="1" thickBot="1">
      <c r="A135" s="691" t="s">
        <v>183</v>
      </c>
      <c r="B135" s="598"/>
      <c r="C135" s="598"/>
      <c r="D135" s="598"/>
      <c r="E135" s="598"/>
      <c r="F135" s="598"/>
      <c r="G135" s="599"/>
      <c r="H135" s="473"/>
      <c r="I135" s="473"/>
      <c r="J135" s="473"/>
      <c r="K135" s="481"/>
      <c r="L135" s="473"/>
      <c r="M135" s="473"/>
      <c r="N135" s="473"/>
      <c r="O135" s="473"/>
      <c r="P135" s="473"/>
      <c r="Q135" s="473"/>
      <c r="R135" s="473"/>
      <c r="S135" s="473"/>
      <c r="T135" s="482"/>
      <c r="U135" s="473"/>
      <c r="V135" s="473"/>
      <c r="W135" s="473"/>
      <c r="X135" s="473"/>
      <c r="Y135" s="473"/>
      <c r="Z135" s="473"/>
      <c r="AA135" s="473"/>
      <c r="AB135" s="473"/>
      <c r="AC135" s="473"/>
      <c r="AD135" s="473"/>
      <c r="AE135" s="473"/>
      <c r="AF135" s="473"/>
      <c r="AG135" s="473"/>
      <c r="AH135" s="473"/>
      <c r="AI135" s="473"/>
      <c r="AJ135" s="473"/>
      <c r="AK135" s="473"/>
      <c r="AL135" s="473"/>
      <c r="AM135" s="473"/>
      <c r="AN135" s="473"/>
      <c r="AO135" s="473"/>
      <c r="AP135" s="473"/>
      <c r="AQ135" s="473"/>
      <c r="AR135" s="473"/>
      <c r="AS135" s="473"/>
      <c r="AT135" s="473"/>
    </row>
    <row r="136" spans="1:46" ht="15" customHeight="1">
      <c r="A136" s="71" t="s">
        <v>184</v>
      </c>
      <c r="B136" s="72"/>
      <c r="C136" s="73"/>
      <c r="D136" s="74"/>
      <c r="E136" s="74"/>
      <c r="F136" s="75"/>
      <c r="G136" s="76"/>
      <c r="H136" s="473"/>
      <c r="I136" s="473"/>
      <c r="J136" s="473"/>
      <c r="K136" s="481"/>
      <c r="L136" s="473"/>
      <c r="M136" s="473"/>
      <c r="N136" s="473"/>
      <c r="O136" s="473"/>
      <c r="P136" s="473"/>
      <c r="Q136" s="473"/>
      <c r="R136" s="473"/>
      <c r="S136" s="473"/>
      <c r="T136" s="482"/>
      <c r="U136" s="473"/>
      <c r="V136" s="473"/>
      <c r="W136" s="473"/>
      <c r="X136" s="473"/>
      <c r="Y136" s="473"/>
      <c r="Z136" s="473"/>
      <c r="AA136" s="473"/>
      <c r="AB136" s="473"/>
      <c r="AC136" s="473"/>
      <c r="AD136" s="473"/>
      <c r="AE136" s="473"/>
      <c r="AF136" s="473"/>
      <c r="AG136" s="473"/>
      <c r="AH136" s="473"/>
      <c r="AI136" s="473"/>
      <c r="AJ136" s="473"/>
      <c r="AK136" s="473"/>
      <c r="AL136" s="473"/>
      <c r="AM136" s="473"/>
      <c r="AN136" s="473"/>
      <c r="AO136" s="473"/>
      <c r="AP136" s="473"/>
      <c r="AQ136" s="473"/>
      <c r="AR136" s="473"/>
      <c r="AS136" s="473"/>
      <c r="AT136" s="473"/>
    </row>
    <row r="137" spans="1:46" ht="15" customHeight="1">
      <c r="A137" s="77" t="s">
        <v>185</v>
      </c>
      <c r="B137" s="78"/>
      <c r="C137" s="79"/>
      <c r="D137" s="582" t="str">
        <f>'11-Muk. Hesapları'!AH27</f>
        <v>UYGUNDUR.</v>
      </c>
      <c r="E137" s="583"/>
      <c r="F137" s="80" t="s">
        <v>186</v>
      </c>
      <c r="G137" s="76"/>
      <c r="H137" s="473"/>
      <c r="I137" s="473"/>
      <c r="J137" s="473"/>
      <c r="K137" s="481"/>
      <c r="L137" s="473"/>
      <c r="M137" s="473"/>
      <c r="N137" s="473"/>
      <c r="O137" s="473"/>
      <c r="P137" s="473"/>
      <c r="Q137" s="473"/>
      <c r="R137" s="473"/>
      <c r="S137" s="473"/>
      <c r="T137" s="482"/>
      <c r="U137" s="473"/>
      <c r="V137" s="473"/>
      <c r="W137" s="473"/>
      <c r="X137" s="473"/>
      <c r="Y137" s="473"/>
      <c r="Z137" s="473"/>
      <c r="AA137" s="473"/>
      <c r="AB137" s="473"/>
      <c r="AC137" s="473"/>
      <c r="AD137" s="473"/>
      <c r="AE137" s="473"/>
      <c r="AF137" s="473"/>
      <c r="AG137" s="473"/>
      <c r="AH137" s="473"/>
      <c r="AI137" s="473"/>
      <c r="AJ137" s="473"/>
      <c r="AK137" s="473"/>
      <c r="AL137" s="473"/>
      <c r="AM137" s="473"/>
      <c r="AN137" s="473"/>
      <c r="AO137" s="473"/>
      <c r="AP137" s="473"/>
      <c r="AQ137" s="473"/>
      <c r="AR137" s="473"/>
      <c r="AS137" s="473"/>
      <c r="AT137" s="473"/>
    </row>
    <row r="138" spans="1:46" ht="15" customHeight="1">
      <c r="A138" s="81"/>
      <c r="B138" s="82"/>
      <c r="C138" s="83"/>
      <c r="D138" s="84"/>
      <c r="E138" s="84"/>
      <c r="F138" s="85"/>
      <c r="G138" s="86"/>
      <c r="H138" s="473"/>
      <c r="I138" s="473"/>
      <c r="J138" s="473"/>
      <c r="K138" s="481"/>
      <c r="L138" s="473"/>
      <c r="M138" s="473"/>
      <c r="N138" s="473"/>
      <c r="O138" s="473"/>
      <c r="P138" s="473"/>
      <c r="Q138" s="473"/>
      <c r="R138" s="473"/>
      <c r="S138" s="473"/>
      <c r="T138" s="482"/>
      <c r="U138" s="473"/>
      <c r="V138" s="473"/>
      <c r="W138" s="473"/>
      <c r="X138" s="473"/>
      <c r="Y138" s="473"/>
      <c r="Z138" s="473"/>
      <c r="AA138" s="473"/>
      <c r="AB138" s="473"/>
      <c r="AC138" s="473"/>
      <c r="AD138" s="473"/>
      <c r="AE138" s="473"/>
      <c r="AF138" s="473"/>
      <c r="AG138" s="473"/>
      <c r="AH138" s="473"/>
      <c r="AI138" s="473"/>
      <c r="AJ138" s="473"/>
      <c r="AK138" s="473"/>
      <c r="AL138" s="473"/>
      <c r="AM138" s="473"/>
      <c r="AN138" s="473"/>
      <c r="AO138" s="473"/>
      <c r="AP138" s="473"/>
      <c r="AQ138" s="473"/>
      <c r="AR138" s="473"/>
      <c r="AS138" s="473"/>
      <c r="AT138" s="473"/>
    </row>
    <row r="139" spans="1:46" ht="15" customHeight="1">
      <c r="A139" s="71" t="s">
        <v>187</v>
      </c>
      <c r="B139" s="72"/>
      <c r="C139" s="73"/>
      <c r="D139" s="74"/>
      <c r="E139" s="74"/>
      <c r="F139" s="75"/>
      <c r="G139" s="76"/>
      <c r="H139" s="473"/>
      <c r="I139" s="473"/>
      <c r="J139" s="473"/>
      <c r="K139" s="481"/>
      <c r="L139" s="473"/>
      <c r="M139" s="473"/>
      <c r="N139" s="493"/>
      <c r="O139" s="493"/>
      <c r="P139" s="493"/>
      <c r="Q139" s="473"/>
      <c r="R139" s="473"/>
      <c r="S139" s="473"/>
      <c r="T139" s="482"/>
      <c r="U139" s="473"/>
      <c r="V139" s="473"/>
      <c r="W139" s="473"/>
      <c r="X139" s="473"/>
      <c r="Y139" s="473"/>
      <c r="Z139" s="473"/>
      <c r="AA139" s="473"/>
      <c r="AB139" s="473"/>
      <c r="AC139" s="473"/>
      <c r="AD139" s="473"/>
      <c r="AE139" s="473"/>
      <c r="AF139" s="473"/>
      <c r="AG139" s="473"/>
      <c r="AH139" s="473"/>
      <c r="AI139" s="473"/>
      <c r="AJ139" s="473"/>
      <c r="AK139" s="473"/>
      <c r="AL139" s="473"/>
      <c r="AM139" s="473"/>
      <c r="AN139" s="473"/>
      <c r="AO139" s="473"/>
      <c r="AP139" s="473"/>
      <c r="AQ139" s="473"/>
      <c r="AR139" s="473"/>
      <c r="AS139" s="473"/>
      <c r="AT139" s="473"/>
    </row>
    <row r="140" spans="1:46" ht="15" customHeight="1">
      <c r="A140" s="77" t="s">
        <v>188</v>
      </c>
      <c r="B140" s="78"/>
      <c r="C140" s="79"/>
      <c r="D140" s="582" t="str">
        <f>'11-Muk. Hesapları'!AH67</f>
        <v>UYGUNDUR.</v>
      </c>
      <c r="E140" s="583"/>
      <c r="F140" s="80" t="s">
        <v>189</v>
      </c>
      <c r="G140" s="76"/>
      <c r="H140" s="473"/>
      <c r="I140" s="473"/>
      <c r="J140" s="493"/>
      <c r="K140" s="481"/>
      <c r="L140" s="473"/>
      <c r="M140" s="473"/>
      <c r="N140" s="473"/>
      <c r="O140" s="473"/>
      <c r="P140" s="473"/>
      <c r="Q140" s="473"/>
      <c r="R140" s="473"/>
      <c r="S140" s="473"/>
      <c r="T140" s="482"/>
      <c r="U140" s="473"/>
      <c r="V140" s="473"/>
      <c r="W140" s="473"/>
      <c r="X140" s="473"/>
      <c r="Y140" s="473"/>
      <c r="Z140" s="473"/>
      <c r="AA140" s="473"/>
      <c r="AB140" s="473"/>
      <c r="AC140" s="473"/>
      <c r="AD140" s="473"/>
      <c r="AE140" s="473"/>
      <c r="AF140" s="473"/>
      <c r="AG140" s="473"/>
      <c r="AH140" s="473"/>
      <c r="AI140" s="473"/>
      <c r="AJ140" s="473"/>
      <c r="AK140" s="473"/>
      <c r="AL140" s="473"/>
      <c r="AM140" s="473"/>
      <c r="AN140" s="473"/>
      <c r="AO140" s="473"/>
      <c r="AP140" s="473"/>
      <c r="AQ140" s="473"/>
      <c r="AR140" s="473"/>
      <c r="AS140" s="473"/>
      <c r="AT140" s="473"/>
    </row>
    <row r="141" spans="1:46" ht="15" customHeight="1">
      <c r="A141" s="77" t="s">
        <v>190</v>
      </c>
      <c r="B141" s="78"/>
      <c r="C141" s="79"/>
      <c r="D141" s="582" t="str">
        <f>'11-Muk. Hesapları'!AH75</f>
        <v>UYGUNDUR.</v>
      </c>
      <c r="E141" s="583"/>
      <c r="F141" s="80" t="s">
        <v>189</v>
      </c>
      <c r="G141" s="76"/>
      <c r="H141" s="493"/>
      <c r="I141" s="473"/>
      <c r="J141" s="473"/>
      <c r="K141" s="481"/>
      <c r="L141" s="493"/>
      <c r="M141" s="493"/>
      <c r="N141" s="473"/>
      <c r="O141" s="473"/>
      <c r="P141" s="473"/>
      <c r="Q141" s="473"/>
      <c r="R141" s="473"/>
      <c r="S141" s="473"/>
      <c r="T141" s="482"/>
      <c r="U141" s="473"/>
      <c r="V141" s="473"/>
      <c r="W141" s="493"/>
      <c r="X141" s="493"/>
      <c r="Y141" s="493"/>
      <c r="Z141" s="493"/>
      <c r="AA141" s="493"/>
      <c r="AB141" s="493"/>
      <c r="AC141" s="493"/>
      <c r="AD141" s="493"/>
      <c r="AE141" s="493"/>
      <c r="AF141" s="473"/>
      <c r="AG141" s="473"/>
      <c r="AH141" s="473"/>
      <c r="AI141" s="473"/>
      <c r="AJ141" s="473"/>
      <c r="AK141" s="473"/>
      <c r="AL141" s="473"/>
      <c r="AM141" s="473"/>
      <c r="AN141" s="473"/>
      <c r="AO141" s="473"/>
      <c r="AP141" s="473"/>
      <c r="AQ141" s="473"/>
      <c r="AR141" s="473"/>
      <c r="AS141" s="473"/>
      <c r="AT141" s="473"/>
    </row>
    <row r="142" spans="1:46" ht="15" customHeight="1">
      <c r="A142" s="81"/>
      <c r="B142" s="82"/>
      <c r="C142" s="83"/>
      <c r="D142" s="84"/>
      <c r="E142" s="84"/>
      <c r="F142" s="85"/>
      <c r="G142" s="86"/>
      <c r="H142" s="473"/>
      <c r="I142" s="473"/>
      <c r="J142" s="473"/>
      <c r="K142" s="481"/>
      <c r="L142" s="473"/>
      <c r="M142" s="473"/>
      <c r="N142" s="473"/>
      <c r="O142" s="473"/>
      <c r="P142" s="473"/>
      <c r="Q142" s="473"/>
      <c r="R142" s="473"/>
      <c r="S142" s="473"/>
      <c r="T142" s="482"/>
      <c r="U142" s="473"/>
      <c r="V142" s="473"/>
      <c r="W142" s="473"/>
      <c r="X142" s="473"/>
      <c r="Y142" s="473"/>
      <c r="Z142" s="473"/>
      <c r="AA142" s="473"/>
      <c r="AB142" s="473"/>
      <c r="AC142" s="473"/>
      <c r="AD142" s="473"/>
      <c r="AE142" s="473"/>
      <c r="AF142" s="473"/>
      <c r="AG142" s="473"/>
      <c r="AH142" s="473"/>
      <c r="AI142" s="473"/>
      <c r="AJ142" s="473"/>
      <c r="AK142" s="473"/>
      <c r="AL142" s="473"/>
      <c r="AM142" s="473"/>
      <c r="AN142" s="473"/>
      <c r="AO142" s="473"/>
      <c r="AP142" s="473"/>
      <c r="AQ142" s="473"/>
      <c r="AR142" s="473"/>
      <c r="AS142" s="473"/>
      <c r="AT142" s="473"/>
    </row>
    <row r="143" spans="1:46" ht="15" customHeight="1">
      <c r="A143" s="705" t="s">
        <v>191</v>
      </c>
      <c r="B143" s="637"/>
      <c r="C143" s="637"/>
      <c r="D143" s="87"/>
      <c r="E143" s="87"/>
      <c r="F143" s="88"/>
      <c r="G143" s="89"/>
      <c r="H143" s="473"/>
      <c r="I143" s="473"/>
      <c r="J143" s="473"/>
      <c r="K143" s="481"/>
      <c r="L143" s="473"/>
      <c r="M143" s="473"/>
      <c r="N143" s="473"/>
      <c r="O143" s="473"/>
      <c r="P143" s="473"/>
      <c r="Q143" s="473"/>
      <c r="R143" s="473"/>
      <c r="S143" s="473"/>
      <c r="T143" s="482"/>
      <c r="U143" s="473"/>
      <c r="V143" s="473"/>
      <c r="W143" s="473"/>
      <c r="X143" s="473"/>
      <c r="Y143" s="473"/>
      <c r="Z143" s="473"/>
      <c r="AA143" s="473"/>
      <c r="AB143" s="473"/>
      <c r="AC143" s="473"/>
      <c r="AD143" s="473"/>
      <c r="AE143" s="473"/>
      <c r="AF143" s="473"/>
      <c r="AG143" s="473"/>
      <c r="AH143" s="473"/>
      <c r="AI143" s="473"/>
      <c r="AJ143" s="473"/>
      <c r="AK143" s="473"/>
      <c r="AL143" s="473"/>
      <c r="AM143" s="473"/>
      <c r="AN143" s="473"/>
      <c r="AO143" s="473"/>
      <c r="AP143" s="473"/>
      <c r="AQ143" s="473"/>
      <c r="AR143" s="473"/>
      <c r="AS143" s="473"/>
      <c r="AT143" s="473"/>
    </row>
    <row r="144" spans="1:46" ht="15" customHeight="1">
      <c r="A144" s="77" t="s">
        <v>192</v>
      </c>
      <c r="B144" s="78"/>
      <c r="C144" s="79"/>
      <c r="D144" s="582" t="str">
        <f>'11-Muk. Hesapları'!AP84</f>
        <v>UYGUNDUR.</v>
      </c>
      <c r="E144" s="583"/>
      <c r="F144" s="80" t="s">
        <v>189</v>
      </c>
      <c r="G144" s="76"/>
      <c r="H144" s="473"/>
      <c r="I144" s="473"/>
      <c r="J144" s="473"/>
      <c r="K144" s="481"/>
      <c r="L144" s="473"/>
      <c r="M144" s="473"/>
      <c r="N144" s="473"/>
      <c r="O144" s="473"/>
      <c r="P144" s="473"/>
      <c r="Q144" s="493"/>
      <c r="R144" s="493"/>
      <c r="S144" s="493"/>
      <c r="T144" s="494"/>
      <c r="U144" s="493"/>
      <c r="V144" s="493"/>
      <c r="W144" s="473"/>
      <c r="X144" s="473"/>
      <c r="Y144" s="473"/>
      <c r="Z144" s="473"/>
      <c r="AA144" s="473"/>
      <c r="AB144" s="473"/>
      <c r="AC144" s="473"/>
      <c r="AD144" s="473"/>
      <c r="AE144" s="473"/>
      <c r="AF144" s="473"/>
      <c r="AG144" s="473"/>
      <c r="AH144" s="473"/>
      <c r="AI144" s="473"/>
      <c r="AJ144" s="473"/>
      <c r="AK144" s="473"/>
      <c r="AL144" s="473"/>
      <c r="AM144" s="473"/>
      <c r="AN144" s="473"/>
      <c r="AO144" s="473"/>
      <c r="AP144" s="473"/>
      <c r="AQ144" s="473"/>
      <c r="AR144" s="473"/>
      <c r="AS144" s="473"/>
      <c r="AT144" s="473"/>
    </row>
    <row r="145" spans="1:46" ht="15" customHeight="1">
      <c r="A145" s="77" t="s">
        <v>193</v>
      </c>
      <c r="B145" s="78"/>
      <c r="C145" s="79"/>
      <c r="D145" s="582" t="str">
        <f>'11-Muk. Hesapları'!AP90</f>
        <v>UYGUNDUR.</v>
      </c>
      <c r="E145" s="583"/>
      <c r="F145" s="80" t="s">
        <v>189</v>
      </c>
      <c r="G145" s="76"/>
      <c r="H145" s="473"/>
      <c r="I145" s="473"/>
      <c r="J145" s="473"/>
      <c r="K145" s="481"/>
      <c r="L145" s="473"/>
      <c r="M145" s="473"/>
      <c r="N145" s="473"/>
      <c r="O145" s="473"/>
      <c r="P145" s="473"/>
      <c r="Q145" s="473"/>
      <c r="R145" s="473"/>
      <c r="S145" s="473"/>
      <c r="T145" s="482"/>
      <c r="U145" s="473"/>
      <c r="V145" s="473"/>
      <c r="W145" s="473"/>
      <c r="X145" s="473"/>
      <c r="Y145" s="473"/>
      <c r="Z145" s="473"/>
      <c r="AA145" s="473"/>
      <c r="AB145" s="473"/>
      <c r="AC145" s="473"/>
      <c r="AD145" s="473"/>
      <c r="AE145" s="473"/>
      <c r="AF145" s="473"/>
      <c r="AG145" s="473"/>
      <c r="AH145" s="473"/>
      <c r="AI145" s="473"/>
      <c r="AJ145" s="473"/>
      <c r="AK145" s="473"/>
      <c r="AL145" s="473"/>
      <c r="AM145" s="473"/>
      <c r="AN145" s="473"/>
      <c r="AO145" s="473"/>
      <c r="AP145" s="473"/>
      <c r="AQ145" s="473"/>
      <c r="AR145" s="473"/>
      <c r="AS145" s="473"/>
      <c r="AT145" s="473"/>
    </row>
    <row r="146" spans="1:46" ht="15" customHeight="1">
      <c r="A146" s="81"/>
      <c r="B146" s="82"/>
      <c r="C146" s="83"/>
      <c r="D146" s="84"/>
      <c r="E146" s="84"/>
      <c r="F146" s="85"/>
      <c r="G146" s="86"/>
      <c r="H146" s="473"/>
      <c r="I146" s="495"/>
      <c r="J146" s="473"/>
      <c r="K146" s="495"/>
      <c r="L146" s="473"/>
      <c r="M146" s="473"/>
      <c r="N146" s="473"/>
      <c r="O146" s="473"/>
      <c r="P146" s="473"/>
      <c r="Q146" s="473"/>
      <c r="R146" s="473"/>
      <c r="S146" s="473"/>
      <c r="T146" s="482"/>
      <c r="U146" s="473"/>
      <c r="V146" s="473"/>
      <c r="W146" s="473"/>
      <c r="X146" s="473"/>
      <c r="Y146" s="473"/>
      <c r="Z146" s="473"/>
      <c r="AA146" s="473"/>
      <c r="AB146" s="473"/>
      <c r="AC146" s="473"/>
      <c r="AD146" s="473"/>
      <c r="AE146" s="473"/>
      <c r="AF146" s="473"/>
      <c r="AG146" s="473"/>
      <c r="AH146" s="473"/>
      <c r="AI146" s="473"/>
      <c r="AJ146" s="473"/>
      <c r="AK146" s="473"/>
      <c r="AL146" s="473"/>
      <c r="AM146" s="473"/>
      <c r="AN146" s="473"/>
      <c r="AO146" s="473"/>
      <c r="AP146" s="473"/>
      <c r="AQ146" s="473"/>
      <c r="AR146" s="473"/>
      <c r="AS146" s="473"/>
      <c r="AT146" s="473"/>
    </row>
    <row r="147" spans="1:46" ht="15" customHeight="1">
      <c r="A147" s="90" t="s">
        <v>194</v>
      </c>
      <c r="B147" s="72"/>
      <c r="C147" s="73"/>
      <c r="D147" s="74"/>
      <c r="E147" s="74"/>
      <c r="F147" s="75"/>
      <c r="G147" s="76"/>
      <c r="H147" s="473"/>
      <c r="I147" s="473"/>
      <c r="J147" s="473"/>
      <c r="K147" s="481"/>
      <c r="L147" s="473"/>
      <c r="M147" s="473"/>
      <c r="N147" s="473"/>
      <c r="O147" s="473"/>
      <c r="P147" s="473"/>
      <c r="Q147" s="473"/>
      <c r="R147" s="473"/>
      <c r="S147" s="473"/>
      <c r="T147" s="482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  <c r="AL147" s="473"/>
      <c r="AM147" s="473"/>
      <c r="AN147" s="473"/>
      <c r="AO147" s="473"/>
      <c r="AP147" s="473"/>
      <c r="AQ147" s="473"/>
      <c r="AR147" s="473"/>
      <c r="AS147" s="473"/>
      <c r="AT147" s="473"/>
    </row>
    <row r="148" spans="1:46" ht="15" customHeight="1">
      <c r="A148" s="77" t="s">
        <v>195</v>
      </c>
      <c r="B148" s="78"/>
      <c r="C148" s="79"/>
      <c r="D148" s="582" t="str">
        <f>'11-Muk. Hesapları'!Z97</f>
        <v>UYGUNDUR.</v>
      </c>
      <c r="E148" s="583"/>
      <c r="F148" s="80" t="s">
        <v>189</v>
      </c>
      <c r="G148" s="76"/>
      <c r="H148" s="473"/>
      <c r="I148" s="473"/>
      <c r="J148" s="473"/>
      <c r="K148" s="481"/>
      <c r="L148" s="473"/>
      <c r="M148" s="473"/>
      <c r="N148" s="473"/>
      <c r="O148" s="473"/>
      <c r="P148" s="473"/>
      <c r="Q148" s="473"/>
      <c r="R148" s="473"/>
      <c r="S148" s="473"/>
      <c r="T148" s="482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  <c r="AL148" s="473"/>
      <c r="AM148" s="473"/>
      <c r="AN148" s="473"/>
      <c r="AO148" s="473"/>
      <c r="AP148" s="473"/>
      <c r="AQ148" s="473"/>
      <c r="AR148" s="473"/>
      <c r="AS148" s="473"/>
      <c r="AT148" s="473"/>
    </row>
    <row r="149" spans="1:46" ht="15" customHeight="1">
      <c r="A149" s="77" t="s">
        <v>196</v>
      </c>
      <c r="B149" s="78"/>
      <c r="C149" s="79"/>
      <c r="D149" s="582" t="str">
        <f>'11-Muk. Hesapları'!AH125</f>
        <v>UYGUNDUR.</v>
      </c>
      <c r="E149" s="583"/>
      <c r="F149" s="80" t="s">
        <v>189</v>
      </c>
      <c r="G149" s="76"/>
      <c r="H149" s="473"/>
      <c r="I149" s="473"/>
      <c r="J149" s="473"/>
      <c r="K149" s="481"/>
      <c r="L149" s="473"/>
      <c r="M149" s="473"/>
      <c r="N149" s="473"/>
      <c r="O149" s="473"/>
      <c r="P149" s="473"/>
      <c r="Q149" s="473"/>
      <c r="R149" s="473"/>
      <c r="S149" s="473"/>
      <c r="T149" s="482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  <c r="AL149" s="473"/>
      <c r="AM149" s="473"/>
      <c r="AN149" s="473"/>
      <c r="AO149" s="473"/>
      <c r="AP149" s="473"/>
      <c r="AQ149" s="473"/>
      <c r="AR149" s="473"/>
      <c r="AS149" s="473"/>
      <c r="AT149" s="473"/>
    </row>
    <row r="150" spans="1:46" ht="15" customHeight="1">
      <c r="A150" s="77" t="s">
        <v>197</v>
      </c>
      <c r="B150" s="78"/>
      <c r="C150" s="79"/>
      <c r="D150" s="582" t="str">
        <f>'11-Muk. Hesapları'!AH126</f>
        <v>UYGUNDUR.</v>
      </c>
      <c r="E150" s="583"/>
      <c r="F150" s="80" t="s">
        <v>189</v>
      </c>
      <c r="G150" s="76"/>
      <c r="H150" s="473"/>
      <c r="I150" s="473"/>
      <c r="J150" s="473"/>
      <c r="K150" s="481"/>
      <c r="L150" s="473"/>
      <c r="M150" s="473"/>
      <c r="N150" s="473"/>
      <c r="O150" s="473"/>
      <c r="P150" s="473"/>
      <c r="Q150" s="473"/>
      <c r="R150" s="473"/>
      <c r="S150" s="473"/>
      <c r="T150" s="482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  <c r="AL150" s="473"/>
      <c r="AM150" s="473"/>
      <c r="AN150" s="473"/>
      <c r="AO150" s="473"/>
      <c r="AP150" s="473"/>
      <c r="AQ150" s="473"/>
      <c r="AR150" s="473"/>
      <c r="AS150" s="473"/>
      <c r="AT150" s="473"/>
    </row>
    <row r="151" spans="1:46" ht="15" customHeight="1">
      <c r="A151" s="77"/>
      <c r="B151" s="78"/>
      <c r="C151" s="79"/>
      <c r="D151" s="84"/>
      <c r="F151" s="536"/>
      <c r="G151" s="76"/>
      <c r="H151" s="473"/>
      <c r="I151" s="473"/>
      <c r="J151" s="473"/>
      <c r="K151" s="481"/>
      <c r="L151" s="473"/>
      <c r="M151" s="473"/>
      <c r="N151" s="473"/>
      <c r="O151" s="473"/>
      <c r="P151" s="473"/>
      <c r="Q151" s="473"/>
      <c r="R151" s="473"/>
      <c r="S151" s="473"/>
      <c r="T151" s="482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  <c r="AL151" s="473"/>
      <c r="AM151" s="473"/>
      <c r="AN151" s="473"/>
      <c r="AO151" s="473"/>
      <c r="AP151" s="473"/>
      <c r="AQ151" s="473"/>
      <c r="AR151" s="473"/>
      <c r="AS151" s="473"/>
      <c r="AT151" s="473"/>
    </row>
    <row r="152" spans="1:46" ht="15" customHeight="1">
      <c r="A152" s="81"/>
      <c r="B152" s="82"/>
      <c r="C152" s="83"/>
      <c r="D152" s="84"/>
      <c r="E152" s="84"/>
      <c r="F152" s="85"/>
      <c r="G152" s="86"/>
      <c r="H152" s="473"/>
      <c r="I152" s="473"/>
      <c r="J152" s="473"/>
      <c r="K152" s="481"/>
      <c r="L152" s="473"/>
      <c r="M152" s="473"/>
      <c r="N152" s="473"/>
      <c r="O152" s="473"/>
      <c r="P152" s="473"/>
      <c r="Q152" s="473"/>
      <c r="R152" s="473"/>
      <c r="S152" s="473"/>
      <c r="T152" s="482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  <c r="AL152" s="473"/>
      <c r="AM152" s="473"/>
      <c r="AN152" s="473"/>
      <c r="AO152" s="473"/>
      <c r="AP152" s="473"/>
      <c r="AQ152" s="473"/>
      <c r="AR152" s="473"/>
      <c r="AS152" s="473"/>
      <c r="AT152" s="473"/>
    </row>
    <row r="153" spans="1:46" ht="15" customHeight="1">
      <c r="A153" s="91" t="s">
        <v>198</v>
      </c>
      <c r="B153" s="72"/>
      <c r="C153" s="73"/>
      <c r="D153" s="74"/>
      <c r="E153" s="74"/>
      <c r="F153" s="75"/>
      <c r="G153" s="76"/>
      <c r="H153" s="473"/>
      <c r="I153" s="495"/>
      <c r="J153" s="473"/>
      <c r="K153" s="495"/>
      <c r="L153" s="473"/>
      <c r="M153" s="473"/>
      <c r="N153" s="473"/>
      <c r="O153" s="473"/>
      <c r="P153" s="473"/>
      <c r="Q153" s="473"/>
      <c r="R153" s="473"/>
      <c r="S153" s="473"/>
      <c r="T153" s="482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  <c r="AL153" s="473"/>
      <c r="AM153" s="473"/>
      <c r="AN153" s="473"/>
      <c r="AO153" s="473"/>
      <c r="AP153" s="473"/>
      <c r="AQ153" s="473"/>
      <c r="AR153" s="473"/>
      <c r="AS153" s="473"/>
      <c r="AT153" s="473"/>
    </row>
    <row r="154" spans="1:46" ht="15" customHeight="1">
      <c r="A154" s="77" t="s">
        <v>199</v>
      </c>
      <c r="B154" s="78"/>
      <c r="C154" s="79"/>
      <c r="D154" s="582" t="str">
        <f>'11-Muk. Hesapları'!X142</f>
        <v>UYGUNDUR.</v>
      </c>
      <c r="E154" s="583"/>
      <c r="F154" s="80" t="s">
        <v>200</v>
      </c>
      <c r="G154" s="76"/>
      <c r="H154" s="473"/>
      <c r="I154" s="473"/>
      <c r="J154" s="473"/>
      <c r="K154" s="481"/>
      <c r="L154" s="473"/>
      <c r="M154" s="473"/>
      <c r="N154" s="495"/>
      <c r="O154" s="495"/>
      <c r="P154" s="495"/>
      <c r="Q154" s="473"/>
      <c r="R154" s="473"/>
      <c r="S154" s="473"/>
      <c r="T154" s="482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  <c r="AL154" s="473"/>
      <c r="AM154" s="473"/>
      <c r="AN154" s="473"/>
      <c r="AO154" s="473"/>
      <c r="AP154" s="473"/>
      <c r="AQ154" s="473"/>
      <c r="AR154" s="473"/>
      <c r="AS154" s="473"/>
      <c r="AT154" s="473"/>
    </row>
    <row r="155" spans="1:46" ht="15" customHeight="1">
      <c r="A155" s="92" t="s">
        <v>201</v>
      </c>
      <c r="B155" s="78"/>
      <c r="C155" s="79"/>
      <c r="D155" s="582" t="str">
        <f>'11-Muk. Hesapları'!AM156</f>
        <v>UYGUNDUR.</v>
      </c>
      <c r="E155" s="583"/>
      <c r="F155" s="80" t="s">
        <v>200</v>
      </c>
      <c r="G155" s="76"/>
      <c r="H155" s="473"/>
      <c r="I155" s="473"/>
      <c r="J155" s="495"/>
      <c r="K155" s="481"/>
      <c r="L155" s="473"/>
      <c r="M155" s="473"/>
      <c r="N155" s="473"/>
      <c r="O155" s="473"/>
      <c r="P155" s="473"/>
      <c r="Q155" s="473"/>
      <c r="R155" s="473"/>
      <c r="S155" s="473"/>
      <c r="T155" s="482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  <c r="AL155" s="473"/>
      <c r="AM155" s="473"/>
      <c r="AN155" s="473"/>
      <c r="AO155" s="473"/>
      <c r="AP155" s="473"/>
      <c r="AQ155" s="473"/>
      <c r="AR155" s="473"/>
      <c r="AS155" s="473"/>
      <c r="AT155" s="473"/>
    </row>
    <row r="156" spans="1:46" ht="15" customHeight="1">
      <c r="A156" s="77" t="s">
        <v>202</v>
      </c>
      <c r="B156" s="78"/>
      <c r="C156" s="79"/>
      <c r="D156" s="582" t="str">
        <f>'11-Muk. Hesapları'!U161</f>
        <v>UYGUNDUR.</v>
      </c>
      <c r="E156" s="583"/>
      <c r="F156" s="80" t="s">
        <v>200</v>
      </c>
      <c r="G156" s="76"/>
      <c r="H156" s="495"/>
      <c r="I156" s="473"/>
      <c r="J156" s="473"/>
      <c r="K156" s="481"/>
      <c r="L156" s="495"/>
      <c r="M156" s="495"/>
      <c r="N156" s="473"/>
      <c r="O156" s="473"/>
      <c r="P156" s="473"/>
      <c r="Q156" s="473"/>
      <c r="R156" s="473"/>
      <c r="S156" s="473"/>
      <c r="T156" s="482"/>
      <c r="U156" s="473"/>
      <c r="V156" s="473"/>
      <c r="W156" s="495"/>
      <c r="X156" s="495"/>
      <c r="Y156" s="495"/>
      <c r="Z156" s="495"/>
      <c r="AA156" s="495"/>
      <c r="AB156" s="495"/>
      <c r="AC156" s="495"/>
      <c r="AD156" s="495"/>
      <c r="AE156" s="495"/>
      <c r="AF156" s="495"/>
      <c r="AG156" s="495"/>
      <c r="AH156" s="495"/>
      <c r="AI156" s="473"/>
      <c r="AJ156" s="473"/>
      <c r="AK156" s="473"/>
      <c r="AL156" s="473"/>
      <c r="AM156" s="473"/>
      <c r="AN156" s="473"/>
      <c r="AO156" s="473"/>
      <c r="AP156" s="473"/>
      <c r="AQ156" s="473"/>
      <c r="AR156" s="473"/>
      <c r="AS156" s="473"/>
      <c r="AT156" s="473"/>
    </row>
    <row r="157" spans="1:46" ht="15" customHeight="1">
      <c r="A157" s="81"/>
      <c r="B157" s="82"/>
      <c r="C157" s="83"/>
      <c r="D157" s="84"/>
      <c r="E157" s="84"/>
      <c r="F157" s="85"/>
      <c r="G157" s="86"/>
      <c r="H157" s="473"/>
      <c r="I157" s="473"/>
      <c r="J157" s="473"/>
      <c r="K157" s="481"/>
      <c r="L157" s="473"/>
      <c r="M157" s="473"/>
      <c r="N157" s="473"/>
      <c r="O157" s="473"/>
      <c r="P157" s="473"/>
      <c r="Q157" s="473"/>
      <c r="R157" s="473"/>
      <c r="S157" s="473"/>
      <c r="T157" s="482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  <c r="AL157" s="473"/>
      <c r="AM157" s="473"/>
      <c r="AN157" s="473"/>
      <c r="AO157" s="473"/>
      <c r="AP157" s="473"/>
      <c r="AQ157" s="473"/>
      <c r="AR157" s="473"/>
      <c r="AS157" s="473"/>
      <c r="AT157" s="473"/>
    </row>
    <row r="158" spans="1:46" ht="15" customHeight="1">
      <c r="A158" s="636" t="s">
        <v>203</v>
      </c>
      <c r="B158" s="637"/>
      <c r="C158" s="637"/>
      <c r="D158" s="93"/>
      <c r="E158" s="93"/>
      <c r="F158" s="94"/>
      <c r="G158" s="95"/>
      <c r="H158" s="473"/>
      <c r="I158" s="473"/>
      <c r="J158" s="473"/>
      <c r="K158" s="481"/>
      <c r="L158" s="473"/>
      <c r="M158" s="473"/>
      <c r="N158" s="473"/>
      <c r="O158" s="473"/>
      <c r="P158" s="473"/>
      <c r="Q158" s="473"/>
      <c r="R158" s="473"/>
      <c r="S158" s="473"/>
      <c r="T158" s="482"/>
      <c r="U158" s="473"/>
      <c r="V158" s="473"/>
      <c r="W158" s="473"/>
      <c r="X158" s="473"/>
      <c r="Y158" s="473"/>
      <c r="Z158" s="473"/>
      <c r="AA158" s="473"/>
      <c r="AB158" s="473"/>
      <c r="AC158" s="473"/>
      <c r="AD158" s="473"/>
      <c r="AE158" s="473"/>
      <c r="AF158" s="473"/>
      <c r="AG158" s="473"/>
      <c r="AH158" s="473"/>
      <c r="AI158" s="473"/>
      <c r="AJ158" s="473"/>
      <c r="AK158" s="473"/>
      <c r="AL158" s="473"/>
      <c r="AM158" s="473"/>
      <c r="AN158" s="473"/>
      <c r="AO158" s="473"/>
      <c r="AP158" s="473"/>
      <c r="AQ158" s="473"/>
      <c r="AR158" s="473"/>
      <c r="AS158" s="473"/>
      <c r="AT158" s="473"/>
    </row>
    <row r="159" spans="1:46" ht="15" customHeight="1">
      <c r="A159" s="77" t="s">
        <v>204</v>
      </c>
      <c r="B159" s="78"/>
      <c r="C159" s="79"/>
      <c r="D159" s="582" t="str">
        <f>'11-Muk. Hesapları'!Z242</f>
        <v>UYGUNDUR.</v>
      </c>
      <c r="E159" s="583"/>
      <c r="F159" s="80" t="s">
        <v>205</v>
      </c>
      <c r="G159" s="76"/>
      <c r="H159" s="473"/>
      <c r="I159" s="473"/>
      <c r="J159" s="473"/>
      <c r="K159" s="481"/>
      <c r="L159" s="473"/>
      <c r="M159" s="473"/>
      <c r="N159" s="473"/>
      <c r="O159" s="473"/>
      <c r="P159" s="473"/>
      <c r="Q159" s="495"/>
      <c r="R159" s="495"/>
      <c r="S159" s="495"/>
      <c r="T159" s="490"/>
      <c r="U159" s="495"/>
      <c r="V159" s="495"/>
      <c r="W159" s="473"/>
      <c r="X159" s="473"/>
      <c r="Y159" s="473"/>
      <c r="Z159" s="473"/>
      <c r="AA159" s="473"/>
      <c r="AB159" s="473"/>
      <c r="AC159" s="473"/>
      <c r="AD159" s="473"/>
      <c r="AE159" s="473"/>
      <c r="AF159" s="473"/>
      <c r="AG159" s="473"/>
      <c r="AH159" s="473"/>
      <c r="AI159" s="473"/>
      <c r="AJ159" s="473"/>
      <c r="AK159" s="473"/>
      <c r="AL159" s="473"/>
      <c r="AM159" s="473"/>
      <c r="AN159" s="473"/>
      <c r="AO159" s="473"/>
      <c r="AP159" s="473"/>
      <c r="AQ159" s="473"/>
      <c r="AR159" s="473"/>
      <c r="AS159" s="473"/>
      <c r="AT159" s="473"/>
    </row>
    <row r="160" spans="1:46" ht="15" customHeight="1">
      <c r="A160" s="77" t="s">
        <v>206</v>
      </c>
      <c r="B160" s="78"/>
      <c r="C160" s="79"/>
      <c r="D160" s="582" t="str">
        <f>'11-Muk. Hesapları'!Z257</f>
        <v>UYGUNDUR.</v>
      </c>
      <c r="E160" s="583"/>
      <c r="F160" s="80" t="s">
        <v>207</v>
      </c>
      <c r="G160" s="76"/>
      <c r="H160" s="473"/>
      <c r="I160" s="473"/>
      <c r="J160" s="473"/>
      <c r="K160" s="481"/>
      <c r="L160" s="473"/>
      <c r="M160" s="473"/>
      <c r="N160" s="473"/>
      <c r="O160" s="473"/>
      <c r="P160" s="473"/>
      <c r="Q160" s="473"/>
      <c r="R160" s="473"/>
      <c r="S160" s="473"/>
      <c r="T160" s="482"/>
      <c r="U160" s="473"/>
      <c r="V160" s="473"/>
      <c r="W160" s="473"/>
      <c r="X160" s="473"/>
      <c r="Y160" s="473"/>
      <c r="Z160" s="473"/>
      <c r="AA160" s="473"/>
      <c r="AB160" s="473"/>
      <c r="AC160" s="473"/>
      <c r="AD160" s="473"/>
      <c r="AE160" s="473"/>
      <c r="AF160" s="473"/>
      <c r="AG160" s="473"/>
      <c r="AH160" s="473"/>
      <c r="AI160" s="473"/>
      <c r="AJ160" s="473"/>
      <c r="AK160" s="473"/>
      <c r="AL160" s="473"/>
      <c r="AM160" s="473"/>
      <c r="AN160" s="473"/>
      <c r="AO160" s="473"/>
      <c r="AP160" s="473"/>
      <c r="AQ160" s="473"/>
      <c r="AR160" s="473"/>
      <c r="AS160" s="473"/>
      <c r="AT160" s="473"/>
    </row>
    <row r="161" spans="1:46" ht="15" customHeight="1">
      <c r="A161" s="77" t="s">
        <v>208</v>
      </c>
      <c r="B161" s="78"/>
      <c r="C161" s="79"/>
      <c r="D161" s="582" t="str">
        <f>'11-Muk. Hesapları'!Z271</f>
        <v>UYGUNDUR.</v>
      </c>
      <c r="E161" s="583"/>
      <c r="F161" s="80" t="s">
        <v>207</v>
      </c>
      <c r="G161" s="76"/>
      <c r="H161" s="473"/>
      <c r="I161" s="473"/>
      <c r="J161" s="473"/>
      <c r="K161" s="481"/>
      <c r="L161" s="473"/>
      <c r="M161" s="473"/>
      <c r="N161" s="495"/>
      <c r="O161" s="495"/>
      <c r="P161" s="495"/>
      <c r="Q161" s="473"/>
      <c r="R161" s="473"/>
      <c r="S161" s="473"/>
      <c r="T161" s="482"/>
      <c r="U161" s="473"/>
      <c r="V161" s="473"/>
      <c r="W161" s="473"/>
      <c r="X161" s="473"/>
      <c r="Y161" s="473"/>
      <c r="Z161" s="473"/>
      <c r="AA161" s="473"/>
      <c r="AB161" s="473"/>
      <c r="AC161" s="473"/>
      <c r="AD161" s="473"/>
      <c r="AE161" s="473"/>
      <c r="AF161" s="473"/>
      <c r="AG161" s="473"/>
      <c r="AH161" s="473"/>
      <c r="AI161" s="473"/>
      <c r="AJ161" s="473"/>
      <c r="AK161" s="473"/>
      <c r="AL161" s="473"/>
      <c r="AM161" s="473"/>
      <c r="AN161" s="473"/>
      <c r="AO161" s="473"/>
      <c r="AP161" s="473"/>
      <c r="AQ161" s="473"/>
      <c r="AR161" s="473"/>
      <c r="AS161" s="473"/>
      <c r="AT161" s="473"/>
    </row>
    <row r="162" spans="1:46" ht="15" customHeight="1">
      <c r="A162" s="77" t="s">
        <v>209</v>
      </c>
      <c r="B162" s="78"/>
      <c r="C162" s="79"/>
      <c r="D162" s="582" t="str">
        <f>'11-Muk. Hesapları'!Z285</f>
        <v>UYGUNDUR.</v>
      </c>
      <c r="E162" s="583"/>
      <c r="F162" s="80" t="s">
        <v>207</v>
      </c>
      <c r="G162" s="76"/>
      <c r="H162" s="473"/>
      <c r="I162" s="473"/>
      <c r="J162" s="495"/>
      <c r="K162" s="481"/>
      <c r="L162" s="473"/>
      <c r="M162" s="473"/>
      <c r="N162" s="473"/>
      <c r="O162" s="473"/>
      <c r="P162" s="473"/>
      <c r="Q162" s="473"/>
      <c r="R162" s="473"/>
      <c r="S162" s="473"/>
      <c r="T162" s="482"/>
      <c r="U162" s="473"/>
      <c r="V162" s="473"/>
      <c r="W162" s="473"/>
      <c r="X162" s="473"/>
      <c r="Y162" s="473"/>
      <c r="Z162" s="473"/>
      <c r="AA162" s="473"/>
      <c r="AB162" s="473"/>
      <c r="AC162" s="473"/>
      <c r="AD162" s="473"/>
      <c r="AE162" s="473"/>
      <c r="AF162" s="473"/>
      <c r="AG162" s="473"/>
      <c r="AH162" s="473"/>
      <c r="AI162" s="473"/>
      <c r="AJ162" s="473"/>
      <c r="AK162" s="473"/>
      <c r="AL162" s="473"/>
      <c r="AM162" s="473"/>
      <c r="AN162" s="473"/>
      <c r="AO162" s="473"/>
      <c r="AP162" s="473"/>
      <c r="AQ162" s="473"/>
      <c r="AR162" s="473"/>
      <c r="AS162" s="473"/>
      <c r="AT162" s="473"/>
    </row>
    <row r="163" spans="1:46" ht="15" customHeight="1">
      <c r="A163" s="77"/>
      <c r="B163" s="78"/>
      <c r="C163" s="79"/>
      <c r="D163" s="582"/>
      <c r="E163" s="583"/>
      <c r="F163" s="536"/>
      <c r="G163" s="76"/>
      <c r="H163" s="495"/>
      <c r="I163" s="473"/>
      <c r="J163" s="473"/>
      <c r="K163" s="481"/>
      <c r="L163" s="495"/>
      <c r="M163" s="495"/>
      <c r="N163" s="473"/>
      <c r="O163" s="473"/>
      <c r="P163" s="473"/>
      <c r="Q163" s="473"/>
      <c r="R163" s="473"/>
      <c r="S163" s="473"/>
      <c r="T163" s="482"/>
      <c r="U163" s="473"/>
      <c r="V163" s="473"/>
      <c r="W163" s="495"/>
      <c r="X163" s="495"/>
      <c r="Y163" s="495"/>
      <c r="Z163" s="495"/>
      <c r="AA163" s="495"/>
      <c r="AB163" s="495"/>
      <c r="AC163" s="495"/>
      <c r="AD163" s="495"/>
      <c r="AE163" s="495"/>
      <c r="AF163" s="495"/>
      <c r="AG163" s="495"/>
      <c r="AH163" s="495"/>
      <c r="AI163" s="495"/>
      <c r="AJ163" s="495"/>
      <c r="AK163" s="473"/>
      <c r="AL163" s="473"/>
      <c r="AM163" s="473"/>
      <c r="AN163" s="473"/>
      <c r="AO163" s="473"/>
      <c r="AP163" s="473"/>
      <c r="AQ163" s="473"/>
      <c r="AR163" s="473"/>
      <c r="AS163" s="473"/>
      <c r="AT163" s="473"/>
    </row>
    <row r="164" spans="1:46" ht="15" customHeight="1">
      <c r="A164" s="81"/>
      <c r="B164" s="82"/>
      <c r="C164" s="83"/>
      <c r="D164" s="84"/>
      <c r="E164" s="84"/>
      <c r="F164" s="85"/>
      <c r="G164" s="86"/>
      <c r="H164" s="473"/>
      <c r="I164" s="473"/>
      <c r="J164" s="473"/>
      <c r="K164" s="481"/>
      <c r="L164" s="473"/>
      <c r="M164" s="473"/>
      <c r="N164" s="473"/>
      <c r="O164" s="473"/>
      <c r="P164" s="473"/>
      <c r="Q164" s="473"/>
      <c r="R164" s="473"/>
      <c r="S164" s="473"/>
      <c r="T164" s="482"/>
      <c r="U164" s="473"/>
      <c r="V164" s="473"/>
      <c r="W164" s="473"/>
      <c r="X164" s="473"/>
      <c r="Y164" s="473"/>
      <c r="Z164" s="473"/>
      <c r="AA164" s="473"/>
      <c r="AB164" s="473"/>
      <c r="AC164" s="473"/>
      <c r="AD164" s="473"/>
      <c r="AE164" s="473"/>
      <c r="AF164" s="473"/>
      <c r="AG164" s="473"/>
      <c r="AH164" s="473"/>
      <c r="AI164" s="473"/>
      <c r="AJ164" s="473"/>
      <c r="AK164" s="473"/>
      <c r="AL164" s="473"/>
      <c r="AM164" s="473"/>
      <c r="AN164" s="473"/>
      <c r="AO164" s="473"/>
      <c r="AP164" s="473"/>
      <c r="AQ164" s="473"/>
      <c r="AR164" s="473"/>
      <c r="AS164" s="473"/>
      <c r="AT164" s="473"/>
    </row>
    <row r="165" spans="1:46" ht="15" customHeight="1">
      <c r="A165" s="636" t="s">
        <v>210</v>
      </c>
      <c r="B165" s="637"/>
      <c r="C165" s="637"/>
      <c r="D165" s="93"/>
      <c r="E165" s="93"/>
      <c r="F165" s="94"/>
      <c r="G165" s="95"/>
      <c r="H165" s="473"/>
      <c r="I165" s="473"/>
      <c r="J165" s="473"/>
      <c r="K165" s="481"/>
      <c r="L165" s="473"/>
      <c r="M165" s="473"/>
      <c r="N165" s="473"/>
      <c r="O165" s="473"/>
      <c r="P165" s="473"/>
      <c r="Q165" s="473"/>
      <c r="R165" s="473"/>
      <c r="S165" s="473"/>
      <c r="T165" s="482"/>
      <c r="U165" s="473"/>
      <c r="V165" s="473"/>
      <c r="W165" s="473"/>
      <c r="X165" s="473"/>
      <c r="Y165" s="473"/>
      <c r="Z165" s="473"/>
      <c r="AA165" s="473"/>
      <c r="AB165" s="473"/>
      <c r="AC165" s="473"/>
      <c r="AD165" s="473"/>
      <c r="AE165" s="473"/>
      <c r="AF165" s="473"/>
      <c r="AG165" s="473"/>
      <c r="AH165" s="473"/>
      <c r="AI165" s="473"/>
      <c r="AJ165" s="473"/>
      <c r="AK165" s="473"/>
      <c r="AL165" s="473"/>
      <c r="AM165" s="473"/>
      <c r="AN165" s="473"/>
      <c r="AO165" s="473"/>
      <c r="AP165" s="473"/>
      <c r="AQ165" s="473"/>
      <c r="AR165" s="473"/>
      <c r="AS165" s="473"/>
      <c r="AT165" s="473"/>
    </row>
    <row r="166" spans="1:46" ht="15" customHeight="1">
      <c r="A166" s="96" t="s">
        <v>211</v>
      </c>
      <c r="B166" s="537"/>
      <c r="C166" s="538"/>
      <c r="D166" s="539"/>
      <c r="E166" s="539"/>
      <c r="F166" s="540"/>
      <c r="G166" s="76"/>
      <c r="H166" s="473"/>
      <c r="I166" s="473"/>
      <c r="J166" s="473"/>
      <c r="K166" s="481"/>
      <c r="L166" s="473"/>
      <c r="M166" s="473"/>
      <c r="N166" s="473"/>
      <c r="O166" s="473"/>
      <c r="P166" s="473"/>
      <c r="Q166" s="495"/>
      <c r="R166" s="495"/>
      <c r="S166" s="495"/>
      <c r="T166" s="490"/>
      <c r="U166" s="495"/>
      <c r="V166" s="495"/>
      <c r="W166" s="473"/>
      <c r="X166" s="473"/>
      <c r="Y166" s="473"/>
      <c r="Z166" s="473"/>
      <c r="AA166" s="473"/>
      <c r="AB166" s="473"/>
      <c r="AC166" s="473"/>
      <c r="AD166" s="473"/>
      <c r="AE166" s="473"/>
      <c r="AF166" s="473"/>
      <c r="AG166" s="473"/>
      <c r="AH166" s="473"/>
      <c r="AI166" s="473"/>
      <c r="AJ166" s="473"/>
      <c r="AK166" s="473"/>
      <c r="AL166" s="473"/>
      <c r="AM166" s="473"/>
      <c r="AN166" s="473"/>
      <c r="AO166" s="473"/>
      <c r="AP166" s="473"/>
      <c r="AQ166" s="473"/>
      <c r="AR166" s="473"/>
      <c r="AS166" s="473"/>
      <c r="AT166" s="473"/>
    </row>
    <row r="167" spans="1:46" ht="15" customHeight="1">
      <c r="A167" s="77" t="s">
        <v>212</v>
      </c>
      <c r="B167" s="78"/>
      <c r="C167" s="79"/>
      <c r="D167" s="582" t="str">
        <f>'11-Muk. Hesapları'!AV365</f>
        <v>UYGUNDUR.</v>
      </c>
      <c r="E167" s="583"/>
      <c r="F167" s="80" t="s">
        <v>213</v>
      </c>
      <c r="G167" s="76"/>
      <c r="H167" s="473"/>
      <c r="I167" s="473"/>
      <c r="J167" s="473"/>
      <c r="K167" s="481"/>
      <c r="L167" s="473"/>
      <c r="M167" s="473"/>
      <c r="N167" s="473"/>
      <c r="O167" s="473"/>
      <c r="P167" s="473"/>
      <c r="Q167" s="473"/>
      <c r="R167" s="473"/>
      <c r="S167" s="473"/>
      <c r="T167" s="482"/>
      <c r="U167" s="473"/>
      <c r="V167" s="473"/>
      <c r="W167" s="473"/>
      <c r="X167" s="473"/>
      <c r="Y167" s="473"/>
      <c r="Z167" s="473"/>
      <c r="AA167" s="473"/>
      <c r="AB167" s="473"/>
      <c r="AC167" s="473"/>
      <c r="AD167" s="473"/>
      <c r="AE167" s="473"/>
      <c r="AF167" s="473"/>
      <c r="AG167" s="473"/>
      <c r="AH167" s="473"/>
      <c r="AI167" s="473"/>
      <c r="AJ167" s="473"/>
      <c r="AK167" s="473"/>
      <c r="AL167" s="473"/>
      <c r="AM167" s="473"/>
      <c r="AN167" s="473"/>
      <c r="AO167" s="473"/>
      <c r="AP167" s="473"/>
      <c r="AQ167" s="473"/>
      <c r="AR167" s="473"/>
      <c r="AS167" s="473"/>
      <c r="AT167" s="473"/>
    </row>
    <row r="168" spans="1:46" ht="15" customHeight="1">
      <c r="A168" s="77" t="s">
        <v>214</v>
      </c>
      <c r="B168" s="78"/>
      <c r="C168" s="79"/>
      <c r="D168" s="582" t="str">
        <f>'11-Muk. Hesapları'!AV374</f>
        <v>UYGUNDUR.</v>
      </c>
      <c r="E168" s="583"/>
      <c r="F168" s="80" t="s">
        <v>213</v>
      </c>
      <c r="G168" s="76"/>
      <c r="H168" s="473"/>
      <c r="I168" s="473"/>
      <c r="J168" s="473"/>
      <c r="K168" s="481"/>
      <c r="L168" s="473"/>
      <c r="M168" s="473"/>
      <c r="N168" s="473"/>
      <c r="O168" s="473"/>
      <c r="P168" s="473"/>
      <c r="Q168" s="473"/>
      <c r="R168" s="473"/>
      <c r="S168" s="473"/>
      <c r="T168" s="482"/>
      <c r="U168" s="473"/>
      <c r="V168" s="473"/>
      <c r="W168" s="473"/>
      <c r="X168" s="473"/>
      <c r="Y168" s="473"/>
      <c r="Z168" s="473"/>
      <c r="AA168" s="473"/>
      <c r="AB168" s="473"/>
      <c r="AC168" s="473"/>
      <c r="AD168" s="473"/>
      <c r="AE168" s="473"/>
      <c r="AF168" s="473"/>
      <c r="AG168" s="473"/>
      <c r="AH168" s="473"/>
      <c r="AI168" s="473"/>
      <c r="AJ168" s="473"/>
      <c r="AK168" s="473"/>
      <c r="AL168" s="473"/>
      <c r="AM168" s="473"/>
      <c r="AN168" s="473"/>
      <c r="AO168" s="473"/>
      <c r="AP168" s="473"/>
      <c r="AQ168" s="473"/>
      <c r="AR168" s="473"/>
      <c r="AS168" s="473"/>
      <c r="AT168" s="473"/>
    </row>
    <row r="169" spans="1:46" ht="15" customHeight="1">
      <c r="A169" s="77" t="s">
        <v>215</v>
      </c>
      <c r="B169" s="78"/>
      <c r="C169" s="79"/>
      <c r="D169" s="582" t="str">
        <f>'11-Muk. Hesapları'!AL379</f>
        <v>UYGUNDUR.</v>
      </c>
      <c r="E169" s="583"/>
      <c r="F169" s="80" t="s">
        <v>213</v>
      </c>
      <c r="G169" s="76"/>
      <c r="H169" s="473"/>
      <c r="I169" s="473"/>
      <c r="J169" s="473"/>
      <c r="K169" s="481"/>
      <c r="L169" s="473"/>
      <c r="M169" s="473"/>
      <c r="N169" s="473"/>
      <c r="O169" s="473"/>
      <c r="P169" s="473"/>
      <c r="Q169" s="473"/>
      <c r="R169" s="473"/>
      <c r="S169" s="473"/>
      <c r="T169" s="482"/>
      <c r="U169" s="473"/>
      <c r="V169" s="473"/>
      <c r="W169" s="473"/>
      <c r="X169" s="473"/>
      <c r="Y169" s="473"/>
      <c r="Z169" s="473"/>
      <c r="AA169" s="473"/>
      <c r="AB169" s="473"/>
      <c r="AC169" s="473"/>
      <c r="AD169" s="473"/>
      <c r="AE169" s="473"/>
      <c r="AF169" s="473"/>
      <c r="AG169" s="473"/>
      <c r="AH169" s="473"/>
      <c r="AI169" s="473"/>
      <c r="AJ169" s="473"/>
      <c r="AK169" s="473"/>
      <c r="AL169" s="473"/>
      <c r="AM169" s="473"/>
      <c r="AN169" s="473"/>
      <c r="AO169" s="473"/>
      <c r="AP169" s="473"/>
      <c r="AQ169" s="473"/>
      <c r="AR169" s="473"/>
      <c r="AS169" s="473"/>
      <c r="AT169" s="473"/>
    </row>
    <row r="170" spans="1:46" ht="15" customHeight="1">
      <c r="A170" s="77" t="s">
        <v>216</v>
      </c>
      <c r="B170" s="78"/>
      <c r="C170" s="79"/>
      <c r="D170" s="582" t="str">
        <f>'11-Muk. Hesapları'!AL384</f>
        <v>UYGUNDUR.</v>
      </c>
      <c r="E170" s="583"/>
      <c r="F170" s="80" t="s">
        <v>213</v>
      </c>
      <c r="G170" s="76"/>
      <c r="H170" s="473"/>
      <c r="I170" s="473"/>
      <c r="J170" s="473"/>
      <c r="K170" s="481"/>
      <c r="L170" s="473"/>
      <c r="M170" s="473"/>
      <c r="N170" s="473"/>
      <c r="O170" s="473"/>
      <c r="P170" s="473"/>
      <c r="Q170" s="473"/>
      <c r="R170" s="473"/>
      <c r="S170" s="473"/>
      <c r="T170" s="482"/>
      <c r="U170" s="473"/>
      <c r="V170" s="473"/>
      <c r="W170" s="473"/>
      <c r="X170" s="473"/>
      <c r="Y170" s="473"/>
      <c r="Z170" s="473"/>
      <c r="AA170" s="473"/>
      <c r="AB170" s="473"/>
      <c r="AC170" s="473"/>
      <c r="AD170" s="473"/>
      <c r="AE170" s="473"/>
      <c r="AF170" s="473"/>
      <c r="AG170" s="473"/>
      <c r="AH170" s="473"/>
      <c r="AI170" s="473"/>
      <c r="AJ170" s="473"/>
      <c r="AK170" s="473"/>
      <c r="AL170" s="473"/>
      <c r="AM170" s="473"/>
      <c r="AN170" s="473"/>
      <c r="AO170" s="473"/>
      <c r="AP170" s="473"/>
      <c r="AQ170" s="473"/>
      <c r="AR170" s="473"/>
      <c r="AS170" s="473"/>
      <c r="AT170" s="473"/>
    </row>
    <row r="171" spans="1:46" ht="15" customHeight="1">
      <c r="A171" s="97" t="s">
        <v>217</v>
      </c>
      <c r="B171" s="78"/>
      <c r="C171" s="79"/>
      <c r="D171" s="582" t="str">
        <f>'11-Muk. Hesapları'!AQ393</f>
        <v>UYGUNDUR.</v>
      </c>
      <c r="E171" s="583"/>
      <c r="F171" s="80" t="s">
        <v>213</v>
      </c>
      <c r="G171" s="76"/>
      <c r="H171" s="473"/>
      <c r="I171" s="473"/>
      <c r="J171" s="473"/>
      <c r="K171" s="481"/>
      <c r="L171" s="473"/>
      <c r="M171" s="473"/>
      <c r="N171" s="473"/>
      <c r="O171" s="473"/>
      <c r="P171" s="473"/>
      <c r="Q171" s="473"/>
      <c r="R171" s="473"/>
      <c r="S171" s="473"/>
      <c r="T171" s="482"/>
      <c r="U171" s="473"/>
      <c r="V171" s="473"/>
      <c r="W171" s="473"/>
      <c r="X171" s="473"/>
      <c r="Y171" s="473"/>
      <c r="Z171" s="473"/>
      <c r="AA171" s="473"/>
      <c r="AB171" s="473"/>
      <c r="AC171" s="473"/>
      <c r="AD171" s="473"/>
      <c r="AE171" s="473"/>
      <c r="AF171" s="473"/>
      <c r="AG171" s="473"/>
      <c r="AH171" s="473"/>
      <c r="AI171" s="473"/>
      <c r="AJ171" s="473"/>
      <c r="AK171" s="473"/>
      <c r="AL171" s="473"/>
      <c r="AM171" s="473"/>
      <c r="AN171" s="473"/>
      <c r="AO171" s="473"/>
      <c r="AP171" s="473"/>
      <c r="AQ171" s="473"/>
      <c r="AR171" s="473"/>
      <c r="AS171" s="473"/>
      <c r="AT171" s="473"/>
    </row>
    <row r="172" spans="1:46" ht="15" customHeight="1">
      <c r="A172" s="97" t="s">
        <v>218</v>
      </c>
      <c r="B172" s="78"/>
      <c r="C172" s="79"/>
      <c r="D172" s="582" t="str">
        <f>'11-Muk. Hesapları'!AQ396</f>
        <v>UYGUNDUR.</v>
      </c>
      <c r="E172" s="583"/>
      <c r="F172" s="80" t="s">
        <v>213</v>
      </c>
      <c r="G172" s="76"/>
      <c r="H172" s="473"/>
      <c r="I172" s="473"/>
      <c r="J172" s="473"/>
      <c r="K172" s="481"/>
      <c r="L172" s="473"/>
      <c r="M172" s="473"/>
      <c r="N172" s="473"/>
      <c r="O172" s="473"/>
      <c r="P172" s="473"/>
      <c r="Q172" s="473"/>
      <c r="R172" s="473"/>
      <c r="S172" s="473"/>
      <c r="T172" s="482"/>
      <c r="U172" s="473"/>
      <c r="V172" s="473"/>
      <c r="W172" s="473"/>
      <c r="X172" s="473"/>
      <c r="Y172" s="473"/>
      <c r="Z172" s="473"/>
      <c r="AA172" s="473"/>
      <c r="AB172" s="473"/>
      <c r="AC172" s="473"/>
      <c r="AD172" s="473"/>
      <c r="AE172" s="473"/>
      <c r="AF172" s="473"/>
      <c r="AG172" s="473"/>
      <c r="AH172" s="473"/>
      <c r="AI172" s="473"/>
      <c r="AJ172" s="473"/>
      <c r="AK172" s="473"/>
      <c r="AL172" s="473"/>
      <c r="AM172" s="473"/>
      <c r="AN172" s="473"/>
      <c r="AO172" s="473"/>
      <c r="AP172" s="473"/>
      <c r="AQ172" s="473"/>
      <c r="AR172" s="473"/>
      <c r="AS172" s="473"/>
      <c r="AT172" s="473"/>
    </row>
    <row r="173" spans="1:46" ht="15" customHeight="1">
      <c r="A173" s="97" t="s">
        <v>219</v>
      </c>
      <c r="B173" s="78"/>
      <c r="C173" s="79"/>
      <c r="D173" s="582" t="str">
        <f>'11-Muk. Hesapları'!AQ401</f>
        <v>UYGUNDUR.</v>
      </c>
      <c r="E173" s="583"/>
      <c r="F173" s="80" t="s">
        <v>213</v>
      </c>
      <c r="G173" s="76"/>
      <c r="H173" s="473"/>
      <c r="I173" s="473"/>
      <c r="J173" s="473"/>
      <c r="K173" s="481"/>
      <c r="L173" s="473"/>
      <c r="M173" s="473"/>
      <c r="N173" s="473"/>
      <c r="O173" s="473"/>
      <c r="P173" s="473"/>
      <c r="Q173" s="473"/>
      <c r="R173" s="473"/>
      <c r="S173" s="473"/>
      <c r="T173" s="482"/>
      <c r="U173" s="473"/>
      <c r="V173" s="473"/>
      <c r="W173" s="473"/>
      <c r="X173" s="473"/>
      <c r="Y173" s="473"/>
      <c r="Z173" s="473"/>
      <c r="AA173" s="473"/>
      <c r="AB173" s="473"/>
      <c r="AC173" s="473"/>
      <c r="AD173" s="473"/>
      <c r="AE173" s="473"/>
      <c r="AF173" s="473"/>
      <c r="AG173" s="473"/>
      <c r="AH173" s="473"/>
      <c r="AI173" s="473"/>
      <c r="AJ173" s="473"/>
      <c r="AK173" s="473"/>
      <c r="AL173" s="473"/>
      <c r="AM173" s="473"/>
      <c r="AN173" s="473"/>
      <c r="AO173" s="473"/>
      <c r="AP173" s="473"/>
      <c r="AQ173" s="473"/>
      <c r="AR173" s="473"/>
      <c r="AS173" s="473"/>
      <c r="AT173" s="473"/>
    </row>
    <row r="174" spans="1:46" ht="15" customHeight="1">
      <c r="A174" s="97" t="s">
        <v>220</v>
      </c>
      <c r="B174" s="78"/>
      <c r="C174" s="79"/>
      <c r="D174" s="582" t="str">
        <f>'11-Muk. Hesapları'!AQ404</f>
        <v>UYGUNDUR.</v>
      </c>
      <c r="E174" s="583"/>
      <c r="F174" s="80" t="s">
        <v>213</v>
      </c>
      <c r="G174" s="76"/>
      <c r="H174" s="473"/>
      <c r="I174" s="473"/>
      <c r="J174" s="473"/>
      <c r="K174" s="481"/>
      <c r="L174" s="473"/>
      <c r="M174" s="473"/>
      <c r="N174" s="473"/>
      <c r="O174" s="473"/>
      <c r="P174" s="473"/>
      <c r="Q174" s="473"/>
      <c r="R174" s="473"/>
      <c r="S174" s="473"/>
      <c r="T174" s="482"/>
      <c r="U174" s="473"/>
      <c r="V174" s="473"/>
      <c r="W174" s="473"/>
      <c r="X174" s="473"/>
      <c r="Y174" s="473"/>
      <c r="Z174" s="473"/>
      <c r="AA174" s="473"/>
      <c r="AB174" s="473"/>
      <c r="AC174" s="473"/>
      <c r="AD174" s="473"/>
      <c r="AE174" s="473"/>
      <c r="AF174" s="473"/>
      <c r="AG174" s="473"/>
      <c r="AH174" s="473"/>
      <c r="AI174" s="473"/>
      <c r="AJ174" s="473"/>
      <c r="AK174" s="473"/>
      <c r="AL174" s="473"/>
      <c r="AM174" s="473"/>
      <c r="AN174" s="473"/>
      <c r="AO174" s="473"/>
      <c r="AP174" s="473"/>
      <c r="AQ174" s="473"/>
      <c r="AR174" s="473"/>
      <c r="AS174" s="473"/>
      <c r="AT174" s="473"/>
    </row>
    <row r="175" spans="1:46" ht="15" customHeight="1">
      <c r="A175" s="98"/>
      <c r="B175" s="82"/>
      <c r="C175" s="83"/>
      <c r="D175" s="84"/>
      <c r="E175" s="84"/>
      <c r="F175" s="85"/>
      <c r="G175" s="86"/>
      <c r="H175" s="473"/>
      <c r="I175" s="473"/>
      <c r="J175" s="473"/>
      <c r="K175" s="481"/>
      <c r="L175" s="473"/>
      <c r="M175" s="473"/>
      <c r="N175" s="473"/>
      <c r="O175" s="473"/>
      <c r="P175" s="473"/>
      <c r="Q175" s="473"/>
      <c r="R175" s="473"/>
      <c r="S175" s="473"/>
      <c r="T175" s="482"/>
      <c r="U175" s="473"/>
      <c r="V175" s="473"/>
      <c r="W175" s="473"/>
      <c r="X175" s="473"/>
      <c r="Y175" s="473"/>
      <c r="Z175" s="473"/>
      <c r="AA175" s="473"/>
      <c r="AB175" s="473"/>
      <c r="AC175" s="473"/>
      <c r="AD175" s="473"/>
      <c r="AE175" s="473"/>
      <c r="AF175" s="473"/>
      <c r="AG175" s="473"/>
      <c r="AH175" s="473"/>
      <c r="AI175" s="473"/>
      <c r="AJ175" s="473"/>
      <c r="AK175" s="473"/>
      <c r="AL175" s="473"/>
      <c r="AM175" s="473"/>
      <c r="AN175" s="473"/>
      <c r="AO175" s="473"/>
      <c r="AP175" s="473"/>
      <c r="AQ175" s="473"/>
      <c r="AR175" s="473"/>
      <c r="AS175" s="473"/>
      <c r="AT175" s="473"/>
    </row>
    <row r="176" spans="1:46" ht="15" customHeight="1">
      <c r="A176" s="99" t="s">
        <v>221</v>
      </c>
      <c r="B176" s="72"/>
      <c r="C176" s="73"/>
      <c r="D176" s="74"/>
      <c r="E176" s="74"/>
      <c r="F176" s="75"/>
      <c r="G176" s="76"/>
      <c r="H176" s="473"/>
      <c r="I176" s="473"/>
      <c r="J176" s="473"/>
      <c r="K176" s="481"/>
      <c r="L176" s="473"/>
      <c r="M176" s="473"/>
      <c r="N176" s="473"/>
      <c r="O176" s="473"/>
      <c r="P176" s="473"/>
      <c r="Q176" s="473"/>
      <c r="R176" s="473"/>
      <c r="S176" s="473"/>
      <c r="T176" s="482"/>
      <c r="U176" s="473"/>
      <c r="V176" s="473"/>
      <c r="W176" s="473"/>
      <c r="X176" s="473"/>
      <c r="Y176" s="473"/>
      <c r="Z176" s="473"/>
      <c r="AA176" s="473"/>
      <c r="AB176" s="473"/>
      <c r="AC176" s="473"/>
      <c r="AD176" s="473"/>
      <c r="AE176" s="473"/>
      <c r="AF176" s="473"/>
      <c r="AG176" s="473"/>
      <c r="AH176" s="473"/>
      <c r="AI176" s="473"/>
      <c r="AJ176" s="473"/>
      <c r="AK176" s="473"/>
      <c r="AL176" s="473"/>
      <c r="AM176" s="473"/>
      <c r="AN176" s="473"/>
      <c r="AO176" s="473"/>
      <c r="AP176" s="473"/>
      <c r="AQ176" s="473"/>
      <c r="AR176" s="473"/>
      <c r="AS176" s="473"/>
      <c r="AT176" s="473"/>
    </row>
    <row r="177" spans="1:46" ht="15" customHeight="1">
      <c r="A177" s="77" t="s">
        <v>222</v>
      </c>
      <c r="B177" s="78"/>
      <c r="C177" s="79"/>
      <c r="D177" s="582" t="str">
        <f>'11-Muk. Hesapları'!AO463</f>
        <v>UYGUNDUR.</v>
      </c>
      <c r="E177" s="583"/>
      <c r="F177" s="80" t="s">
        <v>223</v>
      </c>
      <c r="G177" s="76"/>
      <c r="H177" s="473"/>
      <c r="I177" s="473"/>
      <c r="J177" s="473"/>
      <c r="K177" s="481"/>
      <c r="L177" s="473"/>
      <c r="M177" s="473"/>
      <c r="N177" s="473"/>
      <c r="O177" s="473"/>
      <c r="P177" s="473"/>
      <c r="Q177" s="473"/>
      <c r="R177" s="473"/>
      <c r="S177" s="473"/>
      <c r="T177" s="482"/>
      <c r="U177" s="473"/>
      <c r="V177" s="473"/>
      <c r="W177" s="473"/>
      <c r="X177" s="473"/>
      <c r="Y177" s="473"/>
      <c r="Z177" s="473"/>
      <c r="AA177" s="473"/>
      <c r="AB177" s="473"/>
      <c r="AC177" s="473"/>
      <c r="AD177" s="473"/>
      <c r="AE177" s="473"/>
      <c r="AF177" s="473"/>
      <c r="AG177" s="473"/>
      <c r="AH177" s="473"/>
      <c r="AI177" s="473"/>
      <c r="AJ177" s="473"/>
      <c r="AK177" s="473"/>
      <c r="AL177" s="473"/>
      <c r="AM177" s="473"/>
      <c r="AN177" s="473"/>
      <c r="AO177" s="473"/>
      <c r="AP177" s="473"/>
      <c r="AQ177" s="473"/>
      <c r="AR177" s="473"/>
      <c r="AS177" s="473"/>
      <c r="AT177" s="473"/>
    </row>
    <row r="178" spans="1:46" ht="15" customHeight="1">
      <c r="A178" s="77" t="s">
        <v>224</v>
      </c>
      <c r="B178" s="78"/>
      <c r="C178" s="79"/>
      <c r="D178" s="582" t="str">
        <f>'11-Muk. Hesapları'!AS470</f>
        <v>UYGUNDUR.</v>
      </c>
      <c r="E178" s="583"/>
      <c r="F178" s="80" t="s">
        <v>223</v>
      </c>
      <c r="G178" s="76"/>
      <c r="H178" s="473"/>
      <c r="I178" s="473"/>
      <c r="J178" s="473"/>
      <c r="K178" s="481"/>
      <c r="L178" s="473"/>
      <c r="M178" s="473"/>
      <c r="N178" s="473"/>
      <c r="O178" s="473"/>
      <c r="P178" s="473"/>
      <c r="Q178" s="473"/>
      <c r="R178" s="473"/>
      <c r="S178" s="473"/>
      <c r="T178" s="482"/>
      <c r="U178" s="473"/>
      <c r="V178" s="473"/>
      <c r="W178" s="473"/>
      <c r="X178" s="473"/>
      <c r="Y178" s="473"/>
      <c r="Z178" s="473"/>
      <c r="AA178" s="473"/>
      <c r="AB178" s="473"/>
      <c r="AC178" s="473"/>
      <c r="AD178" s="473"/>
      <c r="AE178" s="473"/>
      <c r="AF178" s="473"/>
      <c r="AG178" s="473"/>
      <c r="AH178" s="473"/>
      <c r="AI178" s="473"/>
      <c r="AJ178" s="473"/>
      <c r="AK178" s="473"/>
      <c r="AL178" s="473"/>
      <c r="AM178" s="473"/>
      <c r="AN178" s="473"/>
      <c r="AO178" s="473"/>
      <c r="AP178" s="473"/>
      <c r="AQ178" s="473"/>
      <c r="AR178" s="473"/>
      <c r="AS178" s="473"/>
      <c r="AT178" s="473"/>
    </row>
    <row r="179" spans="1:46" ht="15" customHeight="1">
      <c r="A179" s="77" t="s">
        <v>215</v>
      </c>
      <c r="B179" s="78"/>
      <c r="C179" s="79"/>
      <c r="D179" s="582" t="str">
        <f>'11-Muk. Hesapları'!AL476</f>
        <v>UYGUNDUR.</v>
      </c>
      <c r="E179" s="583"/>
      <c r="F179" s="80" t="s">
        <v>225</v>
      </c>
      <c r="G179" s="76"/>
      <c r="H179" s="473"/>
      <c r="I179" s="473"/>
      <c r="J179" s="473"/>
      <c r="K179" s="481"/>
      <c r="L179" s="473"/>
      <c r="M179" s="473"/>
      <c r="N179" s="473"/>
      <c r="O179" s="473"/>
      <c r="P179" s="473"/>
      <c r="Q179" s="473"/>
      <c r="R179" s="473"/>
      <c r="S179" s="473"/>
      <c r="T179" s="482"/>
      <c r="U179" s="473"/>
      <c r="V179" s="473"/>
      <c r="W179" s="473"/>
      <c r="X179" s="473"/>
      <c r="Y179" s="473"/>
      <c r="Z179" s="473"/>
      <c r="AA179" s="473"/>
      <c r="AB179" s="473"/>
      <c r="AC179" s="473"/>
      <c r="AD179" s="473"/>
      <c r="AE179" s="473"/>
      <c r="AF179" s="473"/>
      <c r="AG179" s="473"/>
      <c r="AH179" s="473"/>
      <c r="AI179" s="473"/>
      <c r="AJ179" s="473"/>
      <c r="AK179" s="473"/>
      <c r="AL179" s="473"/>
      <c r="AM179" s="473"/>
      <c r="AN179" s="473"/>
      <c r="AO179" s="473"/>
      <c r="AP179" s="473"/>
      <c r="AQ179" s="473"/>
      <c r="AR179" s="473"/>
      <c r="AS179" s="473"/>
      <c r="AT179" s="473"/>
    </row>
    <row r="180" spans="1:46" ht="15" customHeight="1">
      <c r="A180" s="77" t="s">
        <v>216</v>
      </c>
      <c r="B180" s="78"/>
      <c r="C180" s="79"/>
      <c r="D180" s="582" t="str">
        <f>'11-Muk. Hesapları'!AL481</f>
        <v>UYGUNDUR.</v>
      </c>
      <c r="E180" s="583"/>
      <c r="F180" s="80" t="s">
        <v>225</v>
      </c>
      <c r="G180" s="76"/>
      <c r="H180" s="473"/>
      <c r="I180" s="495"/>
      <c r="J180" s="473"/>
      <c r="K180" s="495"/>
      <c r="L180" s="473"/>
      <c r="M180" s="473"/>
      <c r="N180" s="473"/>
      <c r="O180" s="473"/>
      <c r="P180" s="473"/>
      <c r="Q180" s="473"/>
      <c r="R180" s="473"/>
      <c r="S180" s="473"/>
      <c r="T180" s="482"/>
      <c r="U180" s="473"/>
      <c r="V180" s="473"/>
      <c r="W180" s="473"/>
      <c r="X180" s="473"/>
      <c r="Y180" s="473"/>
      <c r="Z180" s="473"/>
      <c r="AA180" s="473"/>
      <c r="AB180" s="473"/>
      <c r="AC180" s="473"/>
      <c r="AD180" s="473"/>
      <c r="AE180" s="473"/>
      <c r="AF180" s="473"/>
      <c r="AG180" s="473"/>
      <c r="AH180" s="473"/>
      <c r="AI180" s="473"/>
      <c r="AJ180" s="473"/>
      <c r="AK180" s="473"/>
      <c r="AL180" s="473"/>
      <c r="AM180" s="473"/>
      <c r="AN180" s="473"/>
      <c r="AO180" s="473"/>
      <c r="AP180" s="473"/>
      <c r="AQ180" s="473"/>
      <c r="AR180" s="473"/>
      <c r="AS180" s="473"/>
      <c r="AT180" s="473"/>
    </row>
    <row r="181" spans="1:46" ht="15" customHeight="1">
      <c r="A181" s="97" t="s">
        <v>217</v>
      </c>
      <c r="B181" s="78"/>
      <c r="C181" s="79"/>
      <c r="D181" s="582" t="str">
        <f>'11-Muk. Hesapları'!AQ487</f>
        <v>UYGUNDUR.</v>
      </c>
      <c r="E181" s="583"/>
      <c r="F181" s="80" t="s">
        <v>225</v>
      </c>
      <c r="G181" s="76"/>
      <c r="H181" s="473"/>
      <c r="I181" s="473"/>
      <c r="J181" s="473"/>
      <c r="K181" s="481"/>
      <c r="L181" s="473"/>
      <c r="M181" s="473"/>
      <c r="N181" s="473"/>
      <c r="O181" s="473"/>
      <c r="P181" s="473"/>
      <c r="Q181" s="473"/>
      <c r="R181" s="473"/>
      <c r="S181" s="473"/>
      <c r="T181" s="482"/>
      <c r="U181" s="473"/>
      <c r="V181" s="473"/>
      <c r="W181" s="473"/>
      <c r="X181" s="473"/>
      <c r="Y181" s="473"/>
      <c r="Z181" s="473"/>
      <c r="AA181" s="473"/>
      <c r="AB181" s="473"/>
      <c r="AC181" s="473"/>
      <c r="AD181" s="473"/>
      <c r="AE181" s="473"/>
      <c r="AF181" s="473"/>
      <c r="AG181" s="473"/>
      <c r="AH181" s="473"/>
      <c r="AI181" s="473"/>
      <c r="AJ181" s="473"/>
      <c r="AK181" s="473"/>
      <c r="AL181" s="473"/>
      <c r="AM181" s="473"/>
      <c r="AN181" s="473"/>
      <c r="AO181" s="473"/>
      <c r="AP181" s="473"/>
      <c r="AQ181" s="473"/>
      <c r="AR181" s="473"/>
      <c r="AS181" s="473"/>
      <c r="AT181" s="473"/>
    </row>
    <row r="182" spans="1:46" ht="15" customHeight="1">
      <c r="A182" s="97" t="s">
        <v>218</v>
      </c>
      <c r="B182" s="78"/>
      <c r="C182" s="79"/>
      <c r="D182" s="582" t="str">
        <f>'11-Muk. Hesapları'!AQ490</f>
        <v>UYGUNDUR.</v>
      </c>
      <c r="E182" s="583"/>
      <c r="F182" s="80" t="s">
        <v>225</v>
      </c>
      <c r="G182" s="76"/>
      <c r="H182" s="473"/>
      <c r="I182" s="473"/>
      <c r="J182" s="473"/>
      <c r="K182" s="481"/>
      <c r="L182" s="473"/>
      <c r="M182" s="473"/>
      <c r="N182" s="473"/>
      <c r="O182" s="473"/>
      <c r="P182" s="473"/>
      <c r="Q182" s="473"/>
      <c r="R182" s="473"/>
      <c r="S182" s="473"/>
      <c r="T182" s="482"/>
      <c r="U182" s="473"/>
      <c r="V182" s="473"/>
      <c r="W182" s="473"/>
      <c r="X182" s="473"/>
      <c r="Y182" s="473"/>
      <c r="Z182" s="473"/>
      <c r="AA182" s="473"/>
      <c r="AB182" s="473"/>
      <c r="AC182" s="473"/>
      <c r="AD182" s="473"/>
      <c r="AE182" s="473"/>
      <c r="AF182" s="473"/>
      <c r="AG182" s="473"/>
      <c r="AH182" s="473"/>
      <c r="AI182" s="473"/>
      <c r="AJ182" s="473"/>
      <c r="AK182" s="473"/>
      <c r="AL182" s="473"/>
      <c r="AM182" s="473"/>
      <c r="AN182" s="473"/>
      <c r="AO182" s="473"/>
      <c r="AP182" s="473"/>
      <c r="AQ182" s="473"/>
      <c r="AR182" s="473"/>
      <c r="AS182" s="473"/>
      <c r="AT182" s="473"/>
    </row>
    <row r="183" spans="1:46" ht="15" customHeight="1">
      <c r="A183" s="97" t="s">
        <v>226</v>
      </c>
      <c r="B183" s="78"/>
      <c r="C183" s="79"/>
      <c r="D183" s="582" t="str">
        <f>'11-Muk. Hesapları'!AQ495</f>
        <v>UYGUNDUR.</v>
      </c>
      <c r="E183" s="583"/>
      <c r="F183" s="80" t="s">
        <v>225</v>
      </c>
      <c r="G183" s="76"/>
      <c r="H183" s="473"/>
      <c r="I183" s="473"/>
      <c r="J183" s="473"/>
      <c r="K183" s="481"/>
      <c r="L183" s="473"/>
      <c r="M183" s="473"/>
      <c r="N183" s="473"/>
      <c r="O183" s="473"/>
      <c r="P183" s="473"/>
      <c r="Q183" s="473"/>
      <c r="R183" s="473"/>
      <c r="S183" s="473"/>
      <c r="T183" s="482"/>
      <c r="U183" s="473"/>
      <c r="V183" s="473"/>
      <c r="W183" s="473"/>
      <c r="X183" s="473"/>
      <c r="Y183" s="473"/>
      <c r="Z183" s="473"/>
      <c r="AA183" s="473"/>
      <c r="AB183" s="473"/>
      <c r="AC183" s="473"/>
      <c r="AD183" s="473"/>
      <c r="AE183" s="473"/>
      <c r="AF183" s="473"/>
      <c r="AG183" s="473"/>
      <c r="AH183" s="473"/>
      <c r="AI183" s="473"/>
      <c r="AJ183" s="473"/>
      <c r="AK183" s="473"/>
      <c r="AL183" s="473"/>
      <c r="AM183" s="473"/>
      <c r="AN183" s="473"/>
      <c r="AO183" s="473"/>
      <c r="AP183" s="473"/>
      <c r="AQ183" s="473"/>
      <c r="AR183" s="473"/>
      <c r="AS183" s="473"/>
      <c r="AT183" s="473"/>
    </row>
    <row r="184" spans="1:46" ht="15" customHeight="1">
      <c r="A184" s="97" t="s">
        <v>220</v>
      </c>
      <c r="B184" s="78"/>
      <c r="C184" s="79"/>
      <c r="D184" s="582" t="str">
        <f>'11-Muk. Hesapları'!AQ498</f>
        <v>UYGUNDUR.</v>
      </c>
      <c r="E184" s="583"/>
      <c r="F184" s="80" t="s">
        <v>225</v>
      </c>
      <c r="G184" s="76"/>
      <c r="H184" s="473"/>
      <c r="I184" s="473"/>
      <c r="J184" s="473"/>
      <c r="K184" s="481"/>
      <c r="L184" s="473"/>
      <c r="M184" s="473"/>
      <c r="N184" s="473"/>
      <c r="O184" s="473"/>
      <c r="P184" s="473"/>
      <c r="Q184" s="473"/>
      <c r="R184" s="473"/>
      <c r="S184" s="473"/>
      <c r="T184" s="482"/>
      <c r="U184" s="473"/>
      <c r="V184" s="473"/>
      <c r="W184" s="473"/>
      <c r="X184" s="473"/>
      <c r="Y184" s="473"/>
      <c r="Z184" s="473"/>
      <c r="AA184" s="473"/>
      <c r="AB184" s="473"/>
      <c r="AC184" s="473"/>
      <c r="AD184" s="473"/>
      <c r="AE184" s="473"/>
      <c r="AF184" s="473"/>
      <c r="AG184" s="473"/>
      <c r="AH184" s="473"/>
      <c r="AI184" s="473"/>
      <c r="AJ184" s="473"/>
      <c r="AK184" s="473"/>
      <c r="AL184" s="473"/>
      <c r="AM184" s="473"/>
      <c r="AN184" s="473"/>
      <c r="AO184" s="473"/>
      <c r="AP184" s="473"/>
      <c r="AQ184" s="473"/>
      <c r="AR184" s="473"/>
      <c r="AS184" s="473"/>
      <c r="AT184" s="473"/>
    </row>
    <row r="185" spans="1:46" ht="15" customHeight="1">
      <c r="A185" s="98"/>
      <c r="B185" s="82"/>
      <c r="C185" s="83"/>
      <c r="D185" s="84"/>
      <c r="E185" s="84"/>
      <c r="F185" s="85"/>
      <c r="G185" s="86"/>
      <c r="H185" s="473"/>
      <c r="I185" s="473"/>
      <c r="J185" s="473"/>
      <c r="K185" s="481"/>
      <c r="L185" s="473"/>
      <c r="M185" s="473"/>
      <c r="N185" s="473"/>
      <c r="O185" s="473"/>
      <c r="P185" s="473"/>
      <c r="Q185" s="473"/>
      <c r="R185" s="473"/>
      <c r="S185" s="473"/>
      <c r="T185" s="482"/>
      <c r="U185" s="473"/>
      <c r="V185" s="473"/>
      <c r="W185" s="473"/>
      <c r="X185" s="473"/>
      <c r="Y185" s="473"/>
      <c r="Z185" s="473"/>
      <c r="AA185" s="473"/>
      <c r="AB185" s="473"/>
      <c r="AC185" s="473"/>
      <c r="AD185" s="473"/>
      <c r="AE185" s="473"/>
      <c r="AF185" s="473"/>
      <c r="AG185" s="473"/>
      <c r="AH185" s="473"/>
      <c r="AI185" s="473"/>
      <c r="AJ185" s="473"/>
      <c r="AK185" s="473"/>
      <c r="AL185" s="473"/>
      <c r="AM185" s="473"/>
      <c r="AN185" s="473"/>
      <c r="AO185" s="473"/>
      <c r="AP185" s="473"/>
      <c r="AQ185" s="473"/>
      <c r="AR185" s="473"/>
      <c r="AS185" s="473"/>
      <c r="AT185" s="473"/>
    </row>
    <row r="186" spans="1:46" ht="15" customHeight="1">
      <c r="A186" s="96" t="s">
        <v>227</v>
      </c>
      <c r="B186" s="537"/>
      <c r="C186" s="538"/>
      <c r="D186" s="539"/>
      <c r="E186" s="539"/>
      <c r="F186" s="540"/>
      <c r="G186" s="76"/>
      <c r="H186" s="473"/>
      <c r="I186" s="473"/>
      <c r="J186" s="473"/>
      <c r="K186" s="481"/>
      <c r="L186" s="473"/>
      <c r="M186" s="473"/>
      <c r="N186" s="473"/>
      <c r="O186" s="473"/>
      <c r="P186" s="473"/>
      <c r="Q186" s="473"/>
      <c r="R186" s="473"/>
      <c r="S186" s="473"/>
      <c r="T186" s="482"/>
      <c r="U186" s="473"/>
      <c r="V186" s="473"/>
      <c r="W186" s="473"/>
      <c r="X186" s="473"/>
      <c r="Y186" s="473"/>
      <c r="Z186" s="473"/>
      <c r="AA186" s="473"/>
      <c r="AB186" s="473"/>
      <c r="AC186" s="473"/>
      <c r="AD186" s="473"/>
      <c r="AE186" s="473"/>
      <c r="AF186" s="473"/>
      <c r="AG186" s="473"/>
      <c r="AH186" s="473"/>
      <c r="AI186" s="473"/>
      <c r="AJ186" s="473"/>
      <c r="AK186" s="473"/>
      <c r="AL186" s="473"/>
      <c r="AM186" s="473"/>
      <c r="AN186" s="473"/>
      <c r="AO186" s="473"/>
      <c r="AP186" s="473"/>
      <c r="AQ186" s="473"/>
      <c r="AR186" s="473"/>
      <c r="AS186" s="473"/>
      <c r="AT186" s="473"/>
    </row>
    <row r="187" spans="1:46" ht="15" customHeight="1">
      <c r="A187" s="77" t="s">
        <v>228</v>
      </c>
      <c r="B187" s="78"/>
      <c r="C187" s="79"/>
      <c r="D187" s="582" t="str">
        <f>'11-Muk. Hesapları'!AO532</f>
        <v>UYGUNDUR.</v>
      </c>
      <c r="E187" s="583"/>
      <c r="F187" s="80" t="s">
        <v>225</v>
      </c>
      <c r="G187" s="76"/>
      <c r="H187" s="473"/>
      <c r="I187" s="495"/>
      <c r="J187" s="473"/>
      <c r="K187" s="495"/>
      <c r="L187" s="473"/>
      <c r="M187" s="473"/>
      <c r="N187" s="473"/>
      <c r="O187" s="473"/>
      <c r="P187" s="473"/>
      <c r="Q187" s="473"/>
      <c r="R187" s="473"/>
      <c r="S187" s="473"/>
      <c r="T187" s="482"/>
      <c r="U187" s="473"/>
      <c r="V187" s="473"/>
      <c r="W187" s="473"/>
      <c r="X187" s="473"/>
      <c r="Y187" s="473"/>
      <c r="Z187" s="473"/>
      <c r="AA187" s="473"/>
      <c r="AB187" s="473"/>
      <c r="AC187" s="473"/>
      <c r="AD187" s="473"/>
      <c r="AE187" s="473"/>
      <c r="AF187" s="473"/>
      <c r="AG187" s="473"/>
      <c r="AH187" s="473"/>
      <c r="AI187" s="473"/>
      <c r="AJ187" s="473"/>
      <c r="AK187" s="473"/>
      <c r="AL187" s="473"/>
      <c r="AM187" s="473"/>
      <c r="AN187" s="473"/>
      <c r="AO187" s="473"/>
      <c r="AP187" s="473"/>
      <c r="AQ187" s="473"/>
      <c r="AR187" s="473"/>
      <c r="AS187" s="473"/>
      <c r="AT187" s="473"/>
    </row>
    <row r="188" spans="1:46" ht="15" customHeight="1">
      <c r="A188" s="77" t="s">
        <v>229</v>
      </c>
      <c r="B188" s="78"/>
      <c r="C188" s="79"/>
      <c r="D188" s="582" t="str">
        <f>'11-Muk. Hesapları'!AL537</f>
        <v>UYGUNDUR.</v>
      </c>
      <c r="E188" s="583"/>
      <c r="F188" s="80" t="s">
        <v>230</v>
      </c>
      <c r="G188" s="76"/>
      <c r="H188" s="473"/>
      <c r="I188" s="473"/>
      <c r="J188" s="473"/>
      <c r="K188" s="481"/>
      <c r="L188" s="473"/>
      <c r="M188" s="473"/>
      <c r="N188" s="495"/>
      <c r="O188" s="495"/>
      <c r="P188" s="495"/>
      <c r="Q188" s="473"/>
      <c r="R188" s="473"/>
      <c r="S188" s="473"/>
      <c r="T188" s="482"/>
      <c r="U188" s="473"/>
      <c r="V188" s="473"/>
      <c r="W188" s="473"/>
      <c r="X188" s="473"/>
      <c r="Y188" s="473"/>
      <c r="Z188" s="473"/>
      <c r="AA188" s="473"/>
      <c r="AB188" s="473"/>
      <c r="AC188" s="473"/>
      <c r="AD188" s="473"/>
      <c r="AE188" s="473"/>
      <c r="AF188" s="473"/>
      <c r="AG188" s="473"/>
      <c r="AH188" s="473"/>
      <c r="AI188" s="473"/>
      <c r="AJ188" s="473"/>
      <c r="AK188" s="473"/>
      <c r="AL188" s="473"/>
      <c r="AM188" s="473"/>
      <c r="AN188" s="473"/>
      <c r="AO188" s="473"/>
      <c r="AP188" s="473"/>
      <c r="AQ188" s="473"/>
      <c r="AR188" s="473"/>
      <c r="AS188" s="473"/>
      <c r="AT188" s="473"/>
    </row>
    <row r="189" spans="1:46" ht="15" customHeight="1">
      <c r="A189" s="97" t="s">
        <v>231</v>
      </c>
      <c r="B189" s="78"/>
      <c r="C189" s="79"/>
      <c r="D189" s="582" t="str">
        <f>'11-Muk. Hesapları'!AQ542</f>
        <v>UYGUNDUR.</v>
      </c>
      <c r="E189" s="583"/>
      <c r="F189" s="80" t="s">
        <v>230</v>
      </c>
      <c r="G189" s="76"/>
      <c r="H189" s="473"/>
      <c r="I189" s="473"/>
      <c r="J189" s="495"/>
      <c r="K189" s="481"/>
      <c r="L189" s="473"/>
      <c r="M189" s="473"/>
      <c r="N189" s="473"/>
      <c r="O189" s="473"/>
      <c r="P189" s="473"/>
      <c r="Q189" s="473"/>
      <c r="R189" s="473"/>
      <c r="S189" s="473"/>
      <c r="T189" s="482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  <c r="AL189" s="473"/>
      <c r="AM189" s="473"/>
      <c r="AN189" s="473"/>
      <c r="AO189" s="473"/>
      <c r="AP189" s="473"/>
      <c r="AQ189" s="473"/>
      <c r="AR189" s="473"/>
      <c r="AS189" s="473"/>
      <c r="AT189" s="473"/>
    </row>
    <row r="190" spans="1:46" ht="15" customHeight="1">
      <c r="A190" s="97" t="s">
        <v>232</v>
      </c>
      <c r="B190" s="78"/>
      <c r="C190" s="79"/>
      <c r="D190" s="582" t="str">
        <f>'11-Muk. Hesapları'!AQ545</f>
        <v>UYGUNDUR.</v>
      </c>
      <c r="E190" s="583"/>
      <c r="F190" s="80" t="s">
        <v>230</v>
      </c>
      <c r="G190" s="76"/>
      <c r="H190" s="495"/>
      <c r="I190" s="473"/>
      <c r="J190" s="473"/>
      <c r="K190" s="481"/>
      <c r="L190" s="495"/>
      <c r="M190" s="495"/>
      <c r="N190" s="473"/>
      <c r="O190" s="473"/>
      <c r="P190" s="473"/>
      <c r="Q190" s="473"/>
      <c r="R190" s="473"/>
      <c r="S190" s="473"/>
      <c r="T190" s="482"/>
      <c r="U190" s="473"/>
      <c r="V190" s="473"/>
      <c r="W190" s="495"/>
      <c r="X190" s="495"/>
      <c r="Y190" s="495"/>
      <c r="Z190" s="495"/>
      <c r="AA190" s="495"/>
      <c r="AB190" s="495"/>
      <c r="AC190" s="495"/>
      <c r="AD190" s="495"/>
      <c r="AE190" s="495"/>
      <c r="AF190" s="495"/>
      <c r="AG190" s="495"/>
      <c r="AH190" s="495"/>
      <c r="AI190" s="495"/>
      <c r="AJ190" s="495"/>
      <c r="AK190" s="495"/>
      <c r="AL190" s="495"/>
      <c r="AM190" s="495"/>
      <c r="AN190" s="495"/>
      <c r="AO190" s="495"/>
      <c r="AP190" s="473"/>
      <c r="AQ190" s="473"/>
      <c r="AR190" s="473"/>
      <c r="AS190" s="473"/>
      <c r="AT190" s="473"/>
    </row>
    <row r="191" spans="1:46" ht="15" customHeight="1">
      <c r="A191" s="98"/>
      <c r="B191" s="82"/>
      <c r="C191" s="83"/>
      <c r="D191" s="84"/>
      <c r="E191" s="84"/>
      <c r="F191" s="85"/>
      <c r="G191" s="86"/>
      <c r="H191" s="473"/>
      <c r="I191" s="473"/>
      <c r="J191" s="473"/>
      <c r="K191" s="481"/>
      <c r="L191" s="473"/>
      <c r="M191" s="473"/>
      <c r="N191" s="473"/>
      <c r="O191" s="473"/>
      <c r="P191" s="473"/>
      <c r="Q191" s="473"/>
      <c r="R191" s="473"/>
      <c r="S191" s="473"/>
      <c r="T191" s="482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  <c r="AL191" s="473"/>
      <c r="AM191" s="473"/>
      <c r="AN191" s="473"/>
      <c r="AO191" s="473"/>
      <c r="AP191" s="473"/>
      <c r="AQ191" s="473"/>
      <c r="AR191" s="473"/>
      <c r="AS191" s="473"/>
      <c r="AT191" s="473"/>
    </row>
    <row r="192" spans="1:46" ht="15" customHeight="1">
      <c r="A192" s="636" t="s">
        <v>233</v>
      </c>
      <c r="B192" s="637"/>
      <c r="C192" s="637"/>
      <c r="D192" s="93"/>
      <c r="E192" s="93"/>
      <c r="F192" s="94"/>
      <c r="G192" s="95"/>
      <c r="H192" s="473"/>
      <c r="I192" s="473"/>
      <c r="J192" s="473"/>
      <c r="K192" s="481"/>
      <c r="L192" s="473"/>
      <c r="M192" s="473"/>
      <c r="N192" s="473"/>
      <c r="O192" s="473"/>
      <c r="P192" s="473"/>
      <c r="Q192" s="473"/>
      <c r="R192" s="473"/>
      <c r="S192" s="473"/>
      <c r="T192" s="482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  <c r="AL192" s="473"/>
      <c r="AM192" s="473"/>
      <c r="AN192" s="473"/>
      <c r="AO192" s="473"/>
      <c r="AP192" s="473"/>
      <c r="AQ192" s="473"/>
      <c r="AR192" s="473"/>
      <c r="AS192" s="473"/>
      <c r="AT192" s="473"/>
    </row>
    <row r="193" spans="1:46" ht="15" customHeight="1">
      <c r="A193" s="96" t="s">
        <v>221</v>
      </c>
      <c r="B193" s="537"/>
      <c r="C193" s="538"/>
      <c r="D193" s="539"/>
      <c r="E193" s="539"/>
      <c r="F193" s="540"/>
      <c r="G193" s="76"/>
      <c r="H193" s="473"/>
      <c r="I193" s="473"/>
      <c r="J193" s="473"/>
      <c r="K193" s="481"/>
      <c r="L193" s="473"/>
      <c r="M193" s="473"/>
      <c r="N193" s="473"/>
      <c r="O193" s="473"/>
      <c r="P193" s="473"/>
      <c r="Q193" s="495"/>
      <c r="R193" s="495"/>
      <c r="S193" s="495"/>
      <c r="T193" s="490"/>
      <c r="U193" s="495"/>
      <c r="V193" s="495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  <c r="AL193" s="473"/>
      <c r="AM193" s="473"/>
      <c r="AN193" s="473"/>
      <c r="AO193" s="473"/>
      <c r="AP193" s="473"/>
      <c r="AQ193" s="473"/>
      <c r="AR193" s="473"/>
      <c r="AS193" s="473"/>
      <c r="AT193" s="473"/>
    </row>
    <row r="194" spans="1:46" ht="15" customHeight="1">
      <c r="A194" s="77" t="s">
        <v>228</v>
      </c>
      <c r="B194" s="78"/>
      <c r="C194" s="79"/>
      <c r="D194" s="582" t="str">
        <f>'11-Muk. Hesapları'!AO590</f>
        <v>UYGUNDUR.</v>
      </c>
      <c r="E194" s="583"/>
      <c r="F194" s="80" t="s">
        <v>230</v>
      </c>
      <c r="G194" s="76"/>
      <c r="H194" s="473"/>
      <c r="I194" s="473"/>
      <c r="J194" s="473"/>
      <c r="K194" s="481"/>
      <c r="L194" s="473"/>
      <c r="M194" s="473"/>
      <c r="N194" s="473"/>
      <c r="O194" s="473"/>
      <c r="P194" s="473"/>
      <c r="Q194" s="473"/>
      <c r="R194" s="473"/>
      <c r="S194" s="473"/>
      <c r="T194" s="482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  <c r="AL194" s="473"/>
      <c r="AM194" s="473"/>
      <c r="AN194" s="473"/>
      <c r="AO194" s="473"/>
      <c r="AP194" s="473"/>
      <c r="AQ194" s="473"/>
      <c r="AR194" s="473"/>
      <c r="AS194" s="473"/>
      <c r="AT194" s="473"/>
    </row>
    <row r="195" spans="1:46" ht="15" customHeight="1">
      <c r="A195" s="77" t="s">
        <v>229</v>
      </c>
      <c r="B195" s="78"/>
      <c r="C195" s="79"/>
      <c r="D195" s="582" t="str">
        <f>'11-Muk. Hesapları'!AL595</f>
        <v>UYGUNDUR.</v>
      </c>
      <c r="E195" s="583"/>
      <c r="F195" s="80" t="s">
        <v>230</v>
      </c>
      <c r="G195" s="76"/>
      <c r="H195" s="473"/>
      <c r="I195" s="473"/>
      <c r="J195" s="473"/>
      <c r="K195" s="481"/>
      <c r="L195" s="473"/>
      <c r="M195" s="473"/>
      <c r="N195" s="495"/>
      <c r="O195" s="495"/>
      <c r="P195" s="495"/>
      <c r="Q195" s="473"/>
      <c r="R195" s="473"/>
      <c r="S195" s="473"/>
      <c r="T195" s="482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  <c r="AL195" s="473"/>
      <c r="AM195" s="473"/>
      <c r="AN195" s="473"/>
      <c r="AO195" s="473"/>
      <c r="AP195" s="473"/>
      <c r="AQ195" s="473"/>
      <c r="AR195" s="473"/>
      <c r="AS195" s="473"/>
      <c r="AT195" s="473"/>
    </row>
    <row r="196" spans="1:46" ht="15" customHeight="1">
      <c r="A196" s="97" t="s">
        <v>231</v>
      </c>
      <c r="B196" s="78"/>
      <c r="C196" s="79"/>
      <c r="D196" s="582" t="str">
        <f>'11-Muk. Hesapları'!AQ600</f>
        <v>UYGUNDUR.</v>
      </c>
      <c r="E196" s="583"/>
      <c r="F196" s="80" t="s">
        <v>234</v>
      </c>
      <c r="G196" s="76"/>
      <c r="H196" s="473"/>
      <c r="I196" s="473"/>
      <c r="J196" s="495"/>
      <c r="K196" s="481"/>
      <c r="L196" s="473"/>
      <c r="M196" s="473"/>
      <c r="N196" s="473"/>
      <c r="O196" s="473"/>
      <c r="P196" s="473"/>
      <c r="Q196" s="473"/>
      <c r="R196" s="473"/>
      <c r="S196" s="473"/>
      <c r="T196" s="482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  <c r="AL196" s="473"/>
      <c r="AM196" s="473"/>
      <c r="AN196" s="473"/>
      <c r="AO196" s="473"/>
      <c r="AP196" s="473"/>
      <c r="AQ196" s="473"/>
      <c r="AR196" s="473"/>
      <c r="AS196" s="473"/>
      <c r="AT196" s="473"/>
    </row>
    <row r="197" spans="1:46" ht="15" customHeight="1">
      <c r="A197" s="97" t="s">
        <v>232</v>
      </c>
      <c r="B197" s="78"/>
      <c r="C197" s="79"/>
      <c r="D197" s="582" t="str">
        <f>'11-Muk. Hesapları'!AQ603</f>
        <v>UYGUNDUR.</v>
      </c>
      <c r="E197" s="583"/>
      <c r="F197" s="80" t="s">
        <v>234</v>
      </c>
      <c r="G197" s="76"/>
      <c r="H197" s="495"/>
      <c r="I197" s="473"/>
      <c r="J197" s="473"/>
      <c r="K197" s="481"/>
      <c r="L197" s="495"/>
      <c r="M197" s="495"/>
      <c r="N197" s="473"/>
      <c r="O197" s="473"/>
      <c r="P197" s="473"/>
      <c r="Q197" s="473"/>
      <c r="R197" s="473"/>
      <c r="S197" s="473"/>
      <c r="T197" s="482"/>
      <c r="U197" s="473"/>
      <c r="V197" s="473"/>
      <c r="W197" s="495"/>
      <c r="X197" s="495"/>
      <c r="Y197" s="495"/>
      <c r="Z197" s="495"/>
      <c r="AA197" s="495"/>
      <c r="AB197" s="495"/>
      <c r="AC197" s="495"/>
      <c r="AD197" s="495"/>
      <c r="AE197" s="495"/>
      <c r="AF197" s="495"/>
      <c r="AG197" s="495"/>
      <c r="AH197" s="495"/>
      <c r="AI197" s="495"/>
      <c r="AJ197" s="495"/>
      <c r="AK197" s="495"/>
      <c r="AL197" s="495"/>
      <c r="AM197" s="495"/>
      <c r="AN197" s="495"/>
      <c r="AO197" s="495"/>
      <c r="AP197" s="495"/>
      <c r="AQ197" s="473"/>
      <c r="AR197" s="473"/>
      <c r="AS197" s="473"/>
      <c r="AT197" s="473"/>
    </row>
    <row r="198" spans="1:46" ht="15" customHeight="1">
      <c r="A198" s="98"/>
      <c r="B198" s="82"/>
      <c r="C198" s="83"/>
      <c r="D198" s="84"/>
      <c r="E198" s="84"/>
      <c r="F198" s="85"/>
      <c r="G198" s="86"/>
      <c r="H198" s="473"/>
      <c r="I198" s="473"/>
      <c r="J198" s="473"/>
      <c r="K198" s="481"/>
      <c r="L198" s="473"/>
      <c r="M198" s="473"/>
      <c r="N198" s="473"/>
      <c r="O198" s="473"/>
      <c r="P198" s="473"/>
      <c r="Q198" s="473"/>
      <c r="R198" s="473"/>
      <c r="S198" s="473"/>
      <c r="T198" s="482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  <c r="AL198" s="473"/>
      <c r="AM198" s="473"/>
      <c r="AN198" s="473"/>
      <c r="AO198" s="473"/>
      <c r="AP198" s="473"/>
      <c r="AQ198" s="473"/>
      <c r="AR198" s="473"/>
      <c r="AS198" s="473"/>
      <c r="AT198" s="473"/>
    </row>
    <row r="199" spans="1:46" ht="15" customHeight="1">
      <c r="A199" s="636" t="s">
        <v>235</v>
      </c>
      <c r="B199" s="637"/>
      <c r="C199" s="100"/>
      <c r="D199" s="93"/>
      <c r="E199" s="93"/>
      <c r="F199" s="94"/>
      <c r="G199" s="95"/>
      <c r="H199" s="473"/>
      <c r="I199" s="473"/>
      <c r="J199" s="473"/>
      <c r="K199" s="481"/>
      <c r="L199" s="473"/>
      <c r="M199" s="473"/>
      <c r="N199" s="473"/>
      <c r="O199" s="473"/>
      <c r="P199" s="473"/>
      <c r="Q199" s="473"/>
      <c r="R199" s="473"/>
      <c r="S199" s="473"/>
      <c r="T199" s="482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  <c r="AL199" s="473"/>
      <c r="AM199" s="473"/>
      <c r="AN199" s="473"/>
      <c r="AO199" s="473"/>
      <c r="AP199" s="473"/>
      <c r="AQ199" s="473"/>
      <c r="AR199" s="473"/>
      <c r="AS199" s="473"/>
      <c r="AT199" s="473"/>
    </row>
    <row r="200" spans="1:46" ht="15" customHeight="1">
      <c r="A200" s="101" t="s">
        <v>236</v>
      </c>
      <c r="B200" s="537"/>
      <c r="C200" s="538"/>
      <c r="D200" s="539"/>
      <c r="E200" s="539"/>
      <c r="F200" s="540"/>
      <c r="G200" s="76"/>
      <c r="H200" s="473"/>
      <c r="I200" s="473"/>
      <c r="J200" s="473"/>
      <c r="K200" s="481"/>
      <c r="L200" s="473"/>
      <c r="M200" s="473"/>
      <c r="N200" s="473"/>
      <c r="O200" s="473"/>
      <c r="P200" s="473"/>
      <c r="Q200" s="495"/>
      <c r="R200" s="495"/>
      <c r="S200" s="495"/>
      <c r="T200" s="490"/>
      <c r="U200" s="495"/>
      <c r="V200" s="495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  <c r="AL200" s="473"/>
      <c r="AM200" s="473"/>
      <c r="AN200" s="473"/>
      <c r="AO200" s="473"/>
      <c r="AP200" s="473"/>
      <c r="AQ200" s="473"/>
      <c r="AR200" s="473"/>
      <c r="AS200" s="473"/>
      <c r="AT200" s="473"/>
    </row>
    <row r="201" spans="1:46" ht="15" customHeight="1">
      <c r="A201" s="77" t="s">
        <v>237</v>
      </c>
      <c r="B201" s="78"/>
      <c r="C201" s="79"/>
      <c r="D201" s="582" t="str">
        <f>'11-Muk. Hesapları'!AS635</f>
        <v>UYGUNDUR.</v>
      </c>
      <c r="E201" s="583"/>
      <c r="F201" s="80" t="s">
        <v>234</v>
      </c>
      <c r="G201" s="76"/>
      <c r="H201" s="473"/>
      <c r="I201" s="473"/>
      <c r="J201" s="473"/>
      <c r="K201" s="481"/>
      <c r="L201" s="473"/>
      <c r="M201" s="473"/>
      <c r="N201" s="473"/>
      <c r="O201" s="473"/>
      <c r="P201" s="473"/>
      <c r="Q201" s="473"/>
      <c r="R201" s="473"/>
      <c r="S201" s="473"/>
      <c r="T201" s="482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  <c r="AL201" s="473"/>
      <c r="AM201" s="473"/>
      <c r="AN201" s="473"/>
      <c r="AO201" s="473"/>
      <c r="AP201" s="473"/>
      <c r="AQ201" s="473"/>
      <c r="AR201" s="473"/>
      <c r="AS201" s="473"/>
      <c r="AT201" s="473"/>
    </row>
    <row r="202" spans="1:46" ht="15" customHeight="1">
      <c r="A202" s="77" t="s">
        <v>238</v>
      </c>
      <c r="B202" s="78"/>
      <c r="C202" s="79"/>
      <c r="D202" s="582" t="str">
        <f>'11-Muk. Hesapları'!AS636</f>
        <v>UYGUNDUR.</v>
      </c>
      <c r="E202" s="583"/>
      <c r="F202" s="80" t="s">
        <v>234</v>
      </c>
      <c r="G202" s="76"/>
      <c r="H202" s="473"/>
      <c r="I202" s="473"/>
      <c r="J202" s="473"/>
      <c r="K202" s="481"/>
      <c r="L202" s="473"/>
      <c r="M202" s="473"/>
      <c r="N202" s="473"/>
      <c r="O202" s="473"/>
      <c r="P202" s="473"/>
      <c r="Q202" s="473"/>
      <c r="R202" s="473"/>
      <c r="S202" s="473"/>
      <c r="T202" s="482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  <c r="AL202" s="473"/>
      <c r="AM202" s="473"/>
      <c r="AN202" s="473"/>
      <c r="AO202" s="473"/>
      <c r="AP202" s="473"/>
      <c r="AQ202" s="473"/>
      <c r="AR202" s="473"/>
      <c r="AS202" s="473"/>
      <c r="AT202" s="473"/>
    </row>
    <row r="203" spans="1:46" ht="15" customHeight="1">
      <c r="A203" s="77" t="s">
        <v>239</v>
      </c>
      <c r="B203" s="78"/>
      <c r="C203" s="79"/>
      <c r="D203" s="582" t="str">
        <f>'11-Muk. Hesapları'!AS637</f>
        <v>UYGUNDUR.</v>
      </c>
      <c r="E203" s="583"/>
      <c r="F203" s="80" t="s">
        <v>234</v>
      </c>
      <c r="G203" s="76"/>
      <c r="H203" s="473"/>
      <c r="I203" s="473"/>
      <c r="J203" s="473"/>
      <c r="K203" s="481"/>
      <c r="L203" s="473"/>
      <c r="M203" s="473"/>
      <c r="N203" s="473"/>
      <c r="O203" s="473"/>
      <c r="P203" s="473"/>
      <c r="Q203" s="473"/>
      <c r="R203" s="473"/>
      <c r="S203" s="473"/>
      <c r="T203" s="482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  <c r="AL203" s="473"/>
      <c r="AM203" s="473"/>
      <c r="AN203" s="473"/>
      <c r="AO203" s="473"/>
      <c r="AP203" s="473"/>
      <c r="AQ203" s="473"/>
      <c r="AR203" s="473"/>
      <c r="AS203" s="473"/>
      <c r="AT203" s="473"/>
    </row>
    <row r="204" spans="1:46" ht="15" customHeight="1">
      <c r="A204" s="77" t="s">
        <v>240</v>
      </c>
      <c r="B204" s="78"/>
      <c r="C204" s="79"/>
      <c r="D204" s="582" t="str">
        <f>'11-Muk. Hesapları'!AS638</f>
        <v>UYGUNDUR.</v>
      </c>
      <c r="E204" s="583"/>
      <c r="F204" s="80" t="s">
        <v>234</v>
      </c>
      <c r="G204" s="76"/>
      <c r="H204" s="473"/>
      <c r="I204" s="473"/>
      <c r="J204" s="473"/>
      <c r="K204" s="481"/>
      <c r="L204" s="473"/>
      <c r="M204" s="473"/>
      <c r="N204" s="473"/>
      <c r="O204" s="473"/>
      <c r="P204" s="473"/>
      <c r="Q204" s="473"/>
      <c r="R204" s="473"/>
      <c r="S204" s="473"/>
      <c r="T204" s="482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  <c r="AL204" s="473"/>
      <c r="AM204" s="473"/>
      <c r="AN204" s="473"/>
      <c r="AO204" s="473"/>
      <c r="AP204" s="473"/>
      <c r="AQ204" s="473"/>
      <c r="AR204" s="473"/>
      <c r="AS204" s="473"/>
      <c r="AT204" s="473"/>
    </row>
    <row r="205" spans="1:46" ht="15" customHeight="1">
      <c r="A205" s="77" t="s">
        <v>241</v>
      </c>
      <c r="B205" s="78"/>
      <c r="C205" s="79"/>
      <c r="D205" s="582" t="str">
        <f>IF('11-Muk. Hesapları'!AV639="U","UYGUNDUR.","UYGUN DEĞİLDİR.")</f>
        <v>UYGUNDUR.</v>
      </c>
      <c r="E205" s="583"/>
      <c r="F205" s="80" t="s">
        <v>234</v>
      </c>
      <c r="G205" s="76"/>
      <c r="H205" s="473"/>
      <c r="I205" s="473"/>
      <c r="J205" s="473"/>
      <c r="K205" s="481"/>
      <c r="L205" s="473"/>
      <c r="M205" s="473"/>
      <c r="N205" s="473"/>
      <c r="O205" s="473"/>
      <c r="P205" s="473"/>
      <c r="Q205" s="473"/>
      <c r="R205" s="473"/>
      <c r="S205" s="473"/>
      <c r="T205" s="482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  <c r="AL205" s="473"/>
      <c r="AM205" s="473"/>
      <c r="AN205" s="473"/>
      <c r="AO205" s="473"/>
      <c r="AP205" s="473"/>
      <c r="AQ205" s="473"/>
      <c r="AR205" s="473"/>
      <c r="AS205" s="473"/>
      <c r="AT205" s="473"/>
    </row>
    <row r="206" spans="1:46" ht="15" customHeight="1">
      <c r="A206" s="77" t="s">
        <v>242</v>
      </c>
      <c r="B206" s="78"/>
      <c r="C206" s="79"/>
      <c r="D206" s="582" t="str">
        <f>'11-Muk. Hesapları'!AS640</f>
        <v>UYGUNDUR.</v>
      </c>
      <c r="E206" s="583"/>
      <c r="F206" s="80" t="s">
        <v>234</v>
      </c>
      <c r="G206" s="76"/>
      <c r="H206" s="473"/>
      <c r="I206" s="473"/>
      <c r="J206" s="473"/>
      <c r="K206" s="481"/>
      <c r="L206" s="473"/>
      <c r="M206" s="473"/>
      <c r="N206" s="473"/>
      <c r="O206" s="473"/>
      <c r="P206" s="473"/>
      <c r="Q206" s="473"/>
      <c r="R206" s="473"/>
      <c r="S206" s="473"/>
      <c r="T206" s="482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  <c r="AL206" s="473"/>
      <c r="AM206" s="473"/>
      <c r="AN206" s="473"/>
      <c r="AO206" s="473"/>
      <c r="AP206" s="473"/>
      <c r="AQ206" s="473"/>
      <c r="AR206" s="473"/>
      <c r="AS206" s="473"/>
      <c r="AT206" s="473"/>
    </row>
    <row r="207" spans="1:46" ht="15" customHeight="1">
      <c r="A207" s="81"/>
      <c r="B207" s="82"/>
      <c r="C207" s="83"/>
      <c r="D207" s="84"/>
      <c r="E207" s="84"/>
      <c r="F207" s="85"/>
      <c r="G207" s="86"/>
      <c r="H207" s="473"/>
      <c r="I207" s="473"/>
      <c r="J207" s="473"/>
      <c r="K207" s="481"/>
      <c r="L207" s="473"/>
      <c r="M207" s="473"/>
      <c r="N207" s="473"/>
      <c r="O207" s="473"/>
      <c r="P207" s="473"/>
      <c r="Q207" s="473"/>
      <c r="R207" s="473"/>
      <c r="S207" s="473"/>
      <c r="T207" s="482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  <c r="AL207" s="473"/>
      <c r="AM207" s="473"/>
      <c r="AN207" s="473"/>
      <c r="AO207" s="473"/>
      <c r="AP207" s="473"/>
      <c r="AQ207" s="473"/>
      <c r="AR207" s="473"/>
      <c r="AS207" s="473"/>
      <c r="AT207" s="473"/>
    </row>
    <row r="208" spans="1:46" ht="15" customHeight="1">
      <c r="A208" s="101" t="s">
        <v>243</v>
      </c>
      <c r="B208" s="537"/>
      <c r="C208" s="538"/>
      <c r="D208" s="539"/>
      <c r="E208" s="539"/>
      <c r="F208" s="540"/>
      <c r="G208" s="76"/>
      <c r="H208" s="473"/>
      <c r="I208" s="473"/>
      <c r="J208" s="473"/>
      <c r="K208" s="481"/>
      <c r="L208" s="473"/>
      <c r="M208" s="473"/>
      <c r="N208" s="473"/>
      <c r="O208" s="473"/>
      <c r="P208" s="473"/>
      <c r="Q208" s="473"/>
      <c r="R208" s="473"/>
      <c r="S208" s="473"/>
      <c r="T208" s="482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  <c r="AL208" s="473"/>
      <c r="AM208" s="473"/>
      <c r="AN208" s="473"/>
      <c r="AO208" s="473"/>
      <c r="AP208" s="473"/>
      <c r="AQ208" s="473"/>
      <c r="AR208" s="473"/>
      <c r="AS208" s="473"/>
      <c r="AT208" s="473"/>
    </row>
    <row r="209" spans="1:46" ht="15" customHeight="1">
      <c r="A209" s="77" t="s">
        <v>244</v>
      </c>
      <c r="B209" s="78"/>
      <c r="C209" s="79"/>
      <c r="D209" s="582" t="str">
        <f>IF('11-Muk. Hesapları'!AS644="U","UYGUNDUR.","UYGUN DEĞİLDİR.")</f>
        <v>UYGUNDUR.</v>
      </c>
      <c r="E209" s="583"/>
      <c r="F209" s="80" t="s">
        <v>234</v>
      </c>
      <c r="G209" s="76"/>
      <c r="H209" s="473"/>
      <c r="I209" s="473"/>
      <c r="J209" s="473"/>
      <c r="K209" s="481"/>
      <c r="L209" s="473"/>
      <c r="M209" s="473"/>
      <c r="N209" s="473"/>
      <c r="O209" s="473"/>
      <c r="P209" s="473"/>
      <c r="Q209" s="473"/>
      <c r="R209" s="473"/>
      <c r="S209" s="473"/>
      <c r="T209" s="482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  <c r="AL209" s="473"/>
      <c r="AM209" s="473"/>
      <c r="AN209" s="473"/>
      <c r="AO209" s="473"/>
      <c r="AP209" s="473"/>
      <c r="AQ209" s="473"/>
      <c r="AR209" s="473"/>
      <c r="AS209" s="473"/>
      <c r="AT209" s="473"/>
    </row>
    <row r="210" spans="1:46" ht="15" customHeight="1">
      <c r="A210" s="77" t="s">
        <v>245</v>
      </c>
      <c r="B210" s="78"/>
      <c r="C210" s="79"/>
      <c r="D210" s="582" t="str">
        <f>'11-Muk. Hesapları'!AS645</f>
        <v>UYGUNDUR.</v>
      </c>
      <c r="E210" s="583"/>
      <c r="F210" s="80" t="s">
        <v>234</v>
      </c>
      <c r="G210" s="76"/>
      <c r="H210" s="473"/>
      <c r="I210" s="473"/>
      <c r="J210" s="473"/>
      <c r="K210" s="481"/>
      <c r="L210" s="473"/>
      <c r="M210" s="473"/>
      <c r="N210" s="473"/>
      <c r="O210" s="473"/>
      <c r="P210" s="473"/>
      <c r="Q210" s="473"/>
      <c r="R210" s="473"/>
      <c r="S210" s="473"/>
      <c r="T210" s="482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  <c r="AL210" s="473"/>
      <c r="AM210" s="473"/>
      <c r="AN210" s="473"/>
      <c r="AO210" s="473"/>
      <c r="AP210" s="473"/>
      <c r="AQ210" s="473"/>
      <c r="AR210" s="473"/>
      <c r="AS210" s="473"/>
      <c r="AT210" s="473"/>
    </row>
    <row r="211" spans="1:46" ht="15" customHeight="1">
      <c r="A211" s="77" t="s">
        <v>246</v>
      </c>
      <c r="B211" s="78"/>
      <c r="C211" s="79"/>
      <c r="D211" s="582" t="str">
        <f>'11-Muk. Hesapları'!AS646</f>
        <v>UYGUNDUR.</v>
      </c>
      <c r="E211" s="583"/>
      <c r="F211" s="80" t="s">
        <v>234</v>
      </c>
      <c r="G211" s="76"/>
      <c r="H211" s="473"/>
      <c r="I211" s="473"/>
      <c r="J211" s="473"/>
      <c r="K211" s="481"/>
      <c r="L211" s="473"/>
      <c r="M211" s="473"/>
      <c r="N211" s="473"/>
      <c r="O211" s="473"/>
      <c r="P211" s="473"/>
      <c r="Q211" s="473"/>
      <c r="R211" s="473"/>
      <c r="S211" s="473"/>
      <c r="T211" s="482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  <c r="AL211" s="473"/>
      <c r="AM211" s="473"/>
      <c r="AN211" s="473"/>
      <c r="AO211" s="473"/>
      <c r="AP211" s="473"/>
      <c r="AQ211" s="473"/>
      <c r="AR211" s="473"/>
      <c r="AS211" s="473"/>
      <c r="AT211" s="473"/>
    </row>
    <row r="212" spans="1:46" ht="15" customHeight="1">
      <c r="A212" s="77" t="s">
        <v>247</v>
      </c>
      <c r="B212" s="78"/>
      <c r="C212" s="79"/>
      <c r="D212" s="582" t="str">
        <f>'11-Muk. Hesapları'!AS647</f>
        <v>UYGUNDUR.</v>
      </c>
      <c r="E212" s="583"/>
      <c r="F212" s="80" t="s">
        <v>234</v>
      </c>
      <c r="G212" s="76"/>
      <c r="H212" s="473"/>
      <c r="I212" s="473"/>
      <c r="J212" s="473"/>
      <c r="K212" s="481"/>
      <c r="L212" s="473"/>
      <c r="M212" s="473"/>
      <c r="N212" s="473"/>
      <c r="O212" s="473"/>
      <c r="P212" s="473"/>
      <c r="Q212" s="473"/>
      <c r="R212" s="473"/>
      <c r="S212" s="473"/>
      <c r="T212" s="482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  <c r="AL212" s="473"/>
      <c r="AM212" s="473"/>
      <c r="AN212" s="473"/>
      <c r="AO212" s="473"/>
      <c r="AP212" s="473"/>
      <c r="AQ212" s="473"/>
      <c r="AR212" s="473"/>
      <c r="AS212" s="473"/>
      <c r="AT212" s="473"/>
    </row>
    <row r="213" spans="1:46" ht="15" customHeight="1">
      <c r="A213" s="77" t="s">
        <v>248</v>
      </c>
      <c r="B213" s="78"/>
      <c r="C213" s="79"/>
      <c r="D213" s="582" t="str">
        <f>'11-Muk. Hesapları'!AS648</f>
        <v>UYGUNDUR.</v>
      </c>
      <c r="E213" s="583"/>
      <c r="F213" s="80" t="s">
        <v>234</v>
      </c>
      <c r="G213" s="76"/>
      <c r="H213" s="473"/>
      <c r="I213" s="473"/>
      <c r="J213" s="473"/>
      <c r="K213" s="481"/>
      <c r="L213" s="473"/>
      <c r="M213" s="473"/>
      <c r="N213" s="473"/>
      <c r="O213" s="473"/>
      <c r="P213" s="473"/>
      <c r="Q213" s="473"/>
      <c r="R213" s="473"/>
      <c r="S213" s="473"/>
      <c r="T213" s="482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  <c r="AL213" s="473"/>
      <c r="AM213" s="473"/>
      <c r="AN213" s="473"/>
      <c r="AO213" s="473"/>
      <c r="AP213" s="473"/>
      <c r="AQ213" s="473"/>
      <c r="AR213" s="473"/>
      <c r="AS213" s="473"/>
      <c r="AT213" s="473"/>
    </row>
    <row r="214" spans="1:46" ht="12.75" customHeight="1">
      <c r="A214" s="102"/>
      <c r="B214" s="103"/>
      <c r="C214" s="104"/>
      <c r="D214" s="689"/>
      <c r="E214" s="690"/>
      <c r="F214" s="105"/>
      <c r="G214" s="106"/>
      <c r="H214" s="473"/>
      <c r="I214" s="473"/>
      <c r="J214" s="473"/>
      <c r="K214" s="481"/>
      <c r="L214" s="473"/>
      <c r="M214" s="473"/>
      <c r="N214" s="473"/>
      <c r="O214" s="473"/>
      <c r="P214" s="473"/>
      <c r="Q214" s="473"/>
      <c r="R214" s="473"/>
      <c r="S214" s="473"/>
      <c r="T214" s="482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  <c r="AL214" s="473"/>
      <c r="AM214" s="473"/>
      <c r="AN214" s="473"/>
      <c r="AO214" s="473"/>
      <c r="AP214" s="473"/>
      <c r="AQ214" s="473"/>
      <c r="AR214" s="473"/>
      <c r="AS214" s="473"/>
      <c r="AT214" s="473"/>
    </row>
    <row r="215" spans="1:46" ht="12.75" customHeight="1">
      <c r="A215" s="541" t="s">
        <v>249</v>
      </c>
      <c r="B215" s="516"/>
      <c r="C215" s="525"/>
      <c r="D215" s="645"/>
      <c r="E215" s="637"/>
      <c r="F215" s="496"/>
      <c r="G215" s="2"/>
      <c r="H215" s="473"/>
      <c r="I215" s="473"/>
      <c r="J215" s="473"/>
      <c r="K215" s="481"/>
      <c r="L215" s="473"/>
      <c r="M215" s="473"/>
      <c r="N215" s="473"/>
      <c r="O215" s="473"/>
      <c r="P215" s="473"/>
      <c r="Q215" s="473"/>
      <c r="R215" s="473"/>
      <c r="S215" s="473"/>
      <c r="T215" s="482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  <c r="AL215" s="473"/>
      <c r="AM215" s="473"/>
      <c r="AN215" s="473"/>
      <c r="AO215" s="473"/>
      <c r="AP215" s="473"/>
      <c r="AQ215" s="473"/>
      <c r="AR215" s="473"/>
      <c r="AS215" s="473"/>
      <c r="AT215" s="473"/>
    </row>
    <row r="216" spans="1:46" ht="12.75" customHeight="1">
      <c r="A216" s="77" t="s">
        <v>250</v>
      </c>
      <c r="B216" s="78"/>
      <c r="C216" s="79"/>
      <c r="D216" s="582" t="str">
        <f>'12-Elk.Hesapları'!AH65</f>
        <v>UYGUNDUR.</v>
      </c>
      <c r="E216" s="583"/>
      <c r="F216" s="80" t="s">
        <v>186</v>
      </c>
      <c r="G216" s="2"/>
      <c r="H216" s="473"/>
      <c r="I216" s="473"/>
      <c r="J216" s="473"/>
      <c r="K216" s="481"/>
      <c r="L216" s="473"/>
      <c r="M216" s="473"/>
      <c r="N216" s="473"/>
      <c r="O216" s="473"/>
      <c r="P216" s="473"/>
      <c r="Q216" s="473"/>
      <c r="R216" s="473"/>
      <c r="S216" s="473"/>
      <c r="T216" s="482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  <c r="AL216" s="473"/>
      <c r="AM216" s="473"/>
      <c r="AN216" s="473"/>
      <c r="AO216" s="473"/>
      <c r="AP216" s="473"/>
      <c r="AQ216" s="473"/>
      <c r="AR216" s="473"/>
      <c r="AS216" s="473"/>
      <c r="AT216" s="473"/>
    </row>
    <row r="217" spans="1:46" ht="12.75" customHeight="1">
      <c r="A217" s="77" t="s">
        <v>251</v>
      </c>
      <c r="B217" s="78"/>
      <c r="C217" s="79"/>
      <c r="D217" s="582" t="str">
        <f>'12-Elk.Hesapları'!AC101</f>
        <v>UYGUNDUR.</v>
      </c>
      <c r="E217" s="583"/>
      <c r="F217" s="80" t="s">
        <v>189</v>
      </c>
      <c r="G217" s="2"/>
      <c r="H217" s="473"/>
      <c r="I217" s="473"/>
      <c r="J217" s="473"/>
      <c r="K217" s="481"/>
      <c r="L217" s="473"/>
      <c r="M217" s="473"/>
      <c r="N217" s="473"/>
      <c r="O217" s="473"/>
      <c r="P217" s="473"/>
      <c r="Q217" s="473"/>
      <c r="R217" s="473"/>
      <c r="S217" s="473"/>
      <c r="T217" s="482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  <c r="AL217" s="473"/>
      <c r="AM217" s="473"/>
      <c r="AN217" s="473"/>
      <c r="AO217" s="473"/>
      <c r="AP217" s="473"/>
      <c r="AQ217" s="473"/>
      <c r="AR217" s="473"/>
      <c r="AS217" s="473"/>
      <c r="AT217" s="473"/>
    </row>
    <row r="218" spans="1:46" ht="12.75" customHeight="1">
      <c r="A218" s="77" t="s">
        <v>252</v>
      </c>
      <c r="B218" s="78"/>
      <c r="C218" s="79"/>
      <c r="D218" s="677" t="s">
        <v>253</v>
      </c>
      <c r="E218" s="583"/>
      <c r="F218" s="80" t="s">
        <v>200</v>
      </c>
      <c r="G218" s="2"/>
      <c r="H218" s="473"/>
      <c r="I218" s="473"/>
      <c r="J218" s="473"/>
      <c r="K218" s="481"/>
      <c r="L218" s="473"/>
      <c r="M218" s="473"/>
      <c r="N218" s="473"/>
      <c r="O218" s="473"/>
      <c r="P218" s="473"/>
      <c r="Q218" s="473"/>
      <c r="R218" s="473"/>
      <c r="S218" s="473"/>
      <c r="T218" s="482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  <c r="AL218" s="473"/>
      <c r="AM218" s="473"/>
      <c r="AN218" s="473"/>
      <c r="AO218" s="473"/>
      <c r="AP218" s="473"/>
      <c r="AQ218" s="473"/>
      <c r="AR218" s="473"/>
      <c r="AS218" s="473"/>
      <c r="AT218" s="473"/>
    </row>
    <row r="219" spans="1:46" ht="12.75" customHeight="1">
      <c r="A219" s="77" t="s">
        <v>254</v>
      </c>
      <c r="B219" s="78"/>
      <c r="C219" s="79"/>
      <c r="D219" s="677" t="s">
        <v>253</v>
      </c>
      <c r="E219" s="583"/>
      <c r="F219" s="80" t="s">
        <v>200</v>
      </c>
      <c r="G219" s="2"/>
      <c r="H219" s="473"/>
      <c r="I219" s="473"/>
      <c r="J219" s="473"/>
      <c r="K219" s="481"/>
      <c r="L219" s="473"/>
      <c r="M219" s="473"/>
      <c r="N219" s="473"/>
      <c r="O219" s="473"/>
      <c r="P219" s="473"/>
      <c r="Q219" s="473"/>
      <c r="R219" s="473"/>
      <c r="S219" s="473"/>
      <c r="T219" s="482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  <c r="AL219" s="473"/>
      <c r="AM219" s="473"/>
      <c r="AN219" s="473"/>
      <c r="AO219" s="473"/>
      <c r="AP219" s="473"/>
      <c r="AQ219" s="473"/>
      <c r="AR219" s="473"/>
      <c r="AS219" s="473"/>
      <c r="AT219" s="473"/>
    </row>
    <row r="220" spans="1:46" ht="12.75" customHeight="1">
      <c r="A220" s="67"/>
      <c r="B220" s="68"/>
      <c r="C220" s="69"/>
      <c r="D220" s="40"/>
      <c r="E220" s="40"/>
      <c r="F220" s="69"/>
      <c r="G220" s="70"/>
      <c r="H220" s="473"/>
      <c r="I220" s="473"/>
      <c r="J220" s="473"/>
      <c r="K220" s="481"/>
      <c r="L220" s="473"/>
      <c r="M220" s="473"/>
      <c r="N220" s="473"/>
      <c r="O220" s="473"/>
      <c r="P220" s="473"/>
      <c r="Q220" s="473"/>
      <c r="R220" s="473"/>
      <c r="S220" s="473"/>
      <c r="T220" s="482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  <c r="AL220" s="473"/>
      <c r="AM220" s="473"/>
      <c r="AN220" s="473"/>
      <c r="AO220" s="473"/>
      <c r="AP220" s="473"/>
      <c r="AQ220" s="473"/>
      <c r="AR220" s="473"/>
      <c r="AS220" s="473"/>
      <c r="AT220" s="473"/>
    </row>
    <row r="221" spans="1:46" ht="15" customHeight="1">
      <c r="A221" s="90" t="s">
        <v>255</v>
      </c>
    </row>
    <row r="222" spans="1:46" ht="15" customHeight="1">
      <c r="A222" s="77" t="s">
        <v>256</v>
      </c>
      <c r="D222" s="582" t="str">
        <f>'10-Trafik Hesap'!P56</f>
        <v>UYGUNDUR.</v>
      </c>
      <c r="E222" s="583"/>
      <c r="F222" s="80" t="s">
        <v>257</v>
      </c>
    </row>
  </sheetData>
  <sheetProtection algorithmName="SHA-512" hashValue="xC7DD+tVwoupImcQLrsyumu4yGaZ6LCW6OCw7CA/FGWbvpuDtzcY6mhcUW7WDKGfAWmpuTNRgGOKyKveH3Fb9w==" saltValue="U48lnVtBiAzaIawZdRbdhQ==" spinCount="100000" sheet="1" objects="1" scenarios="1"/>
  <mergeCells count="161">
    <mergeCell ref="D197:E197"/>
    <mergeCell ref="D172:E172"/>
    <mergeCell ref="D187:E187"/>
    <mergeCell ref="A64:B64"/>
    <mergeCell ref="A12:B12"/>
    <mergeCell ref="A23:B23"/>
    <mergeCell ref="D188:E188"/>
    <mergeCell ref="A44:B44"/>
    <mergeCell ref="A73:A74"/>
    <mergeCell ref="D110:E110"/>
    <mergeCell ref="A58:B58"/>
    <mergeCell ref="A114:B114"/>
    <mergeCell ref="D184:E184"/>
    <mergeCell ref="C132:G132"/>
    <mergeCell ref="A81:A82"/>
    <mergeCell ref="D137:E137"/>
    <mergeCell ref="A143:C143"/>
    <mergeCell ref="D211:E211"/>
    <mergeCell ref="A97:B97"/>
    <mergeCell ref="D222:E222"/>
    <mergeCell ref="A135:G135"/>
    <mergeCell ref="G57:G58"/>
    <mergeCell ref="A60:B60"/>
    <mergeCell ref="D119:E119"/>
    <mergeCell ref="E42:F42"/>
    <mergeCell ref="A56:C56"/>
    <mergeCell ref="D159:E159"/>
    <mergeCell ref="D190:E190"/>
    <mergeCell ref="A110:B110"/>
    <mergeCell ref="D111:E111"/>
    <mergeCell ref="C77:C79"/>
    <mergeCell ref="D183:E183"/>
    <mergeCell ref="D219:E219"/>
    <mergeCell ref="D145:E145"/>
    <mergeCell ref="D154:E154"/>
    <mergeCell ref="D210:E210"/>
    <mergeCell ref="G59:G63"/>
    <mergeCell ref="D209:E209"/>
    <mergeCell ref="G43:G47"/>
    <mergeCell ref="A47:B47"/>
    <mergeCell ref="D201:E201"/>
    <mergeCell ref="D216:E216"/>
    <mergeCell ref="D169:E169"/>
    <mergeCell ref="A102:B102"/>
    <mergeCell ref="B81:B82"/>
    <mergeCell ref="D144:E144"/>
    <mergeCell ref="D218:E218"/>
    <mergeCell ref="E68:F68"/>
    <mergeCell ref="A158:C158"/>
    <mergeCell ref="D217:E217"/>
    <mergeCell ref="A90:G91"/>
    <mergeCell ref="C66:C68"/>
    <mergeCell ref="D170:E170"/>
    <mergeCell ref="A75:B75"/>
    <mergeCell ref="D194:E194"/>
    <mergeCell ref="D163:E163"/>
    <mergeCell ref="A80:B80"/>
    <mergeCell ref="A66:B68"/>
    <mergeCell ref="D162:E162"/>
    <mergeCell ref="D156:E156"/>
    <mergeCell ref="D171:E171"/>
    <mergeCell ref="D214:E214"/>
    <mergeCell ref="B83:B84"/>
    <mergeCell ref="D212:E212"/>
    <mergeCell ref="D202:E202"/>
    <mergeCell ref="D206:E206"/>
    <mergeCell ref="A26:B26"/>
    <mergeCell ref="D181:E181"/>
    <mergeCell ref="A31:B32"/>
    <mergeCell ref="E38:E40"/>
    <mergeCell ref="D168:E168"/>
    <mergeCell ref="D180:E180"/>
    <mergeCell ref="D118:E118"/>
    <mergeCell ref="D167:E167"/>
    <mergeCell ref="D161:E161"/>
    <mergeCell ref="A63:B63"/>
    <mergeCell ref="A65:B65"/>
    <mergeCell ref="A57:B57"/>
    <mergeCell ref="A106:B106"/>
    <mergeCell ref="D196:E196"/>
    <mergeCell ref="C38:C39"/>
    <mergeCell ref="A43:B43"/>
    <mergeCell ref="A83:A84"/>
    <mergeCell ref="D182:E182"/>
    <mergeCell ref="E35:F35"/>
    <mergeCell ref="A192:C192"/>
    <mergeCell ref="D174:E174"/>
    <mergeCell ref="A199:B199"/>
    <mergeCell ref="D173:E173"/>
    <mergeCell ref="D215:E215"/>
    <mergeCell ref="A76:B76"/>
    <mergeCell ref="A33:B33"/>
    <mergeCell ref="A40:B41"/>
    <mergeCell ref="D112:E112"/>
    <mergeCell ref="D205:E205"/>
    <mergeCell ref="A42:B42"/>
    <mergeCell ref="F85:G89"/>
    <mergeCell ref="A17:B17"/>
    <mergeCell ref="A22:B22"/>
    <mergeCell ref="A35:B35"/>
    <mergeCell ref="D114:E114"/>
    <mergeCell ref="A62:B62"/>
    <mergeCell ref="A69:B70"/>
    <mergeCell ref="C69:C70"/>
    <mergeCell ref="D177:E177"/>
    <mergeCell ref="A19:B19"/>
    <mergeCell ref="A28:B28"/>
    <mergeCell ref="D113:E113"/>
    <mergeCell ref="E93:F93"/>
    <mergeCell ref="D148:E148"/>
    <mergeCell ref="A77:B79"/>
    <mergeCell ref="A30:B30"/>
    <mergeCell ref="D115:E115"/>
    <mergeCell ref="I57:I58"/>
    <mergeCell ref="A71:A72"/>
    <mergeCell ref="D213:E213"/>
    <mergeCell ref="D160:E160"/>
    <mergeCell ref="E57:F58"/>
    <mergeCell ref="D141:E141"/>
    <mergeCell ref="A38:B39"/>
    <mergeCell ref="D150:E150"/>
    <mergeCell ref="E65:F65"/>
    <mergeCell ref="A165:C165"/>
    <mergeCell ref="A59:B59"/>
    <mergeCell ref="D203:E203"/>
    <mergeCell ref="A45:B45"/>
    <mergeCell ref="A61:B61"/>
    <mergeCell ref="D140:E140"/>
    <mergeCell ref="H117:I117"/>
    <mergeCell ref="D195:E195"/>
    <mergeCell ref="D189:E189"/>
    <mergeCell ref="D204:E204"/>
    <mergeCell ref="A46:B46"/>
    <mergeCell ref="C133:G133"/>
    <mergeCell ref="C40:C41"/>
    <mergeCell ref="D179:E179"/>
    <mergeCell ref="D178:E178"/>
    <mergeCell ref="B1:G3"/>
    <mergeCell ref="A21:C21"/>
    <mergeCell ref="A88:B88"/>
    <mergeCell ref="D155:E155"/>
    <mergeCell ref="D149:E149"/>
    <mergeCell ref="A6:B7"/>
    <mergeCell ref="C6:C7"/>
    <mergeCell ref="A13:B14"/>
    <mergeCell ref="C31:C32"/>
    <mergeCell ref="A4:C4"/>
    <mergeCell ref="D117:F117"/>
    <mergeCell ref="A1:A3"/>
    <mergeCell ref="A5:B5"/>
    <mergeCell ref="E7:F7"/>
    <mergeCell ref="A16:B16"/>
    <mergeCell ref="A18:B18"/>
    <mergeCell ref="A10:C10"/>
    <mergeCell ref="C13:C14"/>
    <mergeCell ref="E4:F5"/>
    <mergeCell ref="E36:E37"/>
    <mergeCell ref="G36:G40"/>
    <mergeCell ref="A15:B15"/>
    <mergeCell ref="A37:C37"/>
    <mergeCell ref="A8:B8"/>
  </mergeCells>
  <conditionalFormatting sqref="D137">
    <cfRule type="expression" dxfId="189" priority="2">
      <formula>$D$137="UYGUN DEĞİLDİR."</formula>
    </cfRule>
  </conditionalFormatting>
  <conditionalFormatting sqref="D140">
    <cfRule type="expression" dxfId="188" priority="3">
      <formula>$D$140="UYGUN DEĞİLDİR."</formula>
    </cfRule>
  </conditionalFormatting>
  <conditionalFormatting sqref="D141">
    <cfRule type="expression" dxfId="187" priority="4">
      <formula>$D$141="UYGUN DEĞİLDİR."</formula>
    </cfRule>
  </conditionalFormatting>
  <conditionalFormatting sqref="D144">
    <cfRule type="expression" dxfId="186" priority="5">
      <formula>$D$144="UYGUN DEĞİLDİR."</formula>
    </cfRule>
  </conditionalFormatting>
  <conditionalFormatting sqref="D145">
    <cfRule type="expression" dxfId="185" priority="6">
      <formula>$D$145="UYGUN DEĞİLDİR."</formula>
    </cfRule>
  </conditionalFormatting>
  <conditionalFormatting sqref="D148">
    <cfRule type="expression" dxfId="184" priority="7">
      <formula>$D$148="UYGUN DEĞİLDİR."</formula>
    </cfRule>
  </conditionalFormatting>
  <conditionalFormatting sqref="D149">
    <cfRule type="expression" dxfId="183" priority="8">
      <formula>$D$149="UYGUN DEĞİLDİR."</formula>
    </cfRule>
  </conditionalFormatting>
  <conditionalFormatting sqref="D150">
    <cfRule type="expression" dxfId="182" priority="9">
      <formula>$D$150="UYGUN DEĞİLDİR."</formula>
    </cfRule>
  </conditionalFormatting>
  <conditionalFormatting sqref="D151">
    <cfRule type="expression" dxfId="181" priority="10">
      <formula>$D$151="UYGUN DEĞİLDİR."</formula>
    </cfRule>
  </conditionalFormatting>
  <conditionalFormatting sqref="D154">
    <cfRule type="expression" dxfId="180" priority="11">
      <formula>$D$154="UYGUN DEĞİLDİR."</formula>
    </cfRule>
  </conditionalFormatting>
  <conditionalFormatting sqref="D155">
    <cfRule type="expression" dxfId="179" priority="12">
      <formula>$D$155="UYGUN DEĞİLDİR."</formula>
    </cfRule>
  </conditionalFormatting>
  <conditionalFormatting sqref="D156">
    <cfRule type="expression" dxfId="178" priority="13">
      <formula>$D$156="UYGUN DEĞİLDİR."</formula>
    </cfRule>
  </conditionalFormatting>
  <conditionalFormatting sqref="D159">
    <cfRule type="expression" dxfId="177" priority="14">
      <formula>$D$159="UYGUN DEĞİLDİR."</formula>
    </cfRule>
  </conditionalFormatting>
  <conditionalFormatting sqref="D160">
    <cfRule type="expression" dxfId="176" priority="15">
      <formula>$D$160="UYGUN DEĞİLDİR."</formula>
    </cfRule>
  </conditionalFormatting>
  <conditionalFormatting sqref="D161">
    <cfRule type="expression" dxfId="175" priority="16">
      <formula>$D$161="UYGUN DEĞİLDİR."</formula>
    </cfRule>
  </conditionalFormatting>
  <conditionalFormatting sqref="D162">
    <cfRule type="expression" dxfId="174" priority="53">
      <formula>$D$162="UYGUN DEĞİLDİR."</formula>
    </cfRule>
  </conditionalFormatting>
  <conditionalFormatting sqref="D163">
    <cfRule type="expression" dxfId="173" priority="17">
      <formula>$D$163="UYGUN DEĞİLDİR."</formula>
    </cfRule>
  </conditionalFormatting>
  <conditionalFormatting sqref="D167">
    <cfRule type="expression" dxfId="172" priority="18">
      <formula>$D$167="UYGUN DEĞİLDİR."</formula>
    </cfRule>
  </conditionalFormatting>
  <conditionalFormatting sqref="D168">
    <cfRule type="expression" dxfId="171" priority="19">
      <formula>$D$168="UYGUN DEĞİLDİR."</formula>
    </cfRule>
  </conditionalFormatting>
  <conditionalFormatting sqref="D169">
    <cfRule type="expression" dxfId="170" priority="20">
      <formula>$D$169="UYGUN DEĞİLDİR."</formula>
    </cfRule>
  </conditionalFormatting>
  <conditionalFormatting sqref="D170">
    <cfRule type="expression" dxfId="169" priority="21">
      <formula>$D$170="UYGUN DEĞİLDİR."</formula>
    </cfRule>
  </conditionalFormatting>
  <conditionalFormatting sqref="D171">
    <cfRule type="expression" dxfId="168" priority="22">
      <formula>$D$171="UYGUN DEĞİLDİR."</formula>
    </cfRule>
  </conditionalFormatting>
  <conditionalFormatting sqref="D172">
    <cfRule type="expression" dxfId="167" priority="23">
      <formula>$D$172="UYGUN DEĞİLDİR."</formula>
    </cfRule>
  </conditionalFormatting>
  <conditionalFormatting sqref="D173">
    <cfRule type="expression" dxfId="166" priority="24">
      <formula>$D$173="UYGUN DEĞİLDİR."</formula>
    </cfRule>
  </conditionalFormatting>
  <conditionalFormatting sqref="D174">
    <cfRule type="expression" dxfId="165" priority="25">
      <formula>$D$174="UYGUN DEĞİLDİR."</formula>
    </cfRule>
  </conditionalFormatting>
  <conditionalFormatting sqref="D177">
    <cfRule type="expression" dxfId="164" priority="26">
      <formula>$D$177="UYGUN DEĞİLDİR."</formula>
    </cfRule>
  </conditionalFormatting>
  <conditionalFormatting sqref="D178">
    <cfRule type="expression" dxfId="163" priority="27">
      <formula>$D$178="UYGUN DEĞİLDİR."</formula>
    </cfRule>
  </conditionalFormatting>
  <conditionalFormatting sqref="D179">
    <cfRule type="expression" dxfId="162" priority="28">
      <formula>$D$179="UYGUN DEĞİLDİR."</formula>
    </cfRule>
  </conditionalFormatting>
  <conditionalFormatting sqref="D180">
    <cfRule type="expression" dxfId="161" priority="29">
      <formula>$D$180="UYGUN DEĞİLDİR."</formula>
    </cfRule>
  </conditionalFormatting>
  <conditionalFormatting sqref="D181">
    <cfRule type="expression" dxfId="160" priority="30">
      <formula>$D$181="UYGUN DEĞİLDİR."</formula>
    </cfRule>
  </conditionalFormatting>
  <conditionalFormatting sqref="D182">
    <cfRule type="expression" dxfId="159" priority="31">
      <formula>$D$182="UYGUN DEĞİLDİR."</formula>
    </cfRule>
  </conditionalFormatting>
  <conditionalFormatting sqref="D183">
    <cfRule type="expression" dxfId="158" priority="32">
      <formula>$D$183="UYGUN DEĞİLDİR."</formula>
    </cfRule>
  </conditionalFormatting>
  <conditionalFormatting sqref="D184">
    <cfRule type="expression" dxfId="157" priority="33">
      <formula>$D$184="UYGUN DEĞİLDİR."</formula>
    </cfRule>
  </conditionalFormatting>
  <conditionalFormatting sqref="D187">
    <cfRule type="expression" dxfId="156" priority="34">
      <formula>$D$187="UYGUN DEĞİLDİR."</formula>
    </cfRule>
  </conditionalFormatting>
  <conditionalFormatting sqref="D188">
    <cfRule type="expression" dxfId="155" priority="35">
      <formula>$D$188="UYGUN DEĞİLDİR."</formula>
    </cfRule>
  </conditionalFormatting>
  <conditionalFormatting sqref="D189">
    <cfRule type="expression" dxfId="154" priority="36">
      <formula>$D$189="UYGUN DEĞİLDİR."</formula>
    </cfRule>
  </conditionalFormatting>
  <conditionalFormatting sqref="D190">
    <cfRule type="expression" dxfId="153" priority="37">
      <formula>$D$190="UYGUN DEĞİLDİR."</formula>
    </cfRule>
  </conditionalFormatting>
  <conditionalFormatting sqref="D194">
    <cfRule type="expression" dxfId="152" priority="38">
      <formula>$D$194="UYGUN DEĞİLDİR."</formula>
    </cfRule>
  </conditionalFormatting>
  <conditionalFormatting sqref="D195">
    <cfRule type="expression" dxfId="151" priority="39">
      <formula>$D$195="UYGUN DEĞİLDİR."</formula>
    </cfRule>
  </conditionalFormatting>
  <conditionalFormatting sqref="D196">
    <cfRule type="expression" dxfId="150" priority="40">
      <formula>$D$196="UYGUN DEĞİLDİR."</formula>
    </cfRule>
  </conditionalFormatting>
  <conditionalFormatting sqref="D197">
    <cfRule type="expression" dxfId="149" priority="41">
      <formula>$D$197="UYGUN DEĞİLDİR."</formula>
    </cfRule>
  </conditionalFormatting>
  <conditionalFormatting sqref="D201">
    <cfRule type="expression" dxfId="148" priority="42">
      <formula>$D$201="UYGUN DEĞİLDİR."</formula>
    </cfRule>
  </conditionalFormatting>
  <conditionalFormatting sqref="D202">
    <cfRule type="expression" dxfId="147" priority="43">
      <formula>$D$202="UYGUN DEĞİLDİR."</formula>
    </cfRule>
  </conditionalFormatting>
  <conditionalFormatting sqref="D203">
    <cfRule type="expression" dxfId="146" priority="44">
      <formula>$D$203="UYGUN DEĞİLDİR."</formula>
    </cfRule>
  </conditionalFormatting>
  <conditionalFormatting sqref="D204">
    <cfRule type="expression" dxfId="145" priority="45">
      <formula>$D$204="UYGUN DEĞİLDİR."</formula>
    </cfRule>
  </conditionalFormatting>
  <conditionalFormatting sqref="D205">
    <cfRule type="expression" dxfId="144" priority="46">
      <formula>$D$205="UYGUN DEĞİLDİR."</formula>
    </cfRule>
  </conditionalFormatting>
  <conditionalFormatting sqref="D206">
    <cfRule type="expression" dxfId="143" priority="47">
      <formula>$D$206="UYGUN DEĞİLDİR."</formula>
    </cfRule>
  </conditionalFormatting>
  <conditionalFormatting sqref="D209">
    <cfRule type="expression" dxfId="142" priority="48">
      <formula>$D$209="UYGUN DEĞİLDİR."</formula>
    </cfRule>
  </conditionalFormatting>
  <conditionalFormatting sqref="D210">
    <cfRule type="expression" dxfId="141" priority="49">
      <formula>$D$210="UYGUN DEĞİLDİR."</formula>
    </cfRule>
  </conditionalFormatting>
  <conditionalFormatting sqref="D211">
    <cfRule type="expression" dxfId="140" priority="50">
      <formula>$D$211="UYGUN DEĞİLDİR."</formula>
    </cfRule>
  </conditionalFormatting>
  <conditionalFormatting sqref="D212">
    <cfRule type="expression" dxfId="139" priority="51">
      <formula>$D$212="UYGUN DEĞİLDİR."</formula>
    </cfRule>
  </conditionalFormatting>
  <conditionalFormatting sqref="D213:D219">
    <cfRule type="expression" dxfId="138" priority="52">
      <formula>$D$213="UYGUN DEĞİLDİR."</formula>
    </cfRule>
  </conditionalFormatting>
  <conditionalFormatting sqref="D222">
    <cfRule type="expression" dxfId="137" priority="55">
      <formula>D222="UYGUN DEĞİLDİR."</formula>
    </cfRule>
    <cfRule type="containsText" dxfId="136" priority="56" operator="containsText" text="UYGUNDUR">
      <formula>NOT(ISERROR(SEARCH("UYGUNDUR",D222)))</formula>
    </cfRule>
  </conditionalFormatting>
  <conditionalFormatting sqref="D159:E162 D209:E213 D216:E217 D201:E206 D194:E197 D187:E190 D177:E184 D167:E174 D154:E156 D148:E150 D144:E145 D140:E141 D137:E137 D222:E222">
    <cfRule type="containsText" dxfId="135" priority="54" operator="containsText" text="UYGUNDUR">
      <formula>NOT(ISERROR(SEARCH("UYGUNDUR",D137)))</formula>
    </cfRule>
  </conditionalFormatting>
  <dataValidations xWindow="817" yWindow="407" count="33">
    <dataValidation type="list" allowBlank="1" showInputMessage="1" showErrorMessage="1" prompt="LİSTEDEN SEÇİN" sqref="F60" xr:uid="{00000000-0002-0000-0000-000000000000}">
      <formula1>$Q$2:$Q$17</formula1>
      <formula2>0</formula2>
    </dataValidation>
    <dataValidation type="list" allowBlank="1" showInputMessage="1" showErrorMessage="1" prompt="LİSTEDEN SEÇİN" sqref="F102:F103" xr:uid="{00000000-0002-0000-0000-000001000000}">
      <formula1>$Q$42:$Q$72</formula1>
      <formula2>0</formula2>
    </dataValidation>
    <dataValidation type="list" allowBlank="1" showInputMessage="1" showErrorMessage="1" prompt="LİSTEDEN SEÇİN" sqref="C62" xr:uid="{00000000-0002-0000-0000-000002000000}">
      <formula1>$U$2:$U$26</formula1>
      <formula2>0</formula2>
    </dataValidation>
    <dataValidation type="list" allowBlank="1" showErrorMessage="1" sqref="C72" xr:uid="{00000000-0002-0000-0000-000003000000}">
      <formula1>$I$12:$I$15</formula1>
      <formula2>0</formula2>
    </dataValidation>
    <dataValidation type="list" allowBlank="1" showInputMessage="1" showErrorMessage="1" prompt="LİSTEDEN SEÇİN" sqref="C59" xr:uid="{00000000-0002-0000-0000-000004000000}">
      <formula1>$S$2:$S$23</formula1>
      <formula2>0</formula2>
    </dataValidation>
    <dataValidation type="list" allowBlank="1" showInputMessage="1" showErrorMessage="1" prompt="LİSTEDEN SEÇİN" sqref="B83" xr:uid="{00000000-0002-0000-0000-000005000000}">
      <formula1>$AE$2:$AE$9</formula1>
      <formula2>0</formula2>
    </dataValidation>
    <dataValidation type="list" allowBlank="1" showInputMessage="1" showErrorMessage="1" prompt="LİSTEDEN SEÇİN" sqref="G43 G59" xr:uid="{00000000-0002-0000-0000-000006000000}">
      <formula1>$Y$41:$Y$42</formula1>
      <formula2>0</formula2>
    </dataValidation>
    <dataValidation type="list" allowBlank="1" showInputMessage="1" showErrorMessage="1" prompt="LİSTEDEN SEÇİN" sqref="B99" xr:uid="{00000000-0002-0000-0000-000007000000}">
      <formula1>$AA$2:$AA$13</formula1>
      <formula2>0</formula2>
    </dataValidation>
    <dataValidation type="list" allowBlank="1" showInputMessage="1" showErrorMessage="1" prompt="LİSTEDEN SEÇİN" sqref="B81" xr:uid="{00000000-0002-0000-0000-000008000000}">
      <formula1>$AB$2:$AB$10</formula1>
      <formula2>0</formula2>
    </dataValidation>
    <dataValidation type="list" allowBlank="1" showInputMessage="1" showErrorMessage="1" prompt="LİSTEDEN SEÇİN" sqref="B95" xr:uid="{00000000-0002-0000-0000-000009000000}">
      <formula1>$M$42:$M$62</formula1>
      <formula2>0</formula2>
    </dataValidation>
    <dataValidation type="list" allowBlank="1" showInputMessage="1" showErrorMessage="1" prompt="LİSTEDEN SEÇ" sqref="C61" xr:uid="{00000000-0002-0000-0000-00000A000000}">
      <formula1>$T$2:$T$17</formula1>
    </dataValidation>
    <dataValidation type="list" allowBlank="1" showInputMessage="1" showErrorMessage="1" prompt="LİSTEDEN SEÇİN" sqref="B100" xr:uid="{00000000-0002-0000-0000-00000B000000}">
      <formula1>$S$42:$S$43</formula1>
      <formula2>0</formula2>
    </dataValidation>
    <dataValidation type="list" allowBlank="1" showErrorMessage="1" sqref="C38" xr:uid="{00000000-0002-0000-0000-00000C000000}">
      <formula1>$N$84:$N$92</formula1>
      <formula2>0</formula2>
    </dataValidation>
    <dataValidation type="list" allowBlank="1" showDropDown="1" showInputMessage="1" showErrorMessage="1" prompt="FİRMAYI SEÇİN" sqref="C6" xr:uid="{00000000-0002-0000-0000-00000D000000}">
      <formula1>firmalistesi</formula1>
      <formula2>0</formula2>
    </dataValidation>
    <dataValidation type="list" allowBlank="1" showInputMessage="1" showErrorMessage="1" prompt="LİSTEDEN SEÇİN" sqref="B119" xr:uid="{00000000-0002-0000-0000-00000E000000}">
      <formula1>$Z$41:$Z$43</formula1>
      <formula2>0</formula2>
    </dataValidation>
    <dataValidation type="list" allowBlank="1" showInputMessage="1" showErrorMessage="1" prompt="LİSTEDEN SEÇİN" sqref="F66" xr:uid="{00000000-0002-0000-0000-00000F000000}">
      <formula1>kumandakartmarka</formula1>
      <formula2>0</formula2>
    </dataValidation>
    <dataValidation type="list" allowBlank="1" showInputMessage="1" showErrorMessage="1" prompt="LİSTEDEN SEÇİN" sqref="G36" xr:uid="{00000000-0002-0000-0000-000010000000}">
      <formula1>$O$42:$O$56</formula1>
      <formula2>0</formula2>
    </dataValidation>
    <dataValidation type="list" allowBlank="1" showInputMessage="1" showErrorMessage="1" prompt="LİSTEDEN SEÇİN" sqref="F67" xr:uid="{00000000-0002-0000-0000-000011000000}">
      <formula1>$R$2:$R$17</formula1>
      <formula2>0</formula2>
    </dataValidation>
    <dataValidation type="list" allowBlank="1" showErrorMessage="1" sqref="B104" xr:uid="{00000000-0002-0000-0000-000012000000}">
      <formula1>$I$17:$I$19</formula1>
      <formula2>0</formula2>
    </dataValidation>
    <dataValidation type="list" allowBlank="1" showInputMessage="1" showErrorMessage="1" prompt="LİSTEDEN SEÇİN" sqref="F105" xr:uid="{00000000-0002-0000-0000-000013000000}">
      <formula1>$R$42:$R$58</formula1>
      <formula2>0</formula2>
    </dataValidation>
    <dataValidation type="list" allowBlank="1" showInputMessage="1" showErrorMessage="1" prompt="LİSTEDEN SEÇİN" sqref="E73:F73" xr:uid="{00000000-0002-0000-0000-000014000000}">
      <formula1>$Y$2:$Y$7</formula1>
      <formula2>0</formula2>
    </dataValidation>
    <dataValidation type="list" allowBlank="1" showInputMessage="1" showErrorMessage="1" prompt="LİSTEDEN SEÇİN" sqref="F9" xr:uid="{00000000-0002-0000-0000-000015000000}">
      <formula1>$M$2:$M$18</formula1>
      <formula2>0</formula2>
    </dataValidation>
    <dataValidation type="list" allowBlank="1" showInputMessage="1" showErrorMessage="1" prompt="OK'A TIKLAYIN" sqref="C71" xr:uid="{00000000-0002-0000-0000-000016000000}">
      <formula1>$W$2:$W$9</formula1>
      <formula2>0</formula2>
    </dataValidation>
    <dataValidation type="list" allowBlank="1" showInputMessage="1" showErrorMessage="1" prompt="LİSTEDEN SEÇİN" sqref="F8" xr:uid="{00000000-0002-0000-0000-000017000000}">
      <formula1>kapıkilitmarka</formula1>
      <formula2>0</formula2>
    </dataValidation>
    <dataValidation type="list" allowBlank="1" showInputMessage="1" showErrorMessage="1" prompt="OK'A TIKLAYIN" sqref="C77" xr:uid="{00000000-0002-0000-0000-000018000000}">
      <formula1>$X$2:$X$4</formula1>
      <formula2>0</formula2>
    </dataValidation>
    <dataValidation type="list" allowBlank="1" showInputMessage="1" showErrorMessage="1" prompt="LİSTEDEN SEÇİN" sqref="F44" xr:uid="{00000000-0002-0000-0000-000019000000}">
      <formula1>$P$2:$P$17</formula1>
      <formula2>0</formula2>
    </dataValidation>
    <dataValidation type="list" allowBlank="1" showInputMessage="1" showErrorMessage="1" prompt="OK'A TIKLAYIN" sqref="C69" xr:uid="{00000000-0002-0000-0000-00001A000000}">
      <formula1>$Z$2:$Z$5</formula1>
      <formula2>0</formula2>
    </dataValidation>
    <dataValidation type="list" allowBlank="1" showInputMessage="1" showErrorMessage="1" prompt="LİSTEDEN SEÇİN" sqref="F106" xr:uid="{00000000-0002-0000-0000-00001B000000}">
      <formula1>$T$42:$T$43</formula1>
      <formula2>0</formula2>
    </dataValidation>
    <dataValidation type="list" allowBlank="1" showInputMessage="1" showErrorMessage="1" prompt="OK'A TIKLAYIN" sqref="C66" xr:uid="{00000000-0002-0000-0000-00001C000000}">
      <formula1>$V$2:$V$6</formula1>
      <formula2>0</formula2>
    </dataValidation>
    <dataValidation type="list" allowBlank="1" showInputMessage="1" showErrorMessage="1" prompt="LİSTEDEN SEÇİN" sqref="B118" xr:uid="{00000000-0002-0000-0000-00001D000000}">
      <formula1>$X$41:$X$42</formula1>
      <formula2>0</formula2>
    </dataValidation>
    <dataValidation type="list" allowBlank="1" showInputMessage="1" showErrorMessage="1" prompt="LİSTEDEN SEÇİN" sqref="F43 F59" xr:uid="{00000000-0002-0000-0000-00001E000000}">
      <formula1>tamponmarka</formula1>
      <formula2>0</formula2>
    </dataValidation>
    <dataValidation type="list" errorTitle="Geçersiz değer" error="Listeden bir değer seçiniz. Aksi halde bağlı hesaplar hata verir." sqref="B130" xr:uid="{00000000-0002-0000-0000-00001F000000}">
      <formula1>"Dişli,Dişlisiz"</formula1>
      <formula2>0</formula2>
    </dataValidation>
    <dataValidation type="list" allowBlank="1" showInputMessage="1" showErrorMessage="1" errorTitle="Geçersiz değer" error="Listeden bir değer seçiniz. Aksi halde bağlı hesaplar hata verir." prompt="LİSTEDEN SEÇİN" sqref="B131" xr:uid="{00000000-0002-0000-0000-000021000000}">
      <formula1>rayçeliğirm</formula1>
      <formula2>0</formula2>
    </dataValidation>
  </dataValidations>
  <hyperlinks>
    <hyperlink ref="E105" location="'Askı Tipleri'!A1" display="Kasnak Kanal Şekli" xr:uid="{00000000-0004-0000-0000-000000000000}"/>
    <hyperlink ref="F137" location="'11-Muk. Hesapları'!AH27" display="Sayfa 1" xr:uid="{00000000-0004-0000-0000-000001000000}"/>
    <hyperlink ref="F140" location="'11-Muk. Hesapları'!AH67" display="Sayfa 2" xr:uid="{00000000-0004-0000-0000-000002000000}"/>
    <hyperlink ref="F141" location="'11-Muk. Hesapları'!AH75" display="Sayfa 2" xr:uid="{00000000-0004-0000-0000-000003000000}"/>
    <hyperlink ref="F144" location="'11-Muk. Hesapları'!AP84" display="Sayfa 2" xr:uid="{00000000-0004-0000-0000-000004000000}"/>
    <hyperlink ref="F145" location="'11-Muk. Hesapları'!AP90" display="Sayfa 2" xr:uid="{00000000-0004-0000-0000-000005000000}"/>
    <hyperlink ref="F154" location="'11-Muk. Hesapları'!X142" display="Sayfa 3" xr:uid="{00000000-0004-0000-0000-000006000000}"/>
    <hyperlink ref="F155" location="'11-Muk. Hesapları'!AM156" display="Sayfa 3" xr:uid="{00000000-0004-0000-0000-000007000000}"/>
    <hyperlink ref="F156" location="'11-Muk. Hesapları'!U161" display="Sayfa 3" xr:uid="{00000000-0004-0000-0000-000008000000}"/>
    <hyperlink ref="F159" location="'11-Muk. Hesapları'!Z242" display="Sayfa 4" xr:uid="{00000000-0004-0000-0000-000009000000}"/>
    <hyperlink ref="F160" location="'11-Muk. Hesapları'!Z257" display="Sayfa 5" xr:uid="{00000000-0004-0000-0000-00000A000000}"/>
    <hyperlink ref="F161" location="'11-Muk. Hesapları'!Z271" display="Sayfa 5" xr:uid="{00000000-0004-0000-0000-00000B000000}"/>
    <hyperlink ref="F162" location="'11-Muk. Hesapları'!Z285" display="Sayfa 5" xr:uid="{00000000-0004-0000-0000-00000C000000}"/>
    <hyperlink ref="F167" location="'11-Muk. Hesapları'!AV365" display="Sayfa 7" xr:uid="{00000000-0004-0000-0000-00000D000000}"/>
    <hyperlink ref="F168" location="'11-Muk. Hesapları'!AV374" display="Sayfa 7" xr:uid="{00000000-0004-0000-0000-00000E000000}"/>
    <hyperlink ref="F169" location="'11-Muk. Hesapları'!AL379" display="Sayfa 7" xr:uid="{00000000-0004-0000-0000-00000F000000}"/>
    <hyperlink ref="F170" location="'11-Muk. Hesapları'!AL384" display="Sayfa 7" xr:uid="{00000000-0004-0000-0000-000010000000}"/>
    <hyperlink ref="F171" location="'11-Muk. Hesapları'!AQ393" display="Sayfa 7" xr:uid="{00000000-0004-0000-0000-000011000000}"/>
    <hyperlink ref="F172" location="'11-Muk. Hesapları'!AQ396" display="Sayfa 7" xr:uid="{00000000-0004-0000-0000-000012000000}"/>
    <hyperlink ref="F173" location="'11-Muk. Hesapları'!AQ401" display="Sayfa 7" xr:uid="{00000000-0004-0000-0000-000013000000}"/>
    <hyperlink ref="F174" location="'11-Muk. Hesapları'!AQ404" display="Sayfa 7" xr:uid="{00000000-0004-0000-0000-000014000000}"/>
    <hyperlink ref="F177" location="'11-Muk. Hesapları'!AQ463" display="Sayfa 8" xr:uid="{00000000-0004-0000-0000-000015000000}"/>
    <hyperlink ref="F178" location="'11-Muk. Hesapları'!AS470" display="Sayfa 8" xr:uid="{00000000-0004-0000-0000-000016000000}"/>
    <hyperlink ref="F179" location="'11-Muk. Hesapları'!AL476" display="Sayfa 9" xr:uid="{00000000-0004-0000-0000-000017000000}"/>
    <hyperlink ref="F180" location="'11-Muk. Hesapları'!AL481" display="Sayfa 9" xr:uid="{00000000-0004-0000-0000-000018000000}"/>
    <hyperlink ref="F181" location="'11-Muk. Hesapları'!AQ487" display="Sayfa 9" xr:uid="{00000000-0004-0000-0000-000019000000}"/>
    <hyperlink ref="F182" location="'11-Muk. Hesapları'!AQ490" display="Sayfa 9" xr:uid="{00000000-0004-0000-0000-00001A000000}"/>
    <hyperlink ref="F183" location="'11-Muk. Hesapları'!AQ495" display="Sayfa 9" xr:uid="{00000000-0004-0000-0000-00001B000000}"/>
    <hyperlink ref="F184" location="'11-Muk. Hesapları'!AQ498" display="Sayfa 9" xr:uid="{00000000-0004-0000-0000-00001C000000}"/>
    <hyperlink ref="F187" location="'11-Muk. Hesapları'!AO532" display="Sayfa 9" xr:uid="{00000000-0004-0000-0000-00001D000000}"/>
    <hyperlink ref="F188" location="'Veri Girişi'!AL537" display="Sayfa 10" xr:uid="{00000000-0004-0000-0000-00001E000000}"/>
    <hyperlink ref="F189" location="'11-Muk. Hesapları'!AQ542" display="Sayfa 10" xr:uid="{00000000-0004-0000-0000-00001F000000}"/>
    <hyperlink ref="F190" location="'11-Muk. Hesapları'!AQ545" display="Sayfa 10" xr:uid="{00000000-0004-0000-0000-000020000000}"/>
    <hyperlink ref="F194" location="'11-Muk. Hesapları'!AO590" display="Sayfa 10" xr:uid="{00000000-0004-0000-0000-000021000000}"/>
    <hyperlink ref="F195" location="'11-Muk. Hesapları'!AL595" display="Sayfa 10" xr:uid="{00000000-0004-0000-0000-000022000000}"/>
    <hyperlink ref="F196" location="'11-Muk. Hesapları'!AQ600" display="Sayfa 11" xr:uid="{00000000-0004-0000-0000-000023000000}"/>
    <hyperlink ref="F197" location="'11-Muk. Hesapları'!AQ603" display="Sayfa 11" xr:uid="{00000000-0004-0000-0000-000024000000}"/>
    <hyperlink ref="F201" location="'11-Muk. Hesapları'!AS635" display="Sayfa 11" xr:uid="{00000000-0004-0000-0000-000025000000}"/>
    <hyperlink ref="F202" location="'11-Muk. Hesapları'!AS636" display="Sayfa 11" xr:uid="{00000000-0004-0000-0000-000026000000}"/>
    <hyperlink ref="F203" location="'11-Muk. Hesapları'!AS637" display="Sayfa 11" xr:uid="{00000000-0004-0000-0000-000027000000}"/>
    <hyperlink ref="F204" location="'11-Muk. Hesapları'!AS638" display="Sayfa 11" xr:uid="{00000000-0004-0000-0000-000028000000}"/>
    <hyperlink ref="F205" location="'11-Muk. Hesapları'!AV639" display="Sayfa 11" xr:uid="{00000000-0004-0000-0000-000029000000}"/>
    <hyperlink ref="F206" location="'11-Muk. Hesapları'!AS640" display="Sayfa 11" xr:uid="{00000000-0004-0000-0000-00002A000000}"/>
    <hyperlink ref="F209" location="'11-Muk. Hesapları'!AS644" display="Sayfa 11" xr:uid="{00000000-0004-0000-0000-00002B000000}"/>
    <hyperlink ref="F210" location="'11-Muk. Hesapları'!AS645" display="Sayfa 11" xr:uid="{00000000-0004-0000-0000-00002C000000}"/>
    <hyperlink ref="F211" location="'11-Muk. Hesapları'!AS646" display="Sayfa 11" xr:uid="{00000000-0004-0000-0000-00002D000000}"/>
    <hyperlink ref="F212" location="'11-Muk. Hesapları'!AS647" display="Sayfa 11" xr:uid="{00000000-0004-0000-0000-00002E000000}"/>
    <hyperlink ref="F213" location="'11-Muk. Hesapları'!AS648" display="Sayfa 11" xr:uid="{00000000-0004-0000-0000-00002F000000}"/>
    <hyperlink ref="F216" location="'12-Elk.Hesapları'!AH65" display="Sayfa 1" xr:uid="{00000000-0004-0000-0000-000030000000}"/>
    <hyperlink ref="F217" location="'12-Elk.Hesapları'!AC101" display="Sayfa 2" xr:uid="{00000000-0004-0000-0000-000031000000}"/>
    <hyperlink ref="F218" location="'12-Elk.Hesapları'!A1" display="Sayfa 3" xr:uid="{00000000-0004-0000-0000-000032000000}"/>
    <hyperlink ref="F219" location="'12-Elk.Hesapları'!A1" display="Sayfa 3" xr:uid="{00000000-0004-0000-0000-000033000000}"/>
  </hyperlinks>
  <pageMargins left="0.15763888888888899" right="0.15763888888888899" top="0.196527777777778" bottom="0.196527777777778" header="0.511811023622047" footer="0.511811023622047"/>
  <pageSetup paperSize="9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252"/>
  <sheetViews>
    <sheetView zoomScaleNormal="100" workbookViewId="0">
      <selection activeCell="S14" sqref="S14:U14"/>
    </sheetView>
  </sheetViews>
  <sheetFormatPr defaultColWidth="14.42578125" defaultRowHeight="12.75"/>
  <cols>
    <col min="1" max="31" width="1.7109375" style="107" customWidth="1"/>
    <col min="32" max="33" width="2.28515625" style="107" customWidth="1"/>
    <col min="34" max="36" width="1.7109375" style="107" customWidth="1"/>
    <col min="37" max="37" width="2" style="107" customWidth="1"/>
    <col min="38" max="40" width="1.7109375" style="107" customWidth="1"/>
    <col min="41" max="41" width="2" style="107" customWidth="1"/>
    <col min="42" max="44" width="1.7109375" style="107" customWidth="1"/>
    <col min="45" max="45" width="2" style="107" customWidth="1"/>
    <col min="46" max="56" width="1.7109375" style="107" customWidth="1"/>
    <col min="57" max="57" width="14.42578125" style="107" customWidth="1"/>
  </cols>
  <sheetData>
    <row r="1" spans="1:56" ht="15" customHeight="1">
      <c r="A1" s="718" t="s">
        <v>258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</row>
    <row r="2" spans="1:56" ht="15" customHeight="1">
      <c r="A2" s="719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  <c r="Y2" s="707"/>
      <c r="Z2" s="707"/>
      <c r="AA2" s="707"/>
      <c r="AB2" s="707"/>
      <c r="AC2" s="707"/>
      <c r="AD2" s="707"/>
      <c r="AE2" s="707"/>
      <c r="AF2" s="707"/>
      <c r="AG2" s="707"/>
      <c r="AH2" s="707"/>
      <c r="AI2" s="707"/>
      <c r="AJ2" s="707"/>
      <c r="AK2" s="707"/>
      <c r="AL2" s="707"/>
      <c r="AM2" s="707"/>
      <c r="AN2" s="707"/>
      <c r="AO2" s="707"/>
      <c r="AP2" s="707"/>
      <c r="AQ2" s="707"/>
      <c r="AR2" s="707"/>
      <c r="AS2" s="707"/>
      <c r="AT2" s="707"/>
      <c r="AU2" s="707"/>
      <c r="AV2" s="707"/>
      <c r="AW2" s="707"/>
      <c r="AX2" s="707"/>
      <c r="AY2" s="707"/>
      <c r="AZ2" s="707"/>
      <c r="BA2" s="707"/>
      <c r="BB2" s="707"/>
      <c r="BC2" s="707"/>
      <c r="BD2" s="707"/>
    </row>
    <row r="3" spans="1:56" ht="7.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9"/>
    </row>
    <row r="4" spans="1:56" ht="12.75" customHeight="1">
      <c r="A4" s="110" t="s">
        <v>259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08"/>
      <c r="AZ4" s="64"/>
      <c r="BA4" s="64"/>
      <c r="BB4" s="64"/>
      <c r="BC4" s="64"/>
      <c r="BD4" s="64"/>
    </row>
    <row r="5" spans="1:56" ht="7.5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</row>
    <row r="6" spans="1:56" ht="12.75" customHeight="1">
      <c r="A6" s="720" t="s">
        <v>260</v>
      </c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113"/>
      <c r="R6" s="113"/>
      <c r="S6" s="113"/>
      <c r="T6" s="113"/>
      <c r="U6" s="113"/>
      <c r="V6" s="113"/>
      <c r="W6" s="113"/>
      <c r="X6" s="113"/>
      <c r="Y6" s="113"/>
      <c r="Z6" s="113" t="s">
        <v>261</v>
      </c>
      <c r="AA6" s="113" t="s">
        <v>262</v>
      </c>
      <c r="AB6" s="713">
        <f>PRODUCT(AB8,SUM(S17,1))</f>
        <v>26</v>
      </c>
      <c r="AC6" s="710"/>
      <c r="AD6" s="583"/>
      <c r="AE6" s="113" t="s">
        <v>263</v>
      </c>
      <c r="AF6" s="113"/>
      <c r="AG6" s="113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</row>
    <row r="7" spans="1:56" ht="12.75" customHeight="1">
      <c r="A7" s="720" t="s">
        <v>264</v>
      </c>
      <c r="B7" s="707"/>
      <c r="C7" s="707"/>
      <c r="D7" s="707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4"/>
      <c r="AC7" s="114"/>
      <c r="AD7" s="114"/>
      <c r="AE7" s="113"/>
      <c r="AF7" s="113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</row>
    <row r="8" spans="1:56" ht="12.75" customHeight="1">
      <c r="A8" s="115" t="s">
        <v>265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5" t="s">
        <v>266</v>
      </c>
      <c r="AA8" s="116" t="s">
        <v>262</v>
      </c>
      <c r="AB8" s="713">
        <f>PRODUCT(AB13,SUM(AB14,AB15))</f>
        <v>20</v>
      </c>
      <c r="AC8" s="710"/>
      <c r="AD8" s="583"/>
      <c r="AE8" s="113" t="s">
        <v>263</v>
      </c>
      <c r="AF8" s="113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</row>
    <row r="9" spans="1:56" ht="7.5" customHeight="1">
      <c r="A9" s="115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7"/>
      <c r="AA9" s="117"/>
      <c r="AB9" s="114"/>
      <c r="AC9" s="114"/>
      <c r="AD9" s="114"/>
      <c r="AE9" s="113"/>
      <c r="AF9" s="113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</row>
    <row r="10" spans="1:56" ht="12.75" customHeight="1">
      <c r="A10" s="112" t="s">
        <v>267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713">
        <f>SUM(AB14,AB15)</f>
        <v>5</v>
      </c>
      <c r="AD10" s="583"/>
      <c r="AE10" s="113" t="s">
        <v>263</v>
      </c>
      <c r="AF10" s="118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</row>
    <row r="11" spans="1:56" ht="7.5" customHeight="1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9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</row>
    <row r="12" spans="1:56" ht="12.75" customHeight="1">
      <c r="A12" s="112" t="s">
        <v>268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09"/>
      <c r="R12" s="112" t="s">
        <v>262</v>
      </c>
      <c r="S12" s="709">
        <f>'Veri Girişi'!B93</f>
        <v>1</v>
      </c>
      <c r="T12" s="710"/>
      <c r="U12" s="583"/>
      <c r="V12" s="112"/>
      <c r="W12" s="112"/>
      <c r="X12" s="112"/>
      <c r="Y12" s="109"/>
      <c r="Z12" s="109"/>
      <c r="AA12" s="120"/>
      <c r="AB12" s="115"/>
      <c r="AC12" s="115"/>
      <c r="AD12" s="115"/>
      <c r="AE12" s="115"/>
      <c r="AF12" s="115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</row>
    <row r="13" spans="1:56" ht="12.75" customHeight="1">
      <c r="A13" s="115" t="s">
        <v>269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21"/>
      <c r="Q13" s="109"/>
      <c r="R13" s="115" t="s">
        <v>262</v>
      </c>
      <c r="S13" s="709">
        <f>S12*'Veri Girişi'!B94</f>
        <v>4</v>
      </c>
      <c r="T13" s="710"/>
      <c r="U13" s="583"/>
      <c r="V13" s="115"/>
      <c r="W13" s="115"/>
      <c r="X13" s="115"/>
      <c r="Y13" s="109"/>
      <c r="Z13" s="109"/>
      <c r="AA13" s="113"/>
      <c r="AB13" s="711">
        <f>S13</f>
        <v>4</v>
      </c>
      <c r="AC13" s="707"/>
      <c r="AD13" s="113"/>
      <c r="AE13" s="113"/>
      <c r="AF13" s="113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</row>
    <row r="14" spans="1:56" ht="12.75" customHeight="1">
      <c r="A14" s="115" t="s">
        <v>270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 t="s">
        <v>271</v>
      </c>
      <c r="N14" s="115"/>
      <c r="O14" s="115"/>
      <c r="P14" s="121"/>
      <c r="Q14" s="109"/>
      <c r="R14" s="115" t="s">
        <v>262</v>
      </c>
      <c r="S14" s="709">
        <f>VLOOKUP('Veri Girişi'!B95,TABLOLAR!A5:C12,3,0)</f>
        <v>2</v>
      </c>
      <c r="T14" s="710"/>
      <c r="U14" s="583"/>
      <c r="V14" s="115"/>
      <c r="W14" s="115"/>
      <c r="X14" s="115"/>
      <c r="Y14" s="109"/>
      <c r="Z14" s="109"/>
      <c r="AA14" s="113"/>
      <c r="AB14" s="711">
        <f>PRODUCT(S14,2)</f>
        <v>4</v>
      </c>
      <c r="AC14" s="707"/>
      <c r="AD14" s="113"/>
      <c r="AE14" s="113"/>
      <c r="AF14" s="113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</row>
    <row r="15" spans="1:56" ht="12.75" customHeight="1">
      <c r="A15" s="115" t="s">
        <v>272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 t="s">
        <v>271</v>
      </c>
      <c r="N15" s="115"/>
      <c r="O15" s="115"/>
      <c r="P15" s="121"/>
      <c r="Q15" s="109"/>
      <c r="R15" s="115" t="s">
        <v>262</v>
      </c>
      <c r="S15" s="709">
        <f>IF('Veri Girişi'!B95="KONUT",1,0)</f>
        <v>1</v>
      </c>
      <c r="T15" s="710"/>
      <c r="U15" s="583"/>
      <c r="V15" s="115"/>
      <c r="W15" s="115"/>
      <c r="X15" s="115"/>
      <c r="Y15" s="109"/>
      <c r="Z15" s="109"/>
      <c r="AA15" s="113"/>
      <c r="AB15" s="711">
        <f>PRODUCT(S15,1)</f>
        <v>1</v>
      </c>
      <c r="AC15" s="707"/>
      <c r="AD15" s="113"/>
      <c r="AE15" s="113"/>
      <c r="AF15" s="113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</row>
    <row r="16" spans="1:56" ht="7.5" customHeight="1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3"/>
      <c r="Q16" s="109"/>
      <c r="R16" s="113"/>
      <c r="S16" s="114"/>
      <c r="T16" s="114"/>
      <c r="U16" s="114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</row>
    <row r="17" spans="1:56" ht="12.75" customHeight="1">
      <c r="A17" s="113" t="s">
        <v>273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 t="s">
        <v>274</v>
      </c>
      <c r="Q17" s="109"/>
      <c r="R17" s="115" t="s">
        <v>262</v>
      </c>
      <c r="S17" s="713">
        <f>IF(AB8&lt;200,0.3,0.25)</f>
        <v>0.3</v>
      </c>
      <c r="T17" s="710"/>
      <c r="U17" s="583"/>
      <c r="V17" s="115"/>
      <c r="W17" s="115"/>
      <c r="X17" s="115"/>
      <c r="Y17" s="109"/>
      <c r="Z17" s="109"/>
      <c r="AA17" s="113"/>
      <c r="AB17" s="113"/>
      <c r="AC17" s="113"/>
      <c r="AD17" s="113"/>
      <c r="AE17" s="113"/>
      <c r="AF17" s="113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</row>
    <row r="18" spans="1:56" ht="12.75" customHeight="1">
      <c r="A18" s="716" t="s">
        <v>275</v>
      </c>
      <c r="B18" s="707"/>
      <c r="C18" s="707"/>
      <c r="D18" s="707"/>
      <c r="E18" s="707"/>
      <c r="F18" s="707"/>
      <c r="G18" s="707"/>
      <c r="H18" s="707"/>
      <c r="I18" s="707"/>
      <c r="J18" s="707"/>
      <c r="K18" s="707"/>
      <c r="L18" s="707"/>
      <c r="M18" s="707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706"/>
      <c r="AD18" s="707"/>
      <c r="AE18" s="113"/>
      <c r="AF18" s="113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</row>
    <row r="19" spans="1:56" ht="12.75" customHeight="1">
      <c r="A19" s="716" t="s">
        <v>276</v>
      </c>
      <c r="B19" s="707"/>
      <c r="C19" s="707"/>
      <c r="D19" s="707"/>
      <c r="E19" s="707"/>
      <c r="F19" s="707"/>
      <c r="G19" s="707"/>
      <c r="H19" s="707"/>
      <c r="I19" s="707"/>
      <c r="J19" s="707"/>
      <c r="K19" s="707"/>
      <c r="L19" s="707"/>
      <c r="M19" s="707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</row>
    <row r="20" spans="1:56" ht="7.5" customHeight="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</row>
    <row r="21" spans="1:56" ht="15" customHeight="1">
      <c r="A21" s="110" t="s">
        <v>277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22"/>
      <c r="R21" s="122"/>
      <c r="S21" s="122"/>
      <c r="T21" s="122"/>
      <c r="U21" s="122"/>
      <c r="V21" s="122"/>
      <c r="W21" s="122"/>
      <c r="X21" s="113"/>
      <c r="Y21" s="122"/>
      <c r="Z21" s="109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64"/>
      <c r="BA21" s="64"/>
      <c r="BB21" s="64"/>
      <c r="BC21" s="64"/>
      <c r="BD21" s="64"/>
    </row>
    <row r="22" spans="1:56" ht="4.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</row>
    <row r="23" spans="1:56" ht="12.75" customHeight="1">
      <c r="A23" s="113" t="s">
        <v>278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 t="s">
        <v>279</v>
      </c>
      <c r="AB23" s="109"/>
      <c r="AC23" s="113" t="s">
        <v>262</v>
      </c>
      <c r="AD23" s="123"/>
      <c r="AE23" s="713">
        <f>2*AE24*AE25+(AE26+1)*AE27+2*AE28*AE29</f>
        <v>135.88</v>
      </c>
      <c r="AF23" s="710"/>
      <c r="AG23" s="710"/>
      <c r="AH23" s="583"/>
      <c r="AI23" s="113" t="s">
        <v>280</v>
      </c>
      <c r="AJ23" s="109"/>
      <c r="AK23" s="64"/>
      <c r="AL23" s="64"/>
      <c r="AM23" s="109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</row>
    <row r="24" spans="1:56" ht="12.75" customHeight="1">
      <c r="A24" s="708" t="s">
        <v>281</v>
      </c>
      <c r="B24" s="707"/>
      <c r="C24" s="113" t="s">
        <v>282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 t="s">
        <v>283</v>
      </c>
      <c r="AA24" s="113"/>
      <c r="AB24" s="113"/>
      <c r="AC24" s="109"/>
      <c r="AD24" s="123"/>
      <c r="AE24" s="717">
        <f>HLOOKUP('Veri Girişi'!C59,TABLOLAR!F4:X5,2,0)</f>
        <v>5.7</v>
      </c>
      <c r="AF24" s="710"/>
      <c r="AG24" s="710"/>
      <c r="AH24" s="583"/>
      <c r="AI24" s="113"/>
      <c r="AJ24" s="109"/>
      <c r="AK24" s="64"/>
      <c r="AL24" s="64"/>
      <c r="AM24" s="109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</row>
    <row r="25" spans="1:56" ht="12.75" customHeight="1">
      <c r="A25" s="708" t="s">
        <v>284</v>
      </c>
      <c r="B25" s="707"/>
      <c r="C25" s="113" t="s">
        <v>285</v>
      </c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09"/>
      <c r="AD25" s="123"/>
      <c r="AE25" s="713">
        <f>M35</f>
        <v>3</v>
      </c>
      <c r="AF25" s="710"/>
      <c r="AG25" s="710"/>
      <c r="AH25" s="583"/>
      <c r="AI25" s="113" t="s">
        <v>280</v>
      </c>
      <c r="AJ25" s="109"/>
      <c r="AK25" s="64"/>
      <c r="AL25" s="64"/>
      <c r="AM25" s="109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</row>
    <row r="26" spans="1:56" ht="12.75" customHeight="1">
      <c r="A26" s="708" t="s">
        <v>286</v>
      </c>
      <c r="B26" s="707"/>
      <c r="C26" s="113" t="s">
        <v>287</v>
      </c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 t="s">
        <v>288</v>
      </c>
      <c r="AA26" s="113"/>
      <c r="AB26" s="113"/>
      <c r="AC26" s="109"/>
      <c r="AD26" s="123"/>
      <c r="AE26" s="717">
        <f>HLOOKUP('Veri Girişi'!C59,TABLOLAR!Z4:AR5,2,0)</f>
        <v>4.5999999999999996</v>
      </c>
      <c r="AF26" s="710"/>
      <c r="AG26" s="710"/>
      <c r="AH26" s="583"/>
      <c r="AI26" s="113"/>
      <c r="AJ26" s="109"/>
      <c r="AK26" s="64"/>
      <c r="AL26" s="64"/>
      <c r="AM26" s="109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</row>
    <row r="27" spans="1:56" ht="12.75" customHeight="1">
      <c r="A27" s="708" t="s">
        <v>289</v>
      </c>
      <c r="B27" s="707"/>
      <c r="C27" s="113" t="s">
        <v>290</v>
      </c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09"/>
      <c r="AD27" s="123"/>
      <c r="AE27" s="713">
        <f>N41</f>
        <v>10.3</v>
      </c>
      <c r="AF27" s="710"/>
      <c r="AG27" s="710"/>
      <c r="AH27" s="583"/>
      <c r="AI27" s="113" t="s">
        <v>280</v>
      </c>
      <c r="AJ27" s="109"/>
      <c r="AK27" s="64"/>
      <c r="AL27" s="64"/>
      <c r="AM27" s="109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</row>
    <row r="28" spans="1:56" ht="12.75" customHeight="1">
      <c r="A28" s="708" t="s">
        <v>291</v>
      </c>
      <c r="B28" s="707"/>
      <c r="C28" s="113" t="s">
        <v>292</v>
      </c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09"/>
      <c r="AD28" s="123"/>
      <c r="AE28" s="715">
        <f>'Veri Girişi'!C60</f>
        <v>10</v>
      </c>
      <c r="AF28" s="710"/>
      <c r="AG28" s="710"/>
      <c r="AH28" s="583"/>
      <c r="AI28" s="113" t="s">
        <v>263</v>
      </c>
      <c r="AJ28" s="109"/>
      <c r="AK28" s="64"/>
      <c r="AL28" s="64"/>
      <c r="AM28" s="109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</row>
    <row r="29" spans="1:56" ht="12.75" customHeight="1">
      <c r="A29" s="708" t="s">
        <v>293</v>
      </c>
      <c r="B29" s="707"/>
      <c r="C29" s="113" t="s">
        <v>294</v>
      </c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 t="s">
        <v>295</v>
      </c>
      <c r="AA29" s="113"/>
      <c r="AB29" s="113"/>
      <c r="AC29" s="109"/>
      <c r="AD29" s="123"/>
      <c r="AE29" s="713">
        <f>IF('Veri Girişi'!C71&lt;1000,2.2,2)</f>
        <v>2.2000000000000002</v>
      </c>
      <c r="AF29" s="710"/>
      <c r="AG29" s="710"/>
      <c r="AH29" s="583"/>
      <c r="AI29" s="113" t="s">
        <v>280</v>
      </c>
      <c r="AJ29" s="109"/>
      <c r="AK29" s="64"/>
      <c r="AL29" s="64"/>
      <c r="AM29" s="109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</row>
    <row r="30" spans="1:56" ht="12.75" customHeight="1">
      <c r="A30" s="708" t="s">
        <v>296</v>
      </c>
      <c r="B30" s="707"/>
      <c r="C30" s="113" t="s">
        <v>297</v>
      </c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09"/>
      <c r="AD30" s="123"/>
      <c r="AE30" s="712">
        <f>'Veri Girişi'!C63</f>
        <v>21</v>
      </c>
      <c r="AF30" s="710"/>
      <c r="AG30" s="710"/>
      <c r="AH30" s="583"/>
      <c r="AI30" s="113" t="s">
        <v>298</v>
      </c>
      <c r="AJ30" s="109"/>
      <c r="AK30" s="64"/>
      <c r="AL30" s="64"/>
      <c r="AM30" s="109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</row>
    <row r="31" spans="1:56" ht="12.75" customHeight="1">
      <c r="A31" s="708" t="s">
        <v>299</v>
      </c>
      <c r="B31" s="707"/>
      <c r="C31" s="113" t="s">
        <v>300</v>
      </c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09"/>
      <c r="AD31" s="123"/>
      <c r="AE31" s="713">
        <f>'Veri Girişi'!B129</f>
        <v>6</v>
      </c>
      <c r="AF31" s="710"/>
      <c r="AG31" s="710"/>
      <c r="AH31" s="583"/>
      <c r="AI31" s="113"/>
      <c r="AJ31" s="109"/>
      <c r="AK31" s="64"/>
      <c r="AL31" s="64"/>
      <c r="AM31" s="109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</row>
    <row r="32" spans="1:56" ht="12.75" customHeight="1">
      <c r="A32" s="708" t="s">
        <v>301</v>
      </c>
      <c r="B32" s="707"/>
      <c r="C32" s="113" t="s">
        <v>302</v>
      </c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09"/>
      <c r="AD32" s="123"/>
      <c r="AE32" s="715">
        <f>AE30/('Veri Girişi'!C65-1)</f>
        <v>3</v>
      </c>
      <c r="AF32" s="710"/>
      <c r="AG32" s="710"/>
      <c r="AH32" s="583"/>
      <c r="AI32" s="113" t="s">
        <v>298</v>
      </c>
      <c r="AJ32" s="109"/>
      <c r="AK32" s="64"/>
      <c r="AL32" s="64"/>
      <c r="AM32" s="109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</row>
    <row r="33" spans="1:56" ht="12.75" customHeight="1">
      <c r="A33" s="708" t="s">
        <v>303</v>
      </c>
      <c r="B33" s="707"/>
      <c r="C33" s="113" t="s">
        <v>304</v>
      </c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09"/>
      <c r="AD33" s="123"/>
      <c r="AE33" s="712">
        <f>'Veri Girişi'!C61</f>
        <v>1</v>
      </c>
      <c r="AF33" s="710"/>
      <c r="AG33" s="710"/>
      <c r="AH33" s="583"/>
      <c r="AI33" s="113" t="s">
        <v>305</v>
      </c>
      <c r="AJ33" s="109"/>
      <c r="AK33" s="64"/>
      <c r="AL33" s="64"/>
      <c r="AM33" s="109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</row>
    <row r="34" spans="1:56" ht="7.5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09"/>
      <c r="AD34" s="123"/>
      <c r="AE34" s="114"/>
      <c r="AF34" s="114"/>
      <c r="AG34" s="124"/>
      <c r="AH34" s="124"/>
      <c r="AI34" s="113"/>
      <c r="AJ34" s="109"/>
      <c r="AK34" s="64"/>
      <c r="AL34" s="64"/>
      <c r="AM34" s="109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</row>
    <row r="35" spans="1:56" ht="12.75" customHeight="1">
      <c r="A35" s="113" t="s">
        <v>284</v>
      </c>
      <c r="B35" s="113" t="s">
        <v>262</v>
      </c>
      <c r="C35" s="113" t="s">
        <v>306</v>
      </c>
      <c r="D35" s="113"/>
      <c r="E35" s="113"/>
      <c r="F35" s="113"/>
      <c r="G35" s="113"/>
      <c r="H35" s="113"/>
      <c r="I35" s="113"/>
      <c r="J35" s="706" t="s">
        <v>284</v>
      </c>
      <c r="K35" s="707"/>
      <c r="L35" s="113" t="s">
        <v>262</v>
      </c>
      <c r="M35" s="706">
        <f>AE32/AE33</f>
        <v>3</v>
      </c>
      <c r="N35" s="707"/>
      <c r="O35" s="707"/>
      <c r="P35" s="113" t="s">
        <v>280</v>
      </c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09"/>
      <c r="AD35" s="123"/>
      <c r="AE35" s="114"/>
      <c r="AF35" s="114"/>
      <c r="AG35" s="124"/>
      <c r="AH35" s="124"/>
      <c r="AI35" s="113"/>
      <c r="AJ35" s="109"/>
      <c r="AK35" s="64"/>
      <c r="AL35" s="64"/>
      <c r="AM35" s="109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</row>
    <row r="36" spans="1:56" ht="7.5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09"/>
      <c r="AD36" s="123"/>
      <c r="AE36" s="114"/>
      <c r="AF36" s="114"/>
      <c r="AG36" s="124"/>
      <c r="AH36" s="124"/>
      <c r="AI36" s="113"/>
      <c r="AJ36" s="109"/>
      <c r="AK36" s="64"/>
      <c r="AL36" s="64"/>
      <c r="AM36" s="109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</row>
    <row r="37" spans="1:56" ht="12.75" customHeight="1">
      <c r="A37" s="113" t="s">
        <v>307</v>
      </c>
      <c r="B37" s="113" t="s">
        <v>308</v>
      </c>
      <c r="C37" s="113" t="s">
        <v>309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 t="s">
        <v>310</v>
      </c>
      <c r="AA37" s="113"/>
      <c r="AB37" s="113"/>
      <c r="AC37" s="109"/>
      <c r="AD37" s="123"/>
      <c r="AE37" s="713">
        <f>HLOOKUP('Veri Girişi'!C66,TABLOLAR!AT4:AX5,2,0)</f>
        <v>2.5</v>
      </c>
      <c r="AF37" s="710"/>
      <c r="AG37" s="710"/>
      <c r="AH37" s="583"/>
      <c r="AI37" s="113" t="s">
        <v>280</v>
      </c>
      <c r="AJ37" s="109"/>
      <c r="AK37" s="64"/>
      <c r="AL37" s="64"/>
      <c r="AM37" s="109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</row>
    <row r="38" spans="1:56" ht="12.75" customHeight="1">
      <c r="A38" s="113" t="s">
        <v>311</v>
      </c>
      <c r="B38" s="113" t="s">
        <v>308</v>
      </c>
      <c r="C38" s="113" t="s">
        <v>312</v>
      </c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 t="s">
        <v>310</v>
      </c>
      <c r="AA38" s="113"/>
      <c r="AB38" s="113"/>
      <c r="AC38" s="109"/>
      <c r="AD38" s="123"/>
      <c r="AE38" s="713">
        <f>HLOOKUP('Veri Girişi'!C66,TABLOLAR!AT17:AX18,2,0)</f>
        <v>3.8</v>
      </c>
      <c r="AF38" s="710"/>
      <c r="AG38" s="710"/>
      <c r="AH38" s="583"/>
      <c r="AI38" s="113" t="s">
        <v>280</v>
      </c>
      <c r="AJ38" s="109"/>
      <c r="AK38" s="64"/>
      <c r="AL38" s="64"/>
      <c r="AM38" s="109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</row>
    <row r="39" spans="1:56" ht="12.75" customHeight="1">
      <c r="A39" s="113" t="s">
        <v>313</v>
      </c>
      <c r="B39" s="113" t="s">
        <v>308</v>
      </c>
      <c r="C39" s="113" t="s">
        <v>314</v>
      </c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 t="s">
        <v>315</v>
      </c>
      <c r="AA39" s="113"/>
      <c r="AB39" s="113"/>
      <c r="AC39" s="109"/>
      <c r="AD39" s="123"/>
      <c r="AE39" s="713">
        <f>IF('Veri Girişi'!C61&lt;1,10,VLOOKUP('Veri Girişi'!C61,TABLOLAR!AX5:AY11,2,0))</f>
        <v>7</v>
      </c>
      <c r="AF39" s="710"/>
      <c r="AG39" s="710"/>
      <c r="AH39" s="583"/>
      <c r="AI39" s="113" t="s">
        <v>280</v>
      </c>
      <c r="AJ39" s="109"/>
      <c r="AK39" s="64"/>
      <c r="AL39" s="64"/>
      <c r="AM39" s="109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</row>
    <row r="40" spans="1:56" ht="7.5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09"/>
      <c r="AD40" s="123"/>
      <c r="AE40" s="114"/>
      <c r="AF40" s="114"/>
      <c r="AG40" s="124"/>
      <c r="AH40" s="124"/>
      <c r="AI40" s="113"/>
      <c r="AJ40" s="109"/>
      <c r="AK40" s="64"/>
      <c r="AL40" s="64"/>
      <c r="AM40" s="109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</row>
    <row r="41" spans="1:56" ht="12.75" customHeight="1">
      <c r="A41" s="113" t="s">
        <v>289</v>
      </c>
      <c r="B41" s="113" t="s">
        <v>262</v>
      </c>
      <c r="C41" s="113" t="s">
        <v>307</v>
      </c>
      <c r="D41" s="113" t="s">
        <v>316</v>
      </c>
      <c r="E41" s="113" t="s">
        <v>311</v>
      </c>
      <c r="F41" s="113" t="s">
        <v>316</v>
      </c>
      <c r="G41" s="113" t="s">
        <v>313</v>
      </c>
      <c r="H41" s="113" t="s">
        <v>317</v>
      </c>
      <c r="I41" s="113" t="s">
        <v>284</v>
      </c>
      <c r="J41" s="109"/>
      <c r="K41" s="113"/>
      <c r="L41" s="113" t="s">
        <v>289</v>
      </c>
      <c r="M41" s="113" t="s">
        <v>262</v>
      </c>
      <c r="N41" s="706">
        <f>AE37+AE38+AE39-M35</f>
        <v>10.3</v>
      </c>
      <c r="O41" s="707"/>
      <c r="P41" s="707"/>
      <c r="Q41" s="113" t="s">
        <v>280</v>
      </c>
      <c r="R41" s="109"/>
      <c r="S41" s="109"/>
      <c r="T41" s="109"/>
      <c r="U41" s="109"/>
      <c r="V41" s="113"/>
      <c r="W41" s="113"/>
      <c r="X41" s="113"/>
      <c r="Y41" s="109"/>
      <c r="Z41" s="109"/>
      <c r="AA41" s="109"/>
      <c r="AB41" s="109"/>
      <c r="AC41" s="109"/>
      <c r="AD41" s="123"/>
      <c r="AE41" s="114"/>
      <c r="AF41" s="114"/>
      <c r="AG41" s="124"/>
      <c r="AH41" s="124"/>
      <c r="AI41" s="113"/>
      <c r="AJ41" s="109"/>
      <c r="AK41" s="64"/>
      <c r="AL41" s="64"/>
      <c r="AM41" s="109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</row>
    <row r="42" spans="1:56" ht="7.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109"/>
      <c r="AD42" s="123"/>
      <c r="AE42" s="124"/>
      <c r="AF42" s="124"/>
      <c r="AG42" s="124"/>
      <c r="AH42" s="124"/>
      <c r="AI42" s="64"/>
      <c r="AJ42" s="109"/>
      <c r="AK42" s="64"/>
      <c r="AL42" s="64"/>
      <c r="AM42" s="109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</row>
    <row r="43" spans="1:56" ht="12.75" customHeight="1">
      <c r="A43" s="110" t="s">
        <v>318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09"/>
      <c r="AD43" s="123"/>
      <c r="AE43" s="126"/>
      <c r="AF43" s="126"/>
      <c r="AG43" s="126"/>
      <c r="AH43" s="126"/>
      <c r="AI43" s="125"/>
      <c r="AJ43" s="109"/>
      <c r="AK43" s="125"/>
      <c r="AL43" s="125"/>
      <c r="AM43" s="109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08"/>
      <c r="AZ43" s="64"/>
      <c r="BA43" s="64"/>
      <c r="BB43" s="64"/>
      <c r="BC43" s="64"/>
      <c r="BD43" s="64"/>
    </row>
    <row r="44" spans="1:56" ht="7.5" customHeight="1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09"/>
      <c r="AD44" s="123"/>
      <c r="AE44" s="126"/>
      <c r="AF44" s="126"/>
      <c r="AG44" s="126"/>
      <c r="AH44" s="126"/>
      <c r="AI44" s="125"/>
      <c r="AJ44" s="109"/>
      <c r="AK44" s="125"/>
      <c r="AL44" s="125"/>
      <c r="AM44" s="109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08"/>
      <c r="AZ44" s="64"/>
      <c r="BA44" s="64"/>
      <c r="BB44" s="64"/>
      <c r="BC44" s="64"/>
      <c r="BD44" s="64"/>
    </row>
    <row r="45" spans="1:56" ht="12.75" customHeight="1">
      <c r="A45" s="113" t="s">
        <v>319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09"/>
      <c r="AD45" s="123"/>
      <c r="AE45" s="114"/>
      <c r="AF45" s="114"/>
      <c r="AG45" s="114"/>
      <c r="AH45" s="124"/>
      <c r="AI45" s="113"/>
      <c r="AJ45" s="109"/>
      <c r="AK45" s="64"/>
      <c r="AL45" s="64"/>
      <c r="AM45" s="109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</row>
    <row r="46" spans="1:56" ht="12.75" customHeight="1">
      <c r="A46" s="113" t="s">
        <v>320</v>
      </c>
      <c r="B46" s="113" t="s">
        <v>262</v>
      </c>
      <c r="C46" s="113" t="s">
        <v>321</v>
      </c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706"/>
      <c r="R46" s="707"/>
      <c r="S46" s="707"/>
      <c r="T46" s="707"/>
      <c r="U46" s="707"/>
      <c r="V46" s="707"/>
      <c r="W46" s="707"/>
      <c r="X46" s="707"/>
      <c r="Y46" s="707"/>
      <c r="Z46" s="113"/>
      <c r="AA46" s="113" t="s">
        <v>320</v>
      </c>
      <c r="AB46" s="113" t="s">
        <v>262</v>
      </c>
      <c r="AC46" s="109"/>
      <c r="AD46" s="123"/>
      <c r="AE46" s="712">
        <f>5*60*0.8*AE28/AE23</f>
        <v>17.662643508978512</v>
      </c>
      <c r="AF46" s="710"/>
      <c r="AG46" s="710"/>
      <c r="AH46" s="583"/>
      <c r="AI46" s="113" t="s">
        <v>263</v>
      </c>
      <c r="AJ46" s="109"/>
      <c r="AK46" s="113"/>
      <c r="AL46" s="64"/>
      <c r="AM46" s="109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</row>
    <row r="47" spans="1:56" ht="7.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09"/>
      <c r="AD47" s="123"/>
      <c r="AE47" s="114"/>
      <c r="AF47" s="114"/>
      <c r="AG47" s="114"/>
      <c r="AH47" s="124"/>
      <c r="AI47" s="113"/>
      <c r="AJ47" s="109"/>
      <c r="AK47" s="64"/>
      <c r="AL47" s="64"/>
      <c r="AM47" s="109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</row>
    <row r="48" spans="1:56" ht="12.75" customHeight="1">
      <c r="A48" s="113" t="s">
        <v>322</v>
      </c>
      <c r="B48" s="113" t="s">
        <v>262</v>
      </c>
      <c r="C48" s="113" t="s">
        <v>323</v>
      </c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 t="s">
        <v>322</v>
      </c>
      <c r="AB48" s="113" t="s">
        <v>262</v>
      </c>
      <c r="AC48" s="109"/>
      <c r="AD48" s="123"/>
      <c r="AE48" s="712">
        <f>AB6*AE50/AE46/100</f>
        <v>0.11040249999999999</v>
      </c>
      <c r="AF48" s="710"/>
      <c r="AG48" s="710"/>
      <c r="AH48" s="583"/>
      <c r="AI48" s="113" t="s">
        <v>324</v>
      </c>
      <c r="AJ48" s="109"/>
      <c r="AK48" s="64"/>
      <c r="AL48" s="64"/>
      <c r="AM48" s="109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</row>
    <row r="49" spans="1:56" ht="7.5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09"/>
      <c r="AD49" s="123"/>
      <c r="AE49" s="114"/>
      <c r="AF49" s="114"/>
      <c r="AG49" s="114"/>
      <c r="AH49" s="124"/>
      <c r="AI49" s="113"/>
      <c r="AJ49" s="109"/>
      <c r="AK49" s="64"/>
      <c r="AL49" s="64"/>
      <c r="AM49" s="109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</row>
    <row r="50" spans="1:56" ht="12.75" customHeight="1">
      <c r="A50" s="113" t="s">
        <v>325</v>
      </c>
      <c r="B50" s="113" t="s">
        <v>308</v>
      </c>
      <c r="C50" s="113" t="s">
        <v>326</v>
      </c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 t="s">
        <v>327</v>
      </c>
      <c r="AA50" s="113"/>
      <c r="AB50" s="113"/>
      <c r="AC50" s="109"/>
      <c r="AD50" s="123"/>
      <c r="AE50" s="713">
        <f>IF('Veri Girişi'!C65&lt;11,7.5,10)</f>
        <v>7.5</v>
      </c>
      <c r="AF50" s="710"/>
      <c r="AG50" s="710"/>
      <c r="AH50" s="583"/>
      <c r="AI50" s="113" t="s">
        <v>328</v>
      </c>
      <c r="AJ50" s="109"/>
      <c r="AK50" s="64"/>
      <c r="AL50" s="64"/>
      <c r="AM50" s="109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</row>
    <row r="51" spans="1:56" ht="7.5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09"/>
      <c r="AD51" s="123"/>
      <c r="AE51" s="113"/>
      <c r="AF51" s="113"/>
      <c r="AG51" s="113"/>
      <c r="AH51" s="64"/>
      <c r="AI51" s="64"/>
      <c r="AJ51" s="64"/>
      <c r="AK51" s="64"/>
      <c r="AL51" s="64"/>
      <c r="AM51" s="113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</row>
    <row r="52" spans="1:56" ht="12.75" customHeight="1">
      <c r="A52" s="113" t="s">
        <v>329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714">
        <f>ROUNDUP(AE48,0)</f>
        <v>1</v>
      </c>
      <c r="Q52" s="583"/>
      <c r="R52" s="113" t="s">
        <v>330</v>
      </c>
      <c r="S52" s="118"/>
      <c r="T52" s="118"/>
      <c r="U52" s="118"/>
      <c r="V52" s="118"/>
      <c r="W52" s="118"/>
      <c r="X52" s="118"/>
      <c r="Y52" s="109"/>
      <c r="Z52" s="113"/>
      <c r="AA52" s="113"/>
      <c r="AB52" s="113"/>
      <c r="AC52" s="109"/>
      <c r="AD52" s="123"/>
      <c r="AE52" s="113"/>
      <c r="AF52" s="113"/>
      <c r="AG52" s="113"/>
      <c r="AH52" s="64"/>
      <c r="AI52" s="64"/>
      <c r="AJ52" s="64"/>
      <c r="AK52" s="64"/>
      <c r="AL52" s="64"/>
      <c r="AM52" s="113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 t="s">
        <v>331</v>
      </c>
      <c r="BA52" s="64"/>
      <c r="BB52" s="64"/>
      <c r="BC52" s="64"/>
      <c r="BD52" s="64"/>
    </row>
    <row r="53" spans="1:56" ht="12.75" customHeight="1">
      <c r="A53" s="113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09"/>
      <c r="AD53" s="123"/>
      <c r="AE53" s="706"/>
      <c r="AF53" s="707"/>
      <c r="AG53" s="707"/>
      <c r="AH53" s="707"/>
      <c r="AI53" s="64"/>
      <c r="AJ53" s="64"/>
      <c r="AK53" s="64"/>
      <c r="AL53" s="64"/>
      <c r="AM53" s="113"/>
      <c r="AN53" s="64"/>
      <c r="AO53" s="64"/>
      <c r="AP53" s="64"/>
      <c r="AQ53" s="64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18"/>
      <c r="BC53" s="118"/>
      <c r="BD53" s="118"/>
    </row>
    <row r="54" spans="1:56" ht="12" customHeight="1">
      <c r="A54" s="113" t="s">
        <v>332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27">
        <v>1</v>
      </c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23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</row>
    <row r="55" spans="1:56" ht="12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23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</row>
    <row r="56" spans="1:56" ht="12" customHeight="1">
      <c r="A56" s="113" t="s">
        <v>333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27" t="str">
        <f>IF(P54&gt;=P52,"UYGUNDUR.","UYGUN DEĞİLDİR.")</f>
        <v>UYGUNDUR.</v>
      </c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23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</row>
    <row r="57" spans="1:56" ht="12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23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</row>
    <row r="58" spans="1:56" ht="12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23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</row>
    <row r="59" spans="1:56" ht="12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23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</row>
    <row r="60" spans="1:56" ht="12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23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</row>
    <row r="61" spans="1:56" ht="12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23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</row>
    <row r="62" spans="1:56" ht="12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23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</row>
    <row r="63" spans="1:56" ht="12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23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</row>
    <row r="64" spans="1:56" ht="12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23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</row>
    <row r="65" spans="1:56" ht="12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23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</row>
    <row r="66" spans="1:56" ht="12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23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</row>
    <row r="67" spans="1:56" ht="12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23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</row>
    <row r="68" spans="1:56" ht="12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23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</row>
    <row r="69" spans="1:56" ht="12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23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</row>
    <row r="70" spans="1:56" ht="12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23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</row>
    <row r="71" spans="1:56" ht="12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23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</row>
    <row r="72" spans="1:56" ht="12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23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</row>
    <row r="73" spans="1:56" ht="12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23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</row>
    <row r="74" spans="1:56" ht="12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23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</row>
    <row r="75" spans="1:56" ht="12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23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</row>
    <row r="76" spans="1:56" ht="12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23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</row>
    <row r="77" spans="1:56" ht="12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23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</row>
    <row r="78" spans="1:56" ht="12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23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</row>
    <row r="79" spans="1:56" ht="12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23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109"/>
      <c r="BB79" s="109"/>
      <c r="BC79" s="109"/>
      <c r="BD79" s="109"/>
    </row>
    <row r="80" spans="1:56" ht="12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23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</row>
    <row r="81" spans="1:56" ht="12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23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109"/>
      <c r="BC81" s="109"/>
      <c r="BD81" s="109"/>
    </row>
    <row r="82" spans="1:56" ht="12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23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109"/>
      <c r="BC82" s="109"/>
      <c r="BD82" s="109"/>
    </row>
    <row r="83" spans="1:56" ht="12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23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</row>
    <row r="84" spans="1:56" ht="12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23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</row>
    <row r="85" spans="1:56" ht="12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23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</row>
    <row r="86" spans="1:56" ht="12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23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</row>
    <row r="87" spans="1:56" ht="12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23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109"/>
      <c r="BC87" s="109"/>
      <c r="BD87" s="109"/>
    </row>
    <row r="88" spans="1:56" ht="12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23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</row>
    <row r="89" spans="1:56" ht="12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23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109"/>
      <c r="BC89" s="109"/>
      <c r="BD89" s="109"/>
    </row>
    <row r="90" spans="1:56" ht="12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23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</row>
    <row r="91" spans="1:56" ht="12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23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109"/>
      <c r="BC91" s="109"/>
      <c r="BD91" s="109"/>
    </row>
    <row r="92" spans="1:56" ht="12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23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</row>
    <row r="93" spans="1:56" ht="12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23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</row>
    <row r="94" spans="1:56" ht="12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23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109"/>
      <c r="BC94" s="109"/>
      <c r="BD94" s="109"/>
    </row>
    <row r="95" spans="1:56" ht="12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23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109"/>
      <c r="BC95" s="109"/>
      <c r="BD95" s="109"/>
    </row>
    <row r="96" spans="1:56" ht="12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23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109"/>
      <c r="BC96" s="109"/>
      <c r="BD96" s="109"/>
    </row>
    <row r="97" spans="1:56" ht="12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23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  <c r="BB97" s="109"/>
      <c r="BC97" s="109"/>
      <c r="BD97" s="109"/>
    </row>
    <row r="98" spans="1:56" ht="12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23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  <c r="BB98" s="109"/>
      <c r="BC98" s="109"/>
      <c r="BD98" s="109"/>
    </row>
    <row r="99" spans="1:56" ht="12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23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109"/>
      <c r="BC99" s="109"/>
      <c r="BD99" s="109"/>
    </row>
    <row r="100" spans="1:56" ht="12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23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109"/>
      <c r="BC100" s="109"/>
      <c r="BD100" s="109"/>
    </row>
    <row r="101" spans="1:56" ht="12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23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  <c r="BB101" s="109"/>
      <c r="BC101" s="109"/>
      <c r="BD101" s="109"/>
    </row>
    <row r="102" spans="1:56" ht="12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23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  <c r="BB102" s="109"/>
      <c r="BC102" s="109"/>
      <c r="BD102" s="109"/>
    </row>
    <row r="103" spans="1:56" ht="12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23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  <c r="BB103" s="109"/>
      <c r="BC103" s="109"/>
      <c r="BD103" s="109"/>
    </row>
    <row r="104" spans="1:56" ht="12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23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109"/>
      <c r="BC104" s="109"/>
      <c r="BD104" s="109"/>
    </row>
    <row r="105" spans="1:56" ht="12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23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109"/>
      <c r="BC105" s="109"/>
      <c r="BD105" s="109"/>
    </row>
    <row r="106" spans="1:56" ht="12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23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109"/>
      <c r="BC106" s="109"/>
      <c r="BD106" s="109"/>
    </row>
    <row r="107" spans="1:56" ht="12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23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  <c r="BB107" s="109"/>
      <c r="BC107" s="109"/>
      <c r="BD107" s="109"/>
    </row>
    <row r="108" spans="1:56" ht="12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23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/>
      <c r="AX108" s="109"/>
      <c r="AY108" s="109"/>
      <c r="AZ108" s="109"/>
      <c r="BA108" s="109"/>
      <c r="BB108" s="109"/>
      <c r="BC108" s="109"/>
      <c r="BD108" s="109"/>
    </row>
    <row r="109" spans="1:56" ht="12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23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</row>
    <row r="110" spans="1:56" ht="12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23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109"/>
      <c r="BB110" s="109"/>
      <c r="BC110" s="109"/>
      <c r="BD110" s="109"/>
    </row>
    <row r="111" spans="1:56" ht="12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23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109"/>
      <c r="BC111" s="109"/>
      <c r="BD111" s="109"/>
    </row>
    <row r="112" spans="1:56" ht="12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23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  <c r="AW112" s="109"/>
      <c r="AX112" s="109"/>
      <c r="AY112" s="109"/>
      <c r="AZ112" s="109"/>
      <c r="BA112" s="109"/>
      <c r="BB112" s="109"/>
      <c r="BC112" s="109"/>
      <c r="BD112" s="109"/>
    </row>
    <row r="113" spans="1:56" ht="12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23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</row>
    <row r="114" spans="1:56" ht="12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23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  <c r="BB114" s="109"/>
      <c r="BC114" s="109"/>
      <c r="BD114" s="109"/>
    </row>
    <row r="115" spans="1:56" ht="12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23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  <c r="BB115" s="109"/>
      <c r="BC115" s="109"/>
      <c r="BD115" s="109"/>
    </row>
    <row r="116" spans="1:56" ht="12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23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</row>
    <row r="117" spans="1:56" ht="12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23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109"/>
      <c r="BB117" s="109"/>
      <c r="BC117" s="109"/>
      <c r="BD117" s="109"/>
    </row>
    <row r="118" spans="1:56" ht="12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23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</row>
    <row r="119" spans="1:56" ht="12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23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  <c r="BB119" s="109"/>
      <c r="BC119" s="109"/>
      <c r="BD119" s="109"/>
    </row>
    <row r="120" spans="1:56" ht="12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23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109"/>
      <c r="BC120" s="109"/>
      <c r="BD120" s="109"/>
    </row>
    <row r="121" spans="1:56" ht="12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23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109"/>
      <c r="BC121" s="109"/>
      <c r="BD121" s="109"/>
    </row>
    <row r="122" spans="1:56" ht="12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23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  <c r="BB122" s="109"/>
      <c r="BC122" s="109"/>
      <c r="BD122" s="109"/>
    </row>
    <row r="123" spans="1:56" ht="12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23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109"/>
      <c r="BC123" s="109"/>
      <c r="BD123" s="109"/>
    </row>
    <row r="124" spans="1:56" ht="12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23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109"/>
      <c r="BC124" s="109"/>
      <c r="BD124" s="109"/>
    </row>
    <row r="125" spans="1:56" ht="12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23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109"/>
      <c r="BC125" s="109"/>
      <c r="BD125" s="109"/>
    </row>
    <row r="126" spans="1:56" ht="12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23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109"/>
      <c r="BB126" s="109"/>
      <c r="BC126" s="109"/>
      <c r="BD126" s="109"/>
    </row>
    <row r="127" spans="1:56" ht="12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23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  <c r="AW127" s="109"/>
      <c r="AX127" s="109"/>
      <c r="AY127" s="109"/>
      <c r="AZ127" s="109"/>
      <c r="BA127" s="109"/>
      <c r="BB127" s="109"/>
      <c r="BC127" s="109"/>
      <c r="BD127" s="109"/>
    </row>
    <row r="128" spans="1:56" ht="12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23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109"/>
      <c r="BB128" s="109"/>
      <c r="BC128" s="109"/>
      <c r="BD128" s="109"/>
    </row>
    <row r="129" spans="1:56" ht="12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23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109"/>
      <c r="BB129" s="109"/>
      <c r="BC129" s="109"/>
      <c r="BD129" s="109"/>
    </row>
    <row r="130" spans="1:56" ht="12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23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  <c r="BB130" s="109"/>
      <c r="BC130" s="109"/>
      <c r="BD130" s="109"/>
    </row>
    <row r="131" spans="1:56" ht="12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23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</row>
    <row r="132" spans="1:56" ht="12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23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  <c r="BB132" s="109"/>
      <c r="BC132" s="109"/>
      <c r="BD132" s="109"/>
    </row>
    <row r="133" spans="1:56" ht="12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23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109"/>
      <c r="BB133" s="109"/>
      <c r="BC133" s="109"/>
      <c r="BD133" s="109"/>
    </row>
    <row r="134" spans="1:56" ht="12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23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109"/>
      <c r="BC134" s="109"/>
      <c r="BD134" s="109"/>
    </row>
    <row r="135" spans="1:56" ht="12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23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109"/>
      <c r="BB135" s="109"/>
      <c r="BC135" s="109"/>
      <c r="BD135" s="109"/>
    </row>
    <row r="136" spans="1:56" ht="12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23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</row>
    <row r="137" spans="1:56" ht="12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23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  <c r="BB137" s="109"/>
      <c r="BC137" s="109"/>
      <c r="BD137" s="109"/>
    </row>
    <row r="138" spans="1:56" ht="12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23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  <c r="BB138" s="109"/>
      <c r="BC138" s="109"/>
      <c r="BD138" s="109"/>
    </row>
    <row r="139" spans="1:56" ht="12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23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  <c r="AW139" s="109"/>
      <c r="AX139" s="109"/>
      <c r="AY139" s="109"/>
      <c r="AZ139" s="109"/>
      <c r="BA139" s="109"/>
      <c r="BB139" s="109"/>
      <c r="BC139" s="109"/>
      <c r="BD139" s="109"/>
    </row>
    <row r="140" spans="1:56" ht="12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23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109"/>
      <c r="BC140" s="109"/>
      <c r="BD140" s="109"/>
    </row>
    <row r="141" spans="1:56" ht="12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23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109"/>
      <c r="BC141" s="109"/>
      <c r="BD141" s="109"/>
    </row>
    <row r="142" spans="1:56" ht="12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23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</row>
    <row r="143" spans="1:56" ht="12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23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  <c r="AW143" s="109"/>
      <c r="AX143" s="109"/>
      <c r="AY143" s="109"/>
      <c r="AZ143" s="109"/>
      <c r="BA143" s="109"/>
      <c r="BB143" s="109"/>
      <c r="BC143" s="109"/>
      <c r="BD143" s="109"/>
    </row>
    <row r="144" spans="1:56" ht="12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23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  <c r="AW144" s="109"/>
      <c r="AX144" s="109"/>
      <c r="AY144" s="109"/>
      <c r="AZ144" s="109"/>
      <c r="BA144" s="109"/>
      <c r="BB144" s="109"/>
      <c r="BC144" s="109"/>
      <c r="BD144" s="109"/>
    </row>
    <row r="145" spans="1:56" ht="12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23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109"/>
      <c r="BB145" s="109"/>
      <c r="BC145" s="109"/>
      <c r="BD145" s="109"/>
    </row>
    <row r="146" spans="1:56" ht="12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23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/>
      <c r="AX146" s="109"/>
      <c r="AY146" s="109"/>
      <c r="AZ146" s="109"/>
      <c r="BA146" s="109"/>
      <c r="BB146" s="109"/>
      <c r="BC146" s="109"/>
      <c r="BD146" s="109"/>
    </row>
    <row r="147" spans="1:56" ht="12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23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109"/>
      <c r="AX147" s="109"/>
      <c r="AY147" s="109"/>
      <c r="AZ147" s="109"/>
      <c r="BA147" s="109"/>
      <c r="BB147" s="109"/>
      <c r="BC147" s="109"/>
      <c r="BD147" s="109"/>
    </row>
    <row r="148" spans="1:56" ht="12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23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/>
      <c r="AX148" s="109"/>
      <c r="AY148" s="109"/>
      <c r="AZ148" s="109"/>
      <c r="BA148" s="109"/>
      <c r="BB148" s="109"/>
      <c r="BC148" s="109"/>
      <c r="BD148" s="109"/>
    </row>
    <row r="149" spans="1:56" ht="12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23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109"/>
      <c r="AR149" s="109"/>
      <c r="AS149" s="109"/>
      <c r="AT149" s="109"/>
      <c r="AU149" s="109"/>
      <c r="AV149" s="109"/>
      <c r="AW149" s="109"/>
      <c r="AX149" s="109"/>
      <c r="AY149" s="109"/>
      <c r="AZ149" s="109"/>
      <c r="BA149" s="109"/>
      <c r="BB149" s="109"/>
      <c r="BC149" s="109"/>
      <c r="BD149" s="109"/>
    </row>
    <row r="150" spans="1:56" ht="12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23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109"/>
      <c r="AP150" s="109"/>
      <c r="AQ150" s="109"/>
      <c r="AR150" s="109"/>
      <c r="AS150" s="109"/>
      <c r="AT150" s="109"/>
      <c r="AU150" s="109"/>
      <c r="AV150" s="109"/>
      <c r="AW150" s="109"/>
      <c r="AX150" s="109"/>
      <c r="AY150" s="109"/>
      <c r="AZ150" s="109"/>
      <c r="BA150" s="109"/>
      <c r="BB150" s="109"/>
      <c r="BC150" s="109"/>
      <c r="BD150" s="109"/>
    </row>
    <row r="151" spans="1:56" ht="12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23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  <c r="AO151" s="109"/>
      <c r="AP151" s="109"/>
      <c r="AQ151" s="109"/>
      <c r="AR151" s="109"/>
      <c r="AS151" s="109"/>
      <c r="AT151" s="109"/>
      <c r="AU151" s="109"/>
      <c r="AV151" s="109"/>
      <c r="AW151" s="109"/>
      <c r="AX151" s="109"/>
      <c r="AY151" s="109"/>
      <c r="AZ151" s="109"/>
      <c r="BA151" s="109"/>
      <c r="BB151" s="109"/>
      <c r="BC151" s="109"/>
      <c r="BD151" s="109"/>
    </row>
    <row r="152" spans="1:56" ht="12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23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109"/>
      <c r="AP152" s="109"/>
      <c r="AQ152" s="109"/>
      <c r="AR152" s="109"/>
      <c r="AS152" s="109"/>
      <c r="AT152" s="109"/>
      <c r="AU152" s="109"/>
      <c r="AV152" s="109"/>
      <c r="AW152" s="109"/>
      <c r="AX152" s="109"/>
      <c r="AY152" s="109"/>
      <c r="AZ152" s="109"/>
      <c r="BA152" s="109"/>
      <c r="BB152" s="109"/>
      <c r="BC152" s="109"/>
      <c r="BD152" s="109"/>
    </row>
    <row r="153" spans="1:56" ht="12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23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  <c r="AO153" s="109"/>
      <c r="AP153" s="109"/>
      <c r="AQ153" s="109"/>
      <c r="AR153" s="109"/>
      <c r="AS153" s="109"/>
      <c r="AT153" s="109"/>
      <c r="AU153" s="109"/>
      <c r="AV153" s="109"/>
      <c r="AW153" s="109"/>
      <c r="AX153" s="109"/>
      <c r="AY153" s="109"/>
      <c r="AZ153" s="109"/>
      <c r="BA153" s="109"/>
      <c r="BB153" s="109"/>
      <c r="BC153" s="109"/>
      <c r="BD153" s="109"/>
    </row>
    <row r="154" spans="1:56" ht="12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23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  <c r="AW154" s="109"/>
      <c r="AX154" s="109"/>
      <c r="AY154" s="109"/>
      <c r="AZ154" s="109"/>
      <c r="BA154" s="109"/>
      <c r="BB154" s="109"/>
      <c r="BC154" s="109"/>
      <c r="BD154" s="109"/>
    </row>
    <row r="155" spans="1:56" ht="12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23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  <c r="AO155" s="109"/>
      <c r="AP155" s="109"/>
      <c r="AQ155" s="109"/>
      <c r="AR155" s="109"/>
      <c r="AS155" s="109"/>
      <c r="AT155" s="109"/>
      <c r="AU155" s="109"/>
      <c r="AV155" s="109"/>
      <c r="AW155" s="109"/>
      <c r="AX155" s="109"/>
      <c r="AY155" s="109"/>
      <c r="AZ155" s="109"/>
      <c r="BA155" s="109"/>
      <c r="BB155" s="109"/>
      <c r="BC155" s="109"/>
      <c r="BD155" s="109"/>
    </row>
    <row r="156" spans="1:56" ht="12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23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09"/>
      <c r="AS156" s="109"/>
      <c r="AT156" s="109"/>
      <c r="AU156" s="109"/>
      <c r="AV156" s="109"/>
      <c r="AW156" s="109"/>
      <c r="AX156" s="109"/>
      <c r="AY156" s="109"/>
      <c r="AZ156" s="109"/>
      <c r="BA156" s="109"/>
      <c r="BB156" s="109"/>
      <c r="BC156" s="109"/>
      <c r="BD156" s="109"/>
    </row>
    <row r="157" spans="1:56" ht="12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23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09"/>
      <c r="AS157" s="109"/>
      <c r="AT157" s="109"/>
      <c r="AU157" s="109"/>
      <c r="AV157" s="109"/>
      <c r="AW157" s="109"/>
      <c r="AX157" s="109"/>
      <c r="AY157" s="109"/>
      <c r="AZ157" s="109"/>
      <c r="BA157" s="109"/>
      <c r="BB157" s="109"/>
      <c r="BC157" s="109"/>
      <c r="BD157" s="109"/>
    </row>
    <row r="158" spans="1:56" ht="12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23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/>
      <c r="AP158" s="109"/>
      <c r="AQ158" s="109"/>
      <c r="AR158" s="109"/>
      <c r="AS158" s="109"/>
      <c r="AT158" s="109"/>
      <c r="AU158" s="109"/>
      <c r="AV158" s="109"/>
      <c r="AW158" s="109"/>
      <c r="AX158" s="109"/>
      <c r="AY158" s="109"/>
      <c r="AZ158" s="109"/>
      <c r="BA158" s="109"/>
      <c r="BB158" s="109"/>
      <c r="BC158" s="109"/>
      <c r="BD158" s="109"/>
    </row>
    <row r="159" spans="1:56" ht="12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23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  <c r="AO159" s="109"/>
      <c r="AP159" s="109"/>
      <c r="AQ159" s="109"/>
      <c r="AR159" s="109"/>
      <c r="AS159" s="109"/>
      <c r="AT159" s="109"/>
      <c r="AU159" s="109"/>
      <c r="AV159" s="109"/>
      <c r="AW159" s="109"/>
      <c r="AX159" s="109"/>
      <c r="AY159" s="109"/>
      <c r="AZ159" s="109"/>
      <c r="BA159" s="109"/>
      <c r="BB159" s="109"/>
      <c r="BC159" s="109"/>
      <c r="BD159" s="109"/>
    </row>
    <row r="160" spans="1:56" ht="12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23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  <c r="AO160" s="109"/>
      <c r="AP160" s="109"/>
      <c r="AQ160" s="109"/>
      <c r="AR160" s="109"/>
      <c r="AS160" s="109"/>
      <c r="AT160" s="109"/>
      <c r="AU160" s="109"/>
      <c r="AV160" s="109"/>
      <c r="AW160" s="109"/>
      <c r="AX160" s="109"/>
      <c r="AY160" s="109"/>
      <c r="AZ160" s="109"/>
      <c r="BA160" s="109"/>
      <c r="BB160" s="109"/>
      <c r="BC160" s="109"/>
      <c r="BD160" s="109"/>
    </row>
    <row r="161" spans="1:56" ht="12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23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  <c r="AW161" s="109"/>
      <c r="AX161" s="109"/>
      <c r="AY161" s="109"/>
      <c r="AZ161" s="109"/>
      <c r="BA161" s="109"/>
      <c r="BB161" s="109"/>
      <c r="BC161" s="109"/>
      <c r="BD161" s="109"/>
    </row>
    <row r="162" spans="1:56" ht="12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23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  <c r="AO162" s="109"/>
      <c r="AP162" s="109"/>
      <c r="AQ162" s="109"/>
      <c r="AR162" s="109"/>
      <c r="AS162" s="109"/>
      <c r="AT162" s="109"/>
      <c r="AU162" s="109"/>
      <c r="AV162" s="109"/>
      <c r="AW162" s="109"/>
      <c r="AX162" s="109"/>
      <c r="AY162" s="109"/>
      <c r="AZ162" s="109"/>
      <c r="BA162" s="109"/>
      <c r="BB162" s="109"/>
      <c r="BC162" s="109"/>
      <c r="BD162" s="109"/>
    </row>
    <row r="163" spans="1:56" ht="12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23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s="109"/>
      <c r="AV163" s="109"/>
      <c r="AW163" s="109"/>
      <c r="AX163" s="109"/>
      <c r="AY163" s="109"/>
      <c r="AZ163" s="109"/>
      <c r="BA163" s="109"/>
      <c r="BB163" s="109"/>
      <c r="BC163" s="109"/>
      <c r="BD163" s="109"/>
    </row>
    <row r="164" spans="1:56" ht="12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23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  <c r="AS164" s="109"/>
      <c r="AT164" s="109"/>
      <c r="AU164" s="109"/>
      <c r="AV164" s="109"/>
      <c r="AW164" s="109"/>
      <c r="AX164" s="109"/>
      <c r="AY164" s="109"/>
      <c r="AZ164" s="109"/>
      <c r="BA164" s="109"/>
      <c r="BB164" s="109"/>
      <c r="BC164" s="109"/>
      <c r="BD164" s="109"/>
    </row>
    <row r="165" spans="1:56" ht="12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23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  <c r="AO165" s="109"/>
      <c r="AP165" s="109"/>
      <c r="AQ165" s="109"/>
      <c r="AR165" s="109"/>
      <c r="AS165" s="109"/>
      <c r="AT165" s="109"/>
      <c r="AU165" s="109"/>
      <c r="AV165" s="109"/>
      <c r="AW165" s="109"/>
      <c r="AX165" s="109"/>
      <c r="AY165" s="109"/>
      <c r="AZ165" s="109"/>
      <c r="BA165" s="109"/>
      <c r="BB165" s="109"/>
      <c r="BC165" s="109"/>
      <c r="BD165" s="109"/>
    </row>
    <row r="166" spans="1:56" ht="12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23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</row>
    <row r="167" spans="1:56" ht="12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23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  <c r="AW167" s="109"/>
      <c r="AX167" s="109"/>
      <c r="AY167" s="109"/>
      <c r="AZ167" s="109"/>
      <c r="BA167" s="109"/>
      <c r="BB167" s="109"/>
      <c r="BC167" s="109"/>
      <c r="BD167" s="109"/>
    </row>
    <row r="168" spans="1:56" ht="12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23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09"/>
      <c r="AQ168" s="109"/>
      <c r="AR168" s="109"/>
      <c r="AS168" s="109"/>
      <c r="AT168" s="109"/>
      <c r="AU168" s="109"/>
      <c r="AV168" s="109"/>
      <c r="AW168" s="109"/>
      <c r="AX168" s="109"/>
      <c r="AY168" s="109"/>
      <c r="AZ168" s="109"/>
      <c r="BA168" s="109"/>
      <c r="BB168" s="109"/>
      <c r="BC168" s="109"/>
      <c r="BD168" s="109"/>
    </row>
    <row r="169" spans="1:56" ht="12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23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  <c r="AO169" s="109"/>
      <c r="AP169" s="109"/>
      <c r="AQ169" s="109"/>
      <c r="AR169" s="109"/>
      <c r="AS169" s="109"/>
      <c r="AT169" s="109"/>
      <c r="AU169" s="109"/>
      <c r="AV169" s="109"/>
      <c r="AW169" s="109"/>
      <c r="AX169" s="109"/>
      <c r="AY169" s="109"/>
      <c r="AZ169" s="109"/>
      <c r="BA169" s="109"/>
      <c r="BB169" s="109"/>
      <c r="BC169" s="109"/>
      <c r="BD169" s="109"/>
    </row>
    <row r="170" spans="1:56" ht="12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23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</row>
    <row r="171" spans="1:56" ht="12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23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</row>
    <row r="172" spans="1:56" ht="12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23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/>
      <c r="AQ172" s="109"/>
      <c r="AR172" s="109"/>
      <c r="AS172" s="109"/>
      <c r="AT172" s="109"/>
      <c r="AU172" s="109"/>
      <c r="AV172" s="109"/>
      <c r="AW172" s="109"/>
      <c r="AX172" s="109"/>
      <c r="AY172" s="109"/>
      <c r="AZ172" s="109"/>
      <c r="BA172" s="109"/>
      <c r="BB172" s="109"/>
      <c r="BC172" s="109"/>
      <c r="BD172" s="109"/>
    </row>
    <row r="173" spans="1:56" ht="12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23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  <c r="AO173" s="109"/>
      <c r="AP173" s="109"/>
      <c r="AQ173" s="109"/>
      <c r="AR173" s="109"/>
      <c r="AS173" s="109"/>
      <c r="AT173" s="109"/>
      <c r="AU173" s="109"/>
      <c r="AV173" s="109"/>
      <c r="AW173" s="109"/>
      <c r="AX173" s="109"/>
      <c r="AY173" s="109"/>
      <c r="AZ173" s="109"/>
      <c r="BA173" s="109"/>
      <c r="BB173" s="109"/>
      <c r="BC173" s="109"/>
      <c r="BD173" s="109"/>
    </row>
    <row r="174" spans="1:56" ht="12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23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  <c r="AO174" s="109"/>
      <c r="AP174" s="109"/>
      <c r="AQ174" s="109"/>
      <c r="AR174" s="109"/>
      <c r="AS174" s="109"/>
      <c r="AT174" s="109"/>
      <c r="AU174" s="109"/>
      <c r="AV174" s="109"/>
      <c r="AW174" s="109"/>
      <c r="AX174" s="109"/>
      <c r="AY174" s="109"/>
      <c r="AZ174" s="109"/>
      <c r="BA174" s="109"/>
      <c r="BB174" s="109"/>
      <c r="BC174" s="109"/>
      <c r="BD174" s="109"/>
    </row>
    <row r="175" spans="1:56" ht="12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23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</row>
    <row r="176" spans="1:56" ht="12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23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</row>
    <row r="177" spans="1:56" ht="12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23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  <c r="AO177" s="109"/>
      <c r="AP177" s="109"/>
      <c r="AQ177" s="109"/>
      <c r="AR177" s="109"/>
      <c r="AS177" s="109"/>
      <c r="AT177" s="109"/>
      <c r="AU177" s="109"/>
      <c r="AV177" s="109"/>
      <c r="AW177" s="109"/>
      <c r="AX177" s="109"/>
      <c r="AY177" s="109"/>
      <c r="AZ177" s="109"/>
      <c r="BA177" s="109"/>
      <c r="BB177" s="109"/>
      <c r="BC177" s="109"/>
      <c r="BD177" s="109"/>
    </row>
    <row r="178" spans="1:56" ht="12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23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Q178" s="109"/>
      <c r="AR178" s="109"/>
      <c r="AS178" s="109"/>
      <c r="AT178" s="109"/>
      <c r="AU178" s="109"/>
      <c r="AV178" s="109"/>
      <c r="AW178" s="109"/>
      <c r="AX178" s="109"/>
      <c r="AY178" s="109"/>
      <c r="AZ178" s="109"/>
      <c r="BA178" s="109"/>
      <c r="BB178" s="109"/>
      <c r="BC178" s="109"/>
      <c r="BD178" s="109"/>
    </row>
    <row r="179" spans="1:56" ht="12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23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  <c r="AO179" s="109"/>
      <c r="AP179" s="109"/>
      <c r="AQ179" s="109"/>
      <c r="AR179" s="109"/>
      <c r="AS179" s="109"/>
      <c r="AT179" s="109"/>
      <c r="AU179" s="109"/>
      <c r="AV179" s="109"/>
      <c r="AW179" s="109"/>
      <c r="AX179" s="109"/>
      <c r="AY179" s="109"/>
      <c r="AZ179" s="109"/>
      <c r="BA179" s="109"/>
      <c r="BB179" s="109"/>
      <c r="BC179" s="109"/>
      <c r="BD179" s="109"/>
    </row>
    <row r="180" spans="1:56" ht="12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23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Q180" s="109"/>
      <c r="AR180" s="109"/>
      <c r="AS180" s="109"/>
      <c r="AT180" s="109"/>
      <c r="AU180" s="109"/>
      <c r="AV180" s="109"/>
      <c r="AW180" s="109"/>
      <c r="AX180" s="109"/>
      <c r="AY180" s="109"/>
      <c r="AZ180" s="109"/>
      <c r="BA180" s="109"/>
      <c r="BB180" s="109"/>
      <c r="BC180" s="109"/>
      <c r="BD180" s="109"/>
    </row>
    <row r="181" spans="1:56" ht="12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23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</row>
    <row r="182" spans="1:56" ht="12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23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  <c r="AW182" s="109"/>
      <c r="AX182" s="109"/>
      <c r="AY182" s="109"/>
      <c r="AZ182" s="109"/>
      <c r="BA182" s="109"/>
      <c r="BB182" s="109"/>
      <c r="BC182" s="109"/>
      <c r="BD182" s="109"/>
    </row>
    <row r="183" spans="1:56" ht="12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23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09"/>
      <c r="AQ183" s="109"/>
      <c r="AR183" s="109"/>
      <c r="AS183" s="109"/>
      <c r="AT183" s="109"/>
      <c r="AU183" s="109"/>
      <c r="AV183" s="109"/>
      <c r="AW183" s="109"/>
      <c r="AX183" s="109"/>
      <c r="AY183" s="109"/>
      <c r="AZ183" s="109"/>
      <c r="BA183" s="109"/>
      <c r="BB183" s="109"/>
      <c r="BC183" s="109"/>
      <c r="BD183" s="109"/>
    </row>
    <row r="184" spans="1:56" ht="12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23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  <c r="AT184" s="109"/>
      <c r="AU184" s="109"/>
      <c r="AV184" s="109"/>
      <c r="AW184" s="109"/>
      <c r="AX184" s="109"/>
      <c r="AY184" s="109"/>
      <c r="AZ184" s="109"/>
      <c r="BA184" s="109"/>
      <c r="BB184" s="109"/>
      <c r="BC184" s="109"/>
      <c r="BD184" s="109"/>
    </row>
    <row r="185" spans="1:56" ht="12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23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</row>
    <row r="186" spans="1:56" ht="12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23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  <c r="AO186" s="109"/>
      <c r="AP186" s="109"/>
      <c r="AQ186" s="109"/>
      <c r="AR186" s="109"/>
      <c r="AS186" s="109"/>
      <c r="AT186" s="109"/>
      <c r="AU186" s="109"/>
      <c r="AV186" s="109"/>
      <c r="AW186" s="109"/>
      <c r="AX186" s="109"/>
      <c r="AY186" s="109"/>
      <c r="AZ186" s="109"/>
      <c r="BA186" s="109"/>
      <c r="BB186" s="109"/>
      <c r="BC186" s="109"/>
      <c r="BD186" s="109"/>
    </row>
    <row r="187" spans="1:56" ht="12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23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</row>
    <row r="188" spans="1:56" ht="12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23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  <c r="AO188" s="109"/>
      <c r="AP188" s="109"/>
      <c r="AQ188" s="109"/>
      <c r="AR188" s="109"/>
      <c r="AS188" s="109"/>
      <c r="AT188" s="109"/>
      <c r="AU188" s="109"/>
      <c r="AV188" s="109"/>
      <c r="AW188" s="109"/>
      <c r="AX188" s="109"/>
      <c r="AY188" s="109"/>
      <c r="AZ188" s="109"/>
      <c r="BA188" s="109"/>
      <c r="BB188" s="109"/>
      <c r="BC188" s="109"/>
      <c r="BD188" s="109"/>
    </row>
    <row r="189" spans="1:56" ht="12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23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  <c r="AO189" s="109"/>
      <c r="AP189" s="109"/>
      <c r="AQ189" s="109"/>
      <c r="AR189" s="109"/>
      <c r="AS189" s="109"/>
      <c r="AT189" s="109"/>
      <c r="AU189" s="109"/>
      <c r="AV189" s="109"/>
      <c r="AW189" s="109"/>
      <c r="AX189" s="109"/>
      <c r="AY189" s="109"/>
      <c r="AZ189" s="109"/>
      <c r="BA189" s="109"/>
      <c r="BB189" s="109"/>
      <c r="BC189" s="109"/>
      <c r="BD189" s="109"/>
    </row>
    <row r="190" spans="1:56" ht="12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23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  <c r="AW190" s="109"/>
      <c r="AX190" s="109"/>
      <c r="AY190" s="109"/>
      <c r="AZ190" s="109"/>
      <c r="BA190" s="109"/>
      <c r="BB190" s="109"/>
      <c r="BC190" s="109"/>
      <c r="BD190" s="109"/>
    </row>
    <row r="191" spans="1:56" ht="12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23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  <c r="AO191" s="109"/>
      <c r="AP191" s="109"/>
      <c r="AQ191" s="109"/>
      <c r="AR191" s="109"/>
      <c r="AS191" s="109"/>
      <c r="AT191" s="109"/>
      <c r="AU191" s="109"/>
      <c r="AV191" s="109"/>
      <c r="AW191" s="109"/>
      <c r="AX191" s="109"/>
      <c r="AY191" s="109"/>
      <c r="AZ191" s="109"/>
      <c r="BA191" s="109"/>
      <c r="BB191" s="109"/>
      <c r="BC191" s="109"/>
      <c r="BD191" s="109"/>
    </row>
    <row r="192" spans="1:56" ht="12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23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  <c r="AW192" s="109"/>
      <c r="AX192" s="109"/>
      <c r="AY192" s="109"/>
      <c r="AZ192" s="109"/>
      <c r="BA192" s="109"/>
      <c r="BB192" s="109"/>
      <c r="BC192" s="109"/>
      <c r="BD192" s="109"/>
    </row>
    <row r="193" spans="1:56" ht="12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23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  <c r="AO193" s="109"/>
      <c r="AP193" s="109"/>
      <c r="AQ193" s="109"/>
      <c r="AR193" s="109"/>
      <c r="AS193" s="109"/>
      <c r="AT193" s="109"/>
      <c r="AU193" s="109"/>
      <c r="AV193" s="109"/>
      <c r="AW193" s="109"/>
      <c r="AX193" s="109"/>
      <c r="AY193" s="109"/>
      <c r="AZ193" s="109"/>
      <c r="BA193" s="109"/>
      <c r="BB193" s="109"/>
      <c r="BC193" s="109"/>
      <c r="BD193" s="109"/>
    </row>
    <row r="194" spans="1:56" ht="12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23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  <c r="AW194" s="109"/>
      <c r="AX194" s="109"/>
      <c r="AY194" s="109"/>
      <c r="AZ194" s="109"/>
      <c r="BA194" s="109"/>
      <c r="BB194" s="109"/>
      <c r="BC194" s="109"/>
      <c r="BD194" s="109"/>
    </row>
    <row r="195" spans="1:56" ht="12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23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</row>
    <row r="196" spans="1:56" ht="12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23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09"/>
      <c r="BA196" s="109"/>
      <c r="BB196" s="109"/>
      <c r="BC196" s="109"/>
      <c r="BD196" s="109"/>
    </row>
    <row r="197" spans="1:56" ht="12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23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  <c r="AW197" s="109"/>
      <c r="AX197" s="109"/>
      <c r="AY197" s="109"/>
      <c r="AZ197" s="109"/>
      <c r="BA197" s="109"/>
      <c r="BB197" s="109"/>
      <c r="BC197" s="109"/>
      <c r="BD197" s="109"/>
    </row>
    <row r="198" spans="1:56" ht="12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23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  <c r="AO198" s="109"/>
      <c r="AP198" s="109"/>
      <c r="AQ198" s="109"/>
      <c r="AR198" s="109"/>
      <c r="AS198" s="109"/>
      <c r="AT198" s="109"/>
      <c r="AU198" s="109"/>
      <c r="AV198" s="109"/>
      <c r="AW198" s="109"/>
      <c r="AX198" s="109"/>
      <c r="AY198" s="109"/>
      <c r="AZ198" s="109"/>
      <c r="BA198" s="109"/>
      <c r="BB198" s="109"/>
      <c r="BC198" s="109"/>
      <c r="BD198" s="109"/>
    </row>
    <row r="199" spans="1:56" ht="12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23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  <c r="AO199" s="109"/>
      <c r="AP199" s="109"/>
      <c r="AQ199" s="109"/>
      <c r="AR199" s="109"/>
      <c r="AS199" s="109"/>
      <c r="AT199" s="109"/>
      <c r="AU199" s="109"/>
      <c r="AV199" s="109"/>
      <c r="AW199" s="109"/>
      <c r="AX199" s="109"/>
      <c r="AY199" s="109"/>
      <c r="AZ199" s="109"/>
      <c r="BA199" s="109"/>
      <c r="BB199" s="109"/>
      <c r="BC199" s="109"/>
      <c r="BD199" s="109"/>
    </row>
    <row r="200" spans="1:56" ht="12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23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/>
      <c r="AX200" s="109"/>
      <c r="AY200" s="109"/>
      <c r="AZ200" s="109"/>
      <c r="BA200" s="109"/>
      <c r="BB200" s="109"/>
      <c r="BC200" s="109"/>
      <c r="BD200" s="109"/>
    </row>
    <row r="201" spans="1:56" ht="12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23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  <c r="AO201" s="109"/>
      <c r="AP201" s="109"/>
      <c r="AQ201" s="109"/>
      <c r="AR201" s="109"/>
      <c r="AS201" s="109"/>
      <c r="AT201" s="109"/>
      <c r="AU201" s="109"/>
      <c r="AV201" s="109"/>
      <c r="AW201" s="109"/>
      <c r="AX201" s="109"/>
      <c r="AY201" s="109"/>
      <c r="AZ201" s="109"/>
      <c r="BA201" s="109"/>
      <c r="BB201" s="109"/>
      <c r="BC201" s="109"/>
      <c r="BD201" s="109"/>
    </row>
    <row r="202" spans="1:56" ht="12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23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/>
      <c r="AP202" s="109"/>
      <c r="AQ202" s="109"/>
      <c r="AR202" s="109"/>
      <c r="AS202" s="109"/>
      <c r="AT202" s="109"/>
      <c r="AU202" s="109"/>
      <c r="AV202" s="109"/>
      <c r="AW202" s="109"/>
      <c r="AX202" s="109"/>
      <c r="AY202" s="109"/>
      <c r="AZ202" s="109"/>
      <c r="BA202" s="109"/>
      <c r="BB202" s="109"/>
      <c r="BC202" s="109"/>
      <c r="BD202" s="109"/>
    </row>
    <row r="203" spans="1:56" ht="12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23"/>
      <c r="AE203" s="109"/>
      <c r="AF203" s="109"/>
      <c r="AG203" s="109"/>
      <c r="AH203" s="109"/>
      <c r="AI203" s="109"/>
      <c r="AJ203" s="109"/>
      <c r="AK203" s="109"/>
      <c r="AL203" s="109"/>
      <c r="AM203" s="109"/>
      <c r="AN203" s="109"/>
      <c r="AO203" s="109"/>
      <c r="AP203" s="109"/>
      <c r="AQ203" s="109"/>
      <c r="AR203" s="109"/>
      <c r="AS203" s="109"/>
      <c r="AT203" s="109"/>
      <c r="AU203" s="109"/>
      <c r="AV203" s="109"/>
      <c r="AW203" s="109"/>
      <c r="AX203" s="109"/>
      <c r="AY203" s="109"/>
      <c r="AZ203" s="109"/>
      <c r="BA203" s="109"/>
      <c r="BB203" s="109"/>
      <c r="BC203" s="109"/>
      <c r="BD203" s="109"/>
    </row>
    <row r="204" spans="1:56" ht="12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23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  <c r="AO204" s="109"/>
      <c r="AP204" s="109"/>
      <c r="AQ204" s="109"/>
      <c r="AR204" s="109"/>
      <c r="AS204" s="109"/>
      <c r="AT204" s="109"/>
      <c r="AU204" s="109"/>
      <c r="AV204" s="109"/>
      <c r="AW204" s="109"/>
      <c r="AX204" s="109"/>
      <c r="AY204" s="109"/>
      <c r="AZ204" s="109"/>
      <c r="BA204" s="109"/>
      <c r="BB204" s="109"/>
      <c r="BC204" s="109"/>
      <c r="BD204" s="109"/>
    </row>
    <row r="205" spans="1:56" ht="12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23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  <c r="AO205" s="109"/>
      <c r="AP205" s="109"/>
      <c r="AQ205" s="109"/>
      <c r="AR205" s="109"/>
      <c r="AS205" s="109"/>
      <c r="AT205" s="109"/>
      <c r="AU205" s="109"/>
      <c r="AV205" s="109"/>
      <c r="AW205" s="109"/>
      <c r="AX205" s="109"/>
      <c r="AY205" s="109"/>
      <c r="AZ205" s="109"/>
      <c r="BA205" s="109"/>
      <c r="BB205" s="109"/>
      <c r="BC205" s="109"/>
      <c r="BD205" s="109"/>
    </row>
    <row r="206" spans="1:56" ht="12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23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  <c r="AO206" s="109"/>
      <c r="AP206" s="109"/>
      <c r="AQ206" s="109"/>
      <c r="AR206" s="109"/>
      <c r="AS206" s="109"/>
      <c r="AT206" s="109"/>
      <c r="AU206" s="109"/>
      <c r="AV206" s="109"/>
      <c r="AW206" s="109"/>
      <c r="AX206" s="109"/>
      <c r="AY206" s="109"/>
      <c r="AZ206" s="109"/>
      <c r="BA206" s="109"/>
      <c r="BB206" s="109"/>
      <c r="BC206" s="109"/>
      <c r="BD206" s="109"/>
    </row>
    <row r="207" spans="1:56" ht="12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23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  <c r="AO207" s="109"/>
      <c r="AP207" s="109"/>
      <c r="AQ207" s="109"/>
      <c r="AR207" s="109"/>
      <c r="AS207" s="109"/>
      <c r="AT207" s="109"/>
      <c r="AU207" s="109"/>
      <c r="AV207" s="109"/>
      <c r="AW207" s="109"/>
      <c r="AX207" s="109"/>
      <c r="AY207" s="109"/>
      <c r="AZ207" s="109"/>
      <c r="BA207" s="109"/>
      <c r="BB207" s="109"/>
      <c r="BC207" s="109"/>
      <c r="BD207" s="109"/>
    </row>
    <row r="208" spans="1:56" ht="12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23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  <c r="AO208" s="109"/>
      <c r="AP208" s="109"/>
      <c r="AQ208" s="109"/>
      <c r="AR208" s="109"/>
      <c r="AS208" s="109"/>
      <c r="AT208" s="109"/>
      <c r="AU208" s="109"/>
      <c r="AV208" s="109"/>
      <c r="AW208" s="109"/>
      <c r="AX208" s="109"/>
      <c r="AY208" s="109"/>
      <c r="AZ208" s="109"/>
      <c r="BA208" s="109"/>
      <c r="BB208" s="109"/>
      <c r="BC208" s="109"/>
      <c r="BD208" s="109"/>
    </row>
    <row r="209" spans="1:56" ht="12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23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109"/>
      <c r="BB209" s="109"/>
      <c r="BC209" s="109"/>
      <c r="BD209" s="109"/>
    </row>
    <row r="210" spans="1:56" ht="12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23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  <c r="AO210" s="109"/>
      <c r="AP210" s="109"/>
      <c r="AQ210" s="109"/>
      <c r="AR210" s="109"/>
      <c r="AS210" s="109"/>
      <c r="AT210" s="109"/>
      <c r="AU210" s="109"/>
      <c r="AV210" s="109"/>
      <c r="AW210" s="109"/>
      <c r="AX210" s="109"/>
      <c r="AY210" s="109"/>
      <c r="AZ210" s="109"/>
      <c r="BA210" s="109"/>
      <c r="BB210" s="109"/>
      <c r="BC210" s="109"/>
      <c r="BD210" s="109"/>
    </row>
    <row r="211" spans="1:56" ht="12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23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  <c r="AW211" s="109"/>
      <c r="AX211" s="109"/>
      <c r="AY211" s="109"/>
      <c r="AZ211" s="109"/>
      <c r="BA211" s="109"/>
      <c r="BB211" s="109"/>
      <c r="BC211" s="109"/>
      <c r="BD211" s="109"/>
    </row>
    <row r="212" spans="1:56" ht="12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23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  <c r="AO212" s="109"/>
      <c r="AP212" s="109"/>
      <c r="AQ212" s="109"/>
      <c r="AR212" s="109"/>
      <c r="AS212" s="109"/>
      <c r="AT212" s="109"/>
      <c r="AU212" s="109"/>
      <c r="AV212" s="109"/>
      <c r="AW212" s="109"/>
      <c r="AX212" s="109"/>
      <c r="AY212" s="109"/>
      <c r="AZ212" s="109"/>
      <c r="BA212" s="109"/>
      <c r="BB212" s="109"/>
      <c r="BC212" s="109"/>
      <c r="BD212" s="109"/>
    </row>
    <row r="213" spans="1:56" ht="12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23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  <c r="AO213" s="109"/>
      <c r="AP213" s="109"/>
      <c r="AQ213" s="109"/>
      <c r="AR213" s="109"/>
      <c r="AS213" s="109"/>
      <c r="AT213" s="109"/>
      <c r="AU213" s="109"/>
      <c r="AV213" s="109"/>
      <c r="AW213" s="109"/>
      <c r="AX213" s="109"/>
      <c r="AY213" s="109"/>
      <c r="AZ213" s="109"/>
      <c r="BA213" s="109"/>
      <c r="BB213" s="109"/>
      <c r="BC213" s="109"/>
      <c r="BD213" s="109"/>
    </row>
    <row r="214" spans="1:56" ht="12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23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  <c r="AO214" s="109"/>
      <c r="AP214" s="109"/>
      <c r="AQ214" s="109"/>
      <c r="AR214" s="109"/>
      <c r="AS214" s="109"/>
      <c r="AT214" s="109"/>
      <c r="AU214" s="109"/>
      <c r="AV214" s="109"/>
      <c r="AW214" s="109"/>
      <c r="AX214" s="109"/>
      <c r="AY214" s="109"/>
      <c r="AZ214" s="109"/>
      <c r="BA214" s="109"/>
      <c r="BB214" s="109"/>
      <c r="BC214" s="109"/>
      <c r="BD214" s="109"/>
    </row>
    <row r="215" spans="1:56" ht="12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23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  <c r="AO215" s="109"/>
      <c r="AP215" s="109"/>
      <c r="AQ215" s="109"/>
      <c r="AR215" s="109"/>
      <c r="AS215" s="109"/>
      <c r="AT215" s="109"/>
      <c r="AU215" s="109"/>
      <c r="AV215" s="109"/>
      <c r="AW215" s="109"/>
      <c r="AX215" s="109"/>
      <c r="AY215" s="109"/>
      <c r="AZ215" s="109"/>
      <c r="BA215" s="109"/>
      <c r="BB215" s="109"/>
      <c r="BC215" s="109"/>
      <c r="BD215" s="109"/>
    </row>
    <row r="216" spans="1:56" ht="12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23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  <c r="AO216" s="109"/>
      <c r="AP216" s="109"/>
      <c r="AQ216" s="109"/>
      <c r="AR216" s="109"/>
      <c r="AS216" s="109"/>
      <c r="AT216" s="109"/>
      <c r="AU216" s="109"/>
      <c r="AV216" s="109"/>
      <c r="AW216" s="109"/>
      <c r="AX216" s="109"/>
      <c r="AY216" s="109"/>
      <c r="AZ216" s="109"/>
      <c r="BA216" s="109"/>
      <c r="BB216" s="109"/>
      <c r="BC216" s="109"/>
      <c r="BD216" s="109"/>
    </row>
    <row r="217" spans="1:56" ht="12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23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  <c r="AO217" s="109"/>
      <c r="AP217" s="109"/>
      <c r="AQ217" s="109"/>
      <c r="AR217" s="109"/>
      <c r="AS217" s="109"/>
      <c r="AT217" s="109"/>
      <c r="AU217" s="109"/>
      <c r="AV217" s="109"/>
      <c r="AW217" s="109"/>
      <c r="AX217" s="109"/>
      <c r="AY217" s="109"/>
      <c r="AZ217" s="109"/>
      <c r="BA217" s="109"/>
      <c r="BB217" s="109"/>
      <c r="BC217" s="109"/>
      <c r="BD217" s="109"/>
    </row>
    <row r="218" spans="1:56" ht="12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23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  <c r="AO218" s="109"/>
      <c r="AP218" s="109"/>
      <c r="AQ218" s="109"/>
      <c r="AR218" s="109"/>
      <c r="AS218" s="109"/>
      <c r="AT218" s="109"/>
      <c r="AU218" s="109"/>
      <c r="AV218" s="109"/>
      <c r="AW218" s="109"/>
      <c r="AX218" s="109"/>
      <c r="AY218" s="109"/>
      <c r="AZ218" s="109"/>
      <c r="BA218" s="109"/>
      <c r="BB218" s="109"/>
      <c r="BC218" s="109"/>
      <c r="BD218" s="109"/>
    </row>
    <row r="219" spans="1:56" ht="12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23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  <c r="AO219" s="109"/>
      <c r="AP219" s="109"/>
      <c r="AQ219" s="109"/>
      <c r="AR219" s="109"/>
      <c r="AS219" s="109"/>
      <c r="AT219" s="109"/>
      <c r="AU219" s="109"/>
      <c r="AV219" s="109"/>
      <c r="AW219" s="109"/>
      <c r="AX219" s="109"/>
      <c r="AY219" s="109"/>
      <c r="AZ219" s="109"/>
      <c r="BA219" s="109"/>
      <c r="BB219" s="109"/>
      <c r="BC219" s="109"/>
      <c r="BD219" s="109"/>
    </row>
    <row r="220" spans="1:56" ht="12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23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  <c r="AO220" s="109"/>
      <c r="AP220" s="109"/>
      <c r="AQ220" s="109"/>
      <c r="AR220" s="109"/>
      <c r="AS220" s="109"/>
      <c r="AT220" s="109"/>
      <c r="AU220" s="109"/>
      <c r="AV220" s="109"/>
      <c r="AW220" s="109"/>
      <c r="AX220" s="109"/>
      <c r="AY220" s="109"/>
      <c r="AZ220" s="109"/>
      <c r="BA220" s="109"/>
      <c r="BB220" s="109"/>
      <c r="BC220" s="109"/>
      <c r="BD220" s="109"/>
    </row>
    <row r="221" spans="1:56" ht="12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23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  <c r="AO221" s="109"/>
      <c r="AP221" s="109"/>
      <c r="AQ221" s="109"/>
      <c r="AR221" s="109"/>
      <c r="AS221" s="109"/>
      <c r="AT221" s="109"/>
      <c r="AU221" s="109"/>
      <c r="AV221" s="109"/>
      <c r="AW221" s="109"/>
      <c r="AX221" s="109"/>
      <c r="AY221" s="109"/>
      <c r="AZ221" s="109"/>
      <c r="BA221" s="109"/>
      <c r="BB221" s="109"/>
      <c r="BC221" s="109"/>
      <c r="BD221" s="109"/>
    </row>
    <row r="222" spans="1:56" ht="12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23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  <c r="AO222" s="109"/>
      <c r="AP222" s="109"/>
      <c r="AQ222" s="109"/>
      <c r="AR222" s="109"/>
      <c r="AS222" s="109"/>
      <c r="AT222" s="109"/>
      <c r="AU222" s="109"/>
      <c r="AV222" s="109"/>
      <c r="AW222" s="109"/>
      <c r="AX222" s="109"/>
      <c r="AY222" s="109"/>
      <c r="AZ222" s="109"/>
      <c r="BA222" s="109"/>
      <c r="BB222" s="109"/>
      <c r="BC222" s="109"/>
      <c r="BD222" s="109"/>
    </row>
    <row r="223" spans="1:56" ht="12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23"/>
      <c r="AE223" s="109"/>
      <c r="AF223" s="109"/>
      <c r="AG223" s="109"/>
      <c r="AH223" s="109"/>
      <c r="AI223" s="109"/>
      <c r="AJ223" s="109"/>
      <c r="AK223" s="109"/>
      <c r="AL223" s="109"/>
      <c r="AM223" s="109"/>
      <c r="AN223" s="109"/>
      <c r="AO223" s="109"/>
      <c r="AP223" s="109"/>
      <c r="AQ223" s="109"/>
      <c r="AR223" s="109"/>
      <c r="AS223" s="109"/>
      <c r="AT223" s="109"/>
      <c r="AU223" s="109"/>
      <c r="AV223" s="109"/>
      <c r="AW223" s="109"/>
      <c r="AX223" s="109"/>
      <c r="AY223" s="109"/>
      <c r="AZ223" s="109"/>
      <c r="BA223" s="109"/>
      <c r="BB223" s="109"/>
      <c r="BC223" s="109"/>
      <c r="BD223" s="109"/>
    </row>
    <row r="224" spans="1:56" ht="12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23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  <c r="AO224" s="109"/>
      <c r="AP224" s="109"/>
      <c r="AQ224" s="109"/>
      <c r="AR224" s="109"/>
      <c r="AS224" s="109"/>
      <c r="AT224" s="109"/>
      <c r="AU224" s="109"/>
      <c r="AV224" s="109"/>
      <c r="AW224" s="109"/>
      <c r="AX224" s="109"/>
      <c r="AY224" s="109"/>
      <c r="AZ224" s="109"/>
      <c r="BA224" s="109"/>
      <c r="BB224" s="109"/>
      <c r="BC224" s="109"/>
      <c r="BD224" s="109"/>
    </row>
    <row r="225" spans="1:56" ht="12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23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  <c r="AO225" s="109"/>
      <c r="AP225" s="109"/>
      <c r="AQ225" s="109"/>
      <c r="AR225" s="109"/>
      <c r="AS225" s="109"/>
      <c r="AT225" s="109"/>
      <c r="AU225" s="109"/>
      <c r="AV225" s="109"/>
      <c r="AW225" s="109"/>
      <c r="AX225" s="109"/>
      <c r="AY225" s="109"/>
      <c r="AZ225" s="109"/>
      <c r="BA225" s="109"/>
      <c r="BB225" s="109"/>
      <c r="BC225" s="109"/>
      <c r="BD225" s="109"/>
    </row>
    <row r="226" spans="1:56" ht="12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23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  <c r="AO226" s="109"/>
      <c r="AP226" s="109"/>
      <c r="AQ226" s="109"/>
      <c r="AR226" s="109"/>
      <c r="AS226" s="109"/>
      <c r="AT226" s="109"/>
      <c r="AU226" s="109"/>
      <c r="AV226" s="109"/>
      <c r="AW226" s="109"/>
      <c r="AX226" s="109"/>
      <c r="AY226" s="109"/>
      <c r="AZ226" s="109"/>
      <c r="BA226" s="109"/>
      <c r="BB226" s="109"/>
      <c r="BC226" s="109"/>
      <c r="BD226" s="109"/>
    </row>
    <row r="227" spans="1:56" ht="12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23"/>
      <c r="AE227" s="109"/>
      <c r="AF227" s="109"/>
      <c r="AG227" s="109"/>
      <c r="AH227" s="109"/>
      <c r="AI227" s="109"/>
      <c r="AJ227" s="109"/>
      <c r="AK227" s="109"/>
      <c r="AL227" s="109"/>
      <c r="AM227" s="109"/>
      <c r="AN227" s="109"/>
      <c r="AO227" s="109"/>
      <c r="AP227" s="109"/>
      <c r="AQ227" s="109"/>
      <c r="AR227" s="109"/>
      <c r="AS227" s="109"/>
      <c r="AT227" s="109"/>
      <c r="AU227" s="109"/>
      <c r="AV227" s="109"/>
      <c r="AW227" s="109"/>
      <c r="AX227" s="109"/>
      <c r="AY227" s="109"/>
      <c r="AZ227" s="109"/>
      <c r="BA227" s="109"/>
      <c r="BB227" s="109"/>
      <c r="BC227" s="109"/>
      <c r="BD227" s="109"/>
    </row>
    <row r="228" spans="1:56" ht="12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23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  <c r="AO228" s="109"/>
      <c r="AP228" s="109"/>
      <c r="AQ228" s="109"/>
      <c r="AR228" s="109"/>
      <c r="AS228" s="109"/>
      <c r="AT228" s="109"/>
      <c r="AU228" s="109"/>
      <c r="AV228" s="109"/>
      <c r="AW228" s="109"/>
      <c r="AX228" s="109"/>
      <c r="AY228" s="109"/>
      <c r="AZ228" s="109"/>
      <c r="BA228" s="109"/>
      <c r="BB228" s="109"/>
      <c r="BC228" s="109"/>
      <c r="BD228" s="109"/>
    </row>
    <row r="229" spans="1:56" ht="12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23"/>
      <c r="AE229" s="109"/>
      <c r="AF229" s="109"/>
      <c r="AG229" s="109"/>
      <c r="AH229" s="109"/>
      <c r="AI229" s="109"/>
      <c r="AJ229" s="109"/>
      <c r="AK229" s="109"/>
      <c r="AL229" s="109"/>
      <c r="AM229" s="109"/>
      <c r="AN229" s="109"/>
      <c r="AO229" s="109"/>
      <c r="AP229" s="109"/>
      <c r="AQ229" s="109"/>
      <c r="AR229" s="109"/>
      <c r="AS229" s="109"/>
      <c r="AT229" s="109"/>
      <c r="AU229" s="109"/>
      <c r="AV229" s="109"/>
      <c r="AW229" s="109"/>
      <c r="AX229" s="109"/>
      <c r="AY229" s="109"/>
      <c r="AZ229" s="109"/>
      <c r="BA229" s="109"/>
      <c r="BB229" s="109"/>
      <c r="BC229" s="109"/>
      <c r="BD229" s="109"/>
    </row>
    <row r="230" spans="1:56" ht="12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23"/>
      <c r="AE230" s="109"/>
      <c r="AF230" s="109"/>
      <c r="AG230" s="109"/>
      <c r="AH230" s="109"/>
      <c r="AI230" s="109"/>
      <c r="AJ230" s="109"/>
      <c r="AK230" s="109"/>
      <c r="AL230" s="109"/>
      <c r="AM230" s="109"/>
      <c r="AN230" s="109"/>
      <c r="AO230" s="109"/>
      <c r="AP230" s="109"/>
      <c r="AQ230" s="109"/>
      <c r="AR230" s="109"/>
      <c r="AS230" s="109"/>
      <c r="AT230" s="109"/>
      <c r="AU230" s="109"/>
      <c r="AV230" s="109"/>
      <c r="AW230" s="109"/>
      <c r="AX230" s="109"/>
      <c r="AY230" s="109"/>
      <c r="AZ230" s="109"/>
      <c r="BA230" s="109"/>
      <c r="BB230" s="109"/>
      <c r="BC230" s="109"/>
      <c r="BD230" s="109"/>
    </row>
    <row r="231" spans="1:56" ht="12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23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  <c r="AO231" s="109"/>
      <c r="AP231" s="109"/>
      <c r="AQ231" s="109"/>
      <c r="AR231" s="109"/>
      <c r="AS231" s="109"/>
      <c r="AT231" s="109"/>
      <c r="AU231" s="109"/>
      <c r="AV231" s="109"/>
      <c r="AW231" s="109"/>
      <c r="AX231" s="109"/>
      <c r="AY231" s="109"/>
      <c r="AZ231" s="109"/>
      <c r="BA231" s="109"/>
      <c r="BB231" s="109"/>
      <c r="BC231" s="109"/>
      <c r="BD231" s="109"/>
    </row>
    <row r="232" spans="1:56" ht="12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23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  <c r="AO232" s="109"/>
      <c r="AP232" s="109"/>
      <c r="AQ232" s="109"/>
      <c r="AR232" s="109"/>
      <c r="AS232" s="109"/>
      <c r="AT232" s="109"/>
      <c r="AU232" s="109"/>
      <c r="AV232" s="109"/>
      <c r="AW232" s="109"/>
      <c r="AX232" s="109"/>
      <c r="AY232" s="109"/>
      <c r="AZ232" s="109"/>
      <c r="BA232" s="109"/>
      <c r="BB232" s="109"/>
      <c r="BC232" s="109"/>
      <c r="BD232" s="109"/>
    </row>
    <row r="233" spans="1:56" ht="12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23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  <c r="AO233" s="109"/>
      <c r="AP233" s="109"/>
      <c r="AQ233" s="109"/>
      <c r="AR233" s="109"/>
      <c r="AS233" s="109"/>
      <c r="AT233" s="109"/>
      <c r="AU233" s="109"/>
      <c r="AV233" s="109"/>
      <c r="AW233" s="109"/>
      <c r="AX233" s="109"/>
      <c r="AY233" s="109"/>
      <c r="AZ233" s="109"/>
      <c r="BA233" s="109"/>
      <c r="BB233" s="109"/>
      <c r="BC233" s="109"/>
      <c r="BD233" s="109"/>
    </row>
    <row r="234" spans="1:56" ht="12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23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  <c r="AO234" s="109"/>
      <c r="AP234" s="109"/>
      <c r="AQ234" s="109"/>
      <c r="AR234" s="109"/>
      <c r="AS234" s="109"/>
      <c r="AT234" s="109"/>
      <c r="AU234" s="109"/>
      <c r="AV234" s="109"/>
      <c r="AW234" s="109"/>
      <c r="AX234" s="109"/>
      <c r="AY234" s="109"/>
      <c r="AZ234" s="109"/>
      <c r="BA234" s="109"/>
      <c r="BB234" s="109"/>
      <c r="BC234" s="109"/>
      <c r="BD234" s="109"/>
    </row>
    <row r="235" spans="1:56" ht="12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23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  <c r="AO235" s="109"/>
      <c r="AP235" s="109"/>
      <c r="AQ235" s="109"/>
      <c r="AR235" s="109"/>
      <c r="AS235" s="109"/>
      <c r="AT235" s="109"/>
      <c r="AU235" s="109"/>
      <c r="AV235" s="109"/>
      <c r="AW235" s="109"/>
      <c r="AX235" s="109"/>
      <c r="AY235" s="109"/>
      <c r="AZ235" s="109"/>
      <c r="BA235" s="109"/>
      <c r="BB235" s="109"/>
      <c r="BC235" s="109"/>
      <c r="BD235" s="109"/>
    </row>
    <row r="236" spans="1:56" ht="12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23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  <c r="AW236" s="109"/>
      <c r="AX236" s="109"/>
      <c r="AY236" s="109"/>
      <c r="AZ236" s="109"/>
      <c r="BA236" s="109"/>
      <c r="BB236" s="109"/>
      <c r="BC236" s="109"/>
      <c r="BD236" s="109"/>
    </row>
    <row r="237" spans="1:56" ht="12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23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  <c r="AO237" s="109"/>
      <c r="AP237" s="109"/>
      <c r="AQ237" s="109"/>
      <c r="AR237" s="109"/>
      <c r="AS237" s="109"/>
      <c r="AT237" s="109"/>
      <c r="AU237" s="109"/>
      <c r="AV237" s="109"/>
      <c r="AW237" s="109"/>
      <c r="AX237" s="109"/>
      <c r="AY237" s="109"/>
      <c r="AZ237" s="109"/>
      <c r="BA237" s="109"/>
      <c r="BB237" s="109"/>
      <c r="BC237" s="109"/>
      <c r="BD237" s="109"/>
    </row>
    <row r="238" spans="1:56" ht="12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23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  <c r="AO238" s="109"/>
      <c r="AP238" s="109"/>
      <c r="AQ238" s="109"/>
      <c r="AR238" s="109"/>
      <c r="AS238" s="109"/>
      <c r="AT238" s="109"/>
      <c r="AU238" s="109"/>
      <c r="AV238" s="109"/>
      <c r="AW238" s="109"/>
      <c r="AX238" s="109"/>
      <c r="AY238" s="109"/>
      <c r="AZ238" s="109"/>
      <c r="BA238" s="109"/>
      <c r="BB238" s="109"/>
      <c r="BC238" s="109"/>
      <c r="BD238" s="109"/>
    </row>
    <row r="239" spans="1:56" ht="12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23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  <c r="AO239" s="109"/>
      <c r="AP239" s="109"/>
      <c r="AQ239" s="109"/>
      <c r="AR239" s="109"/>
      <c r="AS239" s="109"/>
      <c r="AT239" s="109"/>
      <c r="AU239" s="109"/>
      <c r="AV239" s="109"/>
      <c r="AW239" s="109"/>
      <c r="AX239" s="109"/>
      <c r="AY239" s="109"/>
      <c r="AZ239" s="109"/>
      <c r="BA239" s="109"/>
      <c r="BB239" s="109"/>
      <c r="BC239" s="109"/>
      <c r="BD239" s="109"/>
    </row>
    <row r="240" spans="1:56" ht="12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23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  <c r="AO240" s="109"/>
      <c r="AP240" s="109"/>
      <c r="AQ240" s="109"/>
      <c r="AR240" s="109"/>
      <c r="AS240" s="109"/>
      <c r="AT240" s="109"/>
      <c r="AU240" s="109"/>
      <c r="AV240" s="109"/>
      <c r="AW240" s="109"/>
      <c r="AX240" s="109"/>
      <c r="AY240" s="109"/>
      <c r="AZ240" s="109"/>
      <c r="BA240" s="109"/>
      <c r="BB240" s="109"/>
      <c r="BC240" s="109"/>
      <c r="BD240" s="109"/>
    </row>
    <row r="241" spans="1:56" ht="12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23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  <c r="AO241" s="109"/>
      <c r="AP241" s="109"/>
      <c r="AQ241" s="109"/>
      <c r="AR241" s="109"/>
      <c r="AS241" s="109"/>
      <c r="AT241" s="109"/>
      <c r="AU241" s="109"/>
      <c r="AV241" s="109"/>
      <c r="AW241" s="109"/>
      <c r="AX241" s="109"/>
      <c r="AY241" s="109"/>
      <c r="AZ241" s="109"/>
      <c r="BA241" s="109"/>
      <c r="BB241" s="109"/>
      <c r="BC241" s="109"/>
      <c r="BD241" s="109"/>
    </row>
    <row r="242" spans="1:56" ht="12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23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  <c r="AO242" s="109"/>
      <c r="AP242" s="109"/>
      <c r="AQ242" s="109"/>
      <c r="AR242" s="109"/>
      <c r="AS242" s="109"/>
      <c r="AT242" s="109"/>
      <c r="AU242" s="109"/>
      <c r="AV242" s="109"/>
      <c r="AW242" s="109"/>
      <c r="AX242" s="109"/>
      <c r="AY242" s="109"/>
      <c r="AZ242" s="109"/>
      <c r="BA242" s="109"/>
      <c r="BB242" s="109"/>
      <c r="BC242" s="109"/>
      <c r="BD242" s="109"/>
    </row>
    <row r="243" spans="1:56" ht="12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23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  <c r="AO243" s="109"/>
      <c r="AP243" s="109"/>
      <c r="AQ243" s="109"/>
      <c r="AR243" s="109"/>
      <c r="AS243" s="109"/>
      <c r="AT243" s="109"/>
      <c r="AU243" s="109"/>
      <c r="AV243" s="109"/>
      <c r="AW243" s="109"/>
      <c r="AX243" s="109"/>
      <c r="AY243" s="109"/>
      <c r="AZ243" s="109"/>
      <c r="BA243" s="109"/>
      <c r="BB243" s="109"/>
      <c r="BC243" s="109"/>
      <c r="BD243" s="109"/>
    </row>
    <row r="244" spans="1:56" ht="12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23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  <c r="AO244" s="109"/>
      <c r="AP244" s="109"/>
      <c r="AQ244" s="109"/>
      <c r="AR244" s="109"/>
      <c r="AS244" s="109"/>
      <c r="AT244" s="109"/>
      <c r="AU244" s="109"/>
      <c r="AV244" s="109"/>
      <c r="AW244" s="109"/>
      <c r="AX244" s="109"/>
      <c r="AY244" s="109"/>
      <c r="AZ244" s="109"/>
      <c r="BA244" s="109"/>
      <c r="BB244" s="109"/>
      <c r="BC244" s="109"/>
      <c r="BD244" s="109"/>
    </row>
    <row r="245" spans="1:56" ht="12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23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  <c r="AO245" s="109"/>
      <c r="AP245" s="109"/>
      <c r="AQ245" s="109"/>
      <c r="AR245" s="109"/>
      <c r="AS245" s="109"/>
      <c r="AT245" s="109"/>
      <c r="AU245" s="109"/>
      <c r="AV245" s="109"/>
      <c r="AW245" s="109"/>
      <c r="AX245" s="109"/>
      <c r="AY245" s="109"/>
      <c r="AZ245" s="109"/>
      <c r="BA245" s="109"/>
      <c r="BB245" s="109"/>
      <c r="BC245" s="109"/>
      <c r="BD245" s="109"/>
    </row>
    <row r="246" spans="1:56" ht="12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23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  <c r="AO246" s="109"/>
      <c r="AP246" s="109"/>
      <c r="AQ246" s="109"/>
      <c r="AR246" s="109"/>
      <c r="AS246" s="109"/>
      <c r="AT246" s="109"/>
      <c r="AU246" s="109"/>
      <c r="AV246" s="109"/>
      <c r="AW246" s="109"/>
      <c r="AX246" s="109"/>
      <c r="AY246" s="109"/>
      <c r="AZ246" s="109"/>
      <c r="BA246" s="109"/>
      <c r="BB246" s="109"/>
      <c r="BC246" s="109"/>
      <c r="BD246" s="109"/>
    </row>
    <row r="247" spans="1:56" ht="12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23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  <c r="AO247" s="109"/>
      <c r="AP247" s="109"/>
      <c r="AQ247" s="109"/>
      <c r="AR247" s="109"/>
      <c r="AS247" s="109"/>
      <c r="AT247" s="109"/>
      <c r="AU247" s="109"/>
      <c r="AV247" s="109"/>
      <c r="AW247" s="109"/>
      <c r="AX247" s="109"/>
      <c r="AY247" s="109"/>
      <c r="AZ247" s="109"/>
      <c r="BA247" s="109"/>
      <c r="BB247" s="109"/>
      <c r="BC247" s="109"/>
      <c r="BD247" s="109"/>
    </row>
    <row r="248" spans="1:56" ht="12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23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  <c r="AO248" s="109"/>
      <c r="AP248" s="109"/>
      <c r="AQ248" s="109"/>
      <c r="AR248" s="109"/>
      <c r="AS248" s="109"/>
      <c r="AT248" s="109"/>
      <c r="AU248" s="109"/>
      <c r="AV248" s="109"/>
      <c r="AW248" s="109"/>
      <c r="AX248" s="109"/>
      <c r="AY248" s="109"/>
      <c r="AZ248" s="109"/>
      <c r="BA248" s="109"/>
      <c r="BB248" s="109"/>
      <c r="BC248" s="109"/>
      <c r="BD248" s="109"/>
    </row>
    <row r="249" spans="1:56" ht="12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23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  <c r="AO249" s="109"/>
      <c r="AP249" s="109"/>
      <c r="AQ249" s="109"/>
      <c r="AR249" s="109"/>
      <c r="AS249" s="109"/>
      <c r="AT249" s="109"/>
      <c r="AU249" s="109"/>
      <c r="AV249" s="109"/>
      <c r="AW249" s="109"/>
      <c r="AX249" s="109"/>
      <c r="AY249" s="109"/>
      <c r="AZ249" s="109"/>
      <c r="BA249" s="109"/>
      <c r="BB249" s="109"/>
      <c r="BC249" s="109"/>
      <c r="BD249" s="109"/>
    </row>
    <row r="250" spans="1:56" ht="12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23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  <c r="AO250" s="109"/>
      <c r="AP250" s="109"/>
      <c r="AQ250" s="109"/>
      <c r="AR250" s="109"/>
      <c r="AS250" s="109"/>
      <c r="AT250" s="109"/>
      <c r="AU250" s="109"/>
      <c r="AV250" s="109"/>
      <c r="AW250" s="109"/>
      <c r="AX250" s="109"/>
      <c r="AY250" s="109"/>
      <c r="AZ250" s="109"/>
      <c r="BA250" s="109"/>
      <c r="BB250" s="109"/>
      <c r="BC250" s="109"/>
      <c r="BD250" s="109"/>
    </row>
    <row r="251" spans="1:56" ht="12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23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  <c r="AO251" s="109"/>
      <c r="AP251" s="109"/>
      <c r="AQ251" s="109"/>
      <c r="AR251" s="109"/>
      <c r="AS251" s="109"/>
      <c r="AT251" s="109"/>
      <c r="AU251" s="109"/>
      <c r="AV251" s="109"/>
      <c r="AW251" s="109"/>
      <c r="AX251" s="109"/>
      <c r="AY251" s="109"/>
      <c r="AZ251" s="109"/>
      <c r="BA251" s="109"/>
      <c r="BB251" s="109"/>
      <c r="BC251" s="109"/>
      <c r="BD251" s="109"/>
    </row>
    <row r="252" spans="1:56" ht="12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23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  <c r="AO252" s="109"/>
      <c r="AP252" s="109"/>
      <c r="AQ252" s="109"/>
      <c r="AR252" s="109"/>
      <c r="AS252" s="109"/>
      <c r="AT252" s="109"/>
      <c r="AU252" s="109"/>
      <c r="AV252" s="109"/>
      <c r="AW252" s="109"/>
      <c r="AX252" s="109"/>
      <c r="AY252" s="109"/>
      <c r="AZ252" s="109"/>
      <c r="BA252" s="109"/>
      <c r="BB252" s="109"/>
      <c r="BC252" s="109"/>
      <c r="BD252" s="109"/>
    </row>
  </sheetData>
  <mergeCells count="50">
    <mergeCell ref="A1:BD2"/>
    <mergeCell ref="A6:P6"/>
    <mergeCell ref="A32:B32"/>
    <mergeCell ref="A7:D7"/>
    <mergeCell ref="AB6:AD6"/>
    <mergeCell ref="S12:U12"/>
    <mergeCell ref="AB13:AC13"/>
    <mergeCell ref="A29:B29"/>
    <mergeCell ref="A18:M18"/>
    <mergeCell ref="A28:B28"/>
    <mergeCell ref="A31:B31"/>
    <mergeCell ref="AB8:AD8"/>
    <mergeCell ref="S17:U17"/>
    <mergeCell ref="A27:B27"/>
    <mergeCell ref="AE32:AH32"/>
    <mergeCell ref="AC10:AD10"/>
    <mergeCell ref="AE50:AH50"/>
    <mergeCell ref="AE25:AH25"/>
    <mergeCell ref="A26:B26"/>
    <mergeCell ref="AE31:AH31"/>
    <mergeCell ref="J35:K35"/>
    <mergeCell ref="AE46:AH46"/>
    <mergeCell ref="A33:B33"/>
    <mergeCell ref="AE33:AH33"/>
    <mergeCell ref="N41:P41"/>
    <mergeCell ref="AE39:AH39"/>
    <mergeCell ref="A25:B25"/>
    <mergeCell ref="S13:U13"/>
    <mergeCell ref="AE24:AH24"/>
    <mergeCell ref="AC18:AD18"/>
    <mergeCell ref="AE27:AH27"/>
    <mergeCell ref="S15:U15"/>
    <mergeCell ref="AE26:AH26"/>
    <mergeCell ref="AE23:AH23"/>
    <mergeCell ref="AE53:AH53"/>
    <mergeCell ref="A24:B24"/>
    <mergeCell ref="A30:B30"/>
    <mergeCell ref="S14:U14"/>
    <mergeCell ref="AB15:AC15"/>
    <mergeCell ref="AB14:AC14"/>
    <mergeCell ref="AE30:AH30"/>
    <mergeCell ref="AE37:AH37"/>
    <mergeCell ref="P52:Q52"/>
    <mergeCell ref="Q46:Y46"/>
    <mergeCell ref="AE38:AH38"/>
    <mergeCell ref="AE29:AH29"/>
    <mergeCell ref="M35:O35"/>
    <mergeCell ref="AE48:AH48"/>
    <mergeCell ref="AE28:AH28"/>
    <mergeCell ref="A19:M19"/>
  </mergeCells>
  <pageMargins left="0.39374999999999999" right="0.118055555555556" top="0.31527777777777799" bottom="0.39374999999999999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871"/>
  <sheetViews>
    <sheetView zoomScaleNormal="100" workbookViewId="0">
      <selection activeCell="AQ22" sqref="AQ22:AT22"/>
    </sheetView>
  </sheetViews>
  <sheetFormatPr defaultColWidth="14.42578125" defaultRowHeight="12.75"/>
  <cols>
    <col min="1" max="1" width="1.7109375" style="107" customWidth="1"/>
    <col min="2" max="2" width="1.5703125" style="107" customWidth="1"/>
    <col min="3" max="4" width="1.7109375" style="107" customWidth="1"/>
    <col min="5" max="5" width="3.7109375" style="107" customWidth="1"/>
    <col min="6" max="6" width="6.5703125" style="107" customWidth="1"/>
    <col min="7" max="7" width="1.85546875" style="107" customWidth="1"/>
    <col min="8" max="8" width="1.7109375" style="107" customWidth="1"/>
    <col min="9" max="9" width="3.85546875" style="107" customWidth="1"/>
    <col min="10" max="12" width="1.7109375" style="107" customWidth="1"/>
    <col min="13" max="13" width="2.85546875" style="107" customWidth="1"/>
    <col min="14" max="17" width="1.7109375" style="107" customWidth="1"/>
    <col min="18" max="18" width="2.140625" style="107" customWidth="1"/>
    <col min="19" max="19" width="3.7109375" style="107" customWidth="1"/>
    <col min="20" max="20" width="2" style="107" customWidth="1"/>
    <col min="21" max="22" width="4.140625" style="107" customWidth="1"/>
    <col min="23" max="23" width="5" style="107" customWidth="1"/>
    <col min="24" max="24" width="4.140625" style="107" customWidth="1"/>
    <col min="25" max="25" width="5" style="107" customWidth="1"/>
    <col min="26" max="26" width="5.140625" style="107" customWidth="1"/>
    <col min="27" max="27" width="1.85546875" style="107" customWidth="1"/>
    <col min="28" max="28" width="3.140625" style="107" customWidth="1"/>
    <col min="29" max="29" width="3.5703125" style="107" customWidth="1"/>
    <col min="30" max="30" width="1.85546875" style="107" customWidth="1"/>
    <col min="31" max="31" width="4.140625" style="107" customWidth="1"/>
    <col min="32" max="32" width="2.140625" style="107" customWidth="1"/>
    <col min="33" max="33" width="3.7109375" style="107" customWidth="1"/>
    <col min="34" max="34" width="4.85546875" style="107" customWidth="1"/>
    <col min="35" max="35" width="1.85546875" style="107" customWidth="1"/>
    <col min="36" max="36" width="5.140625" style="107" customWidth="1"/>
    <col min="37" max="37" width="6.85546875" style="107" customWidth="1"/>
    <col min="38" max="40" width="4.85546875" style="107" customWidth="1"/>
    <col min="41" max="41" width="2" style="107" customWidth="1"/>
    <col min="42" max="42" width="3" style="107" customWidth="1"/>
    <col min="43" max="43" width="3.85546875" style="107" customWidth="1"/>
    <col min="44" max="44" width="5.28515625" style="107" customWidth="1"/>
    <col min="45" max="45" width="3.85546875" style="107" customWidth="1"/>
    <col min="46" max="46" width="2.7109375" style="107" customWidth="1"/>
    <col min="47" max="47" width="5.5703125" style="107" customWidth="1"/>
    <col min="48" max="48" width="2.28515625" style="107" customWidth="1"/>
    <col min="49" max="49" width="5.5703125" style="107" customWidth="1"/>
    <col min="50" max="50" width="3.140625" style="107" customWidth="1"/>
    <col min="51" max="51" width="3.5703125" style="107" customWidth="1"/>
    <col min="52" max="52" width="1.85546875" style="107" customWidth="1"/>
    <col min="53" max="53" width="3" style="107" customWidth="1"/>
    <col min="54" max="54" width="1.85546875" style="107" customWidth="1"/>
    <col min="55" max="55" width="1.28515625" style="107" customWidth="1"/>
    <col min="56" max="56" width="1.5703125" style="107" customWidth="1"/>
    <col min="57" max="57" width="2.28515625" style="107" customWidth="1"/>
    <col min="58" max="62" width="1.28515625" style="107" customWidth="1"/>
  </cols>
  <sheetData>
    <row r="1" spans="1:62" ht="15" customHeight="1">
      <c r="A1" s="815" t="s">
        <v>334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90"/>
      <c r="BF1" s="128"/>
      <c r="BG1" s="128"/>
      <c r="BH1" s="128"/>
      <c r="BI1" s="128"/>
      <c r="BJ1" s="128"/>
    </row>
    <row r="2" spans="1:62" ht="15" customHeight="1">
      <c r="A2" s="726"/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  <c r="Y2" s="724"/>
      <c r="Z2" s="724"/>
      <c r="AA2" s="724"/>
      <c r="AB2" s="724"/>
      <c r="AC2" s="724"/>
      <c r="AD2" s="724"/>
      <c r="AE2" s="724"/>
      <c r="AF2" s="724"/>
      <c r="AG2" s="724"/>
      <c r="AH2" s="724"/>
      <c r="AI2" s="724"/>
      <c r="AJ2" s="724"/>
      <c r="AK2" s="724"/>
      <c r="AL2" s="724"/>
      <c r="AM2" s="724"/>
      <c r="AN2" s="724"/>
      <c r="AO2" s="724"/>
      <c r="AP2" s="724"/>
      <c r="AQ2" s="724"/>
      <c r="AR2" s="724"/>
      <c r="AS2" s="724"/>
      <c r="AT2" s="724"/>
      <c r="AU2" s="724"/>
      <c r="AV2" s="724"/>
      <c r="AW2" s="724"/>
      <c r="AX2" s="724"/>
      <c r="AY2" s="724"/>
      <c r="AZ2" s="724"/>
      <c r="BA2" s="724"/>
      <c r="BB2" s="724"/>
      <c r="BC2" s="724"/>
      <c r="BD2" s="724"/>
      <c r="BE2" s="727"/>
      <c r="BF2" s="128"/>
      <c r="BG2" s="128"/>
      <c r="BH2" s="128"/>
      <c r="BI2" s="128"/>
      <c r="BJ2" s="128"/>
    </row>
    <row r="3" spans="1:62" ht="4.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30"/>
      <c r="AP3" s="130"/>
      <c r="AQ3" s="130"/>
      <c r="AR3" s="130"/>
      <c r="AS3" s="130"/>
      <c r="AT3" s="130"/>
      <c r="AU3" s="130"/>
      <c r="AV3" s="130"/>
      <c r="AW3" s="130"/>
      <c r="AX3" s="128"/>
      <c r="AY3" s="130"/>
      <c r="AZ3" s="130"/>
      <c r="BA3" s="130"/>
      <c r="BB3" s="130"/>
      <c r="BC3" s="130"/>
      <c r="BD3" s="130"/>
      <c r="BE3" s="130"/>
      <c r="BF3" s="128"/>
      <c r="BG3" s="128"/>
      <c r="BH3" s="128"/>
      <c r="BI3" s="128"/>
      <c r="BJ3" s="128"/>
    </row>
    <row r="4" spans="1:62" ht="12.75" customHeight="1">
      <c r="A4" s="131" t="s">
        <v>335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2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</row>
    <row r="5" spans="1:62" ht="4.5" customHeight="1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</row>
    <row r="6" spans="1:62" ht="12.75" customHeight="1">
      <c r="A6" s="728" t="s">
        <v>303</v>
      </c>
      <c r="B6" s="707"/>
      <c r="C6" s="128" t="s">
        <v>304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796">
        <f>'Veri Girişi'!C61</f>
        <v>1</v>
      </c>
      <c r="AR6" s="710"/>
      <c r="AS6" s="710"/>
      <c r="AT6" s="583"/>
      <c r="AU6" s="128" t="s">
        <v>305</v>
      </c>
      <c r="AV6" s="128"/>
      <c r="AW6" s="128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</row>
    <row r="7" spans="1:62" ht="12.75" customHeight="1">
      <c r="A7" s="728" t="s">
        <v>336</v>
      </c>
      <c r="B7" s="707"/>
      <c r="C7" s="128" t="s">
        <v>337</v>
      </c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745" t="s">
        <v>336</v>
      </c>
      <c r="AF7" s="710"/>
      <c r="AG7" s="134" t="s">
        <v>262</v>
      </c>
      <c r="AH7" s="134" t="s">
        <v>338</v>
      </c>
      <c r="AI7" s="134" t="s">
        <v>317</v>
      </c>
      <c r="AJ7" s="134" t="s">
        <v>339</v>
      </c>
      <c r="AK7" s="134"/>
      <c r="AL7" s="135"/>
      <c r="AM7" s="135"/>
      <c r="AN7" s="135"/>
      <c r="AO7" s="136"/>
      <c r="AP7" s="128"/>
      <c r="AQ7" s="796">
        <f>AQ11-AQ13</f>
        <v>451.47631999999999</v>
      </c>
      <c r="AR7" s="710"/>
      <c r="AS7" s="710"/>
      <c r="AT7" s="583"/>
      <c r="AU7" s="128" t="s">
        <v>340</v>
      </c>
      <c r="AV7" s="128"/>
      <c r="AW7" s="128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</row>
    <row r="8" spans="1:62" ht="12.75" customHeight="1">
      <c r="A8" s="728" t="s">
        <v>341</v>
      </c>
      <c r="B8" s="707"/>
      <c r="C8" s="128" t="s">
        <v>342</v>
      </c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835">
        <v>0</v>
      </c>
      <c r="AR8" s="710"/>
      <c r="AS8" s="710"/>
      <c r="AT8" s="583"/>
      <c r="AU8" s="128" t="s">
        <v>340</v>
      </c>
      <c r="AV8" s="128"/>
      <c r="AW8" s="128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</row>
    <row r="9" spans="1:62" ht="12.75" customHeight="1">
      <c r="A9" s="728" t="s">
        <v>343</v>
      </c>
      <c r="B9" s="707"/>
      <c r="C9" s="128" t="s">
        <v>344</v>
      </c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30"/>
      <c r="AE9" s="745" t="s">
        <v>343</v>
      </c>
      <c r="AF9" s="710"/>
      <c r="AG9" s="710"/>
      <c r="AH9" s="134" t="s">
        <v>262</v>
      </c>
      <c r="AI9" s="134" t="s">
        <v>338</v>
      </c>
      <c r="AJ9" s="134" t="s">
        <v>316</v>
      </c>
      <c r="AK9" s="134" t="s">
        <v>341</v>
      </c>
      <c r="AL9" s="134" t="s">
        <v>317</v>
      </c>
      <c r="AM9" s="134" t="s">
        <v>339</v>
      </c>
      <c r="AN9" s="135"/>
      <c r="AO9" s="136"/>
      <c r="AP9" s="128"/>
      <c r="AQ9" s="796">
        <f>AQ11+AQ8-AQ13</f>
        <v>451.47631999999999</v>
      </c>
      <c r="AR9" s="710"/>
      <c r="AS9" s="710"/>
      <c r="AT9" s="583"/>
      <c r="AU9" s="128" t="s">
        <v>340</v>
      </c>
      <c r="AV9" s="128"/>
      <c r="AW9" s="128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</row>
    <row r="10" spans="1:62" ht="12.75" customHeight="1">
      <c r="A10" s="728" t="s">
        <v>345</v>
      </c>
      <c r="B10" s="707"/>
      <c r="C10" s="128" t="s">
        <v>346</v>
      </c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835">
        <f>'Veri Girişi'!F99</f>
        <v>240</v>
      </c>
      <c r="AR10" s="710"/>
      <c r="AS10" s="710"/>
      <c r="AT10" s="583"/>
      <c r="AU10" s="128" t="s">
        <v>347</v>
      </c>
      <c r="AV10" s="128"/>
      <c r="AW10" s="128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</row>
    <row r="11" spans="1:62" ht="12.75" customHeight="1">
      <c r="A11" s="728" t="s">
        <v>338</v>
      </c>
      <c r="B11" s="707"/>
      <c r="C11" s="128" t="s">
        <v>348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745" t="s">
        <v>338</v>
      </c>
      <c r="AF11" s="710"/>
      <c r="AG11" s="134" t="s">
        <v>262</v>
      </c>
      <c r="AH11" s="134" t="s">
        <v>291</v>
      </c>
      <c r="AI11" s="134" t="s">
        <v>316</v>
      </c>
      <c r="AJ11" s="134" t="s">
        <v>349</v>
      </c>
      <c r="AK11" s="134" t="s">
        <v>316</v>
      </c>
      <c r="AL11" s="134" t="s">
        <v>350</v>
      </c>
      <c r="AM11" s="135"/>
      <c r="AN11" s="135"/>
      <c r="AO11" s="136"/>
      <c r="AP11" s="128"/>
      <c r="AQ11" s="796">
        <f>AQ14+AQ15+AQ16</f>
        <v>1551.47632</v>
      </c>
      <c r="AR11" s="710"/>
      <c r="AS11" s="710"/>
      <c r="AT11" s="583"/>
      <c r="AU11" s="128" t="s">
        <v>340</v>
      </c>
      <c r="AV11" s="128"/>
      <c r="AW11" s="128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</row>
    <row r="12" spans="1:62" ht="5.25" customHeight="1">
      <c r="A12" s="130"/>
      <c r="B12" s="130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37"/>
      <c r="AG12" s="137"/>
      <c r="AH12" s="137"/>
      <c r="AI12" s="137"/>
      <c r="AJ12" s="137"/>
      <c r="AK12" s="137"/>
      <c r="AL12" s="137"/>
      <c r="AM12" s="137"/>
      <c r="AN12" s="137"/>
      <c r="AO12" s="128"/>
      <c r="AP12" s="128"/>
      <c r="AQ12" s="138"/>
      <c r="AR12" s="138"/>
      <c r="AS12" s="138"/>
      <c r="AT12" s="138"/>
      <c r="AU12" s="128"/>
      <c r="AV12" s="128"/>
      <c r="AW12" s="128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</row>
    <row r="13" spans="1:62" ht="12.75" customHeight="1">
      <c r="A13" s="728" t="s">
        <v>339</v>
      </c>
      <c r="B13" s="707"/>
      <c r="C13" s="128" t="s">
        <v>351</v>
      </c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745" t="s">
        <v>339</v>
      </c>
      <c r="AF13" s="710"/>
      <c r="AG13" s="134" t="s">
        <v>262</v>
      </c>
      <c r="AH13" s="134" t="s">
        <v>291</v>
      </c>
      <c r="AI13" s="134" t="s">
        <v>316</v>
      </c>
      <c r="AJ13" s="134" t="s">
        <v>352</v>
      </c>
      <c r="AK13" s="134"/>
      <c r="AL13" s="134" t="s">
        <v>349</v>
      </c>
      <c r="AM13" s="135"/>
      <c r="AN13" s="135"/>
      <c r="AO13" s="136"/>
      <c r="AP13" s="128"/>
      <c r="AQ13" s="805">
        <f>AQ15+(0.5*AQ14)</f>
        <v>1100</v>
      </c>
      <c r="AR13" s="710"/>
      <c r="AS13" s="710"/>
      <c r="AT13" s="583"/>
      <c r="AU13" s="128" t="s">
        <v>340</v>
      </c>
      <c r="AV13" s="128"/>
      <c r="AW13" s="128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</row>
    <row r="14" spans="1:62" ht="12.75" customHeight="1">
      <c r="A14" s="728" t="s">
        <v>349</v>
      </c>
      <c r="B14" s="707"/>
      <c r="C14" s="128" t="s">
        <v>353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805">
        <f>'Veri Girişi'!C59</f>
        <v>800</v>
      </c>
      <c r="AR14" s="710"/>
      <c r="AS14" s="710"/>
      <c r="AT14" s="583"/>
      <c r="AU14" s="128" t="s">
        <v>340</v>
      </c>
      <c r="AV14" s="128"/>
      <c r="AW14" s="128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</row>
    <row r="15" spans="1:62" ht="12.75" customHeight="1">
      <c r="A15" s="728" t="s">
        <v>291</v>
      </c>
      <c r="B15" s="707"/>
      <c r="C15" s="128" t="s">
        <v>354</v>
      </c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805">
        <f>'Veri Girişi'!C75</f>
        <v>700</v>
      </c>
      <c r="AR15" s="710"/>
      <c r="AS15" s="710"/>
      <c r="AT15" s="583"/>
      <c r="AU15" s="128" t="s">
        <v>340</v>
      </c>
      <c r="AV15" s="128"/>
      <c r="AW15" s="128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</row>
    <row r="16" spans="1:62" ht="12.75" customHeight="1">
      <c r="A16" s="728" t="s">
        <v>350</v>
      </c>
      <c r="B16" s="707"/>
      <c r="C16" s="128" t="s">
        <v>355</v>
      </c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745" t="s">
        <v>350</v>
      </c>
      <c r="AF16" s="710"/>
      <c r="AG16" s="134" t="s">
        <v>262</v>
      </c>
      <c r="AH16" s="134" t="s">
        <v>356</v>
      </c>
      <c r="AI16" s="134" t="s">
        <v>357</v>
      </c>
      <c r="AJ16" s="134" t="s">
        <v>358</v>
      </c>
      <c r="AK16" s="134" t="s">
        <v>357</v>
      </c>
      <c r="AL16" s="134" t="s">
        <v>359</v>
      </c>
      <c r="AM16" s="135"/>
      <c r="AN16" s="135"/>
      <c r="AO16" s="136"/>
      <c r="AP16" s="128"/>
      <c r="AQ16" s="796">
        <f>AQ18*AQ19*AQ20</f>
        <v>51.476320000000001</v>
      </c>
      <c r="AR16" s="710"/>
      <c r="AS16" s="710"/>
      <c r="AT16" s="583"/>
      <c r="AU16" s="128" t="s">
        <v>340</v>
      </c>
      <c r="AV16" s="128"/>
      <c r="AW16" s="128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</row>
    <row r="17" spans="1:62" ht="12.75" customHeight="1">
      <c r="A17" s="728" t="s">
        <v>360</v>
      </c>
      <c r="B17" s="707"/>
      <c r="C17" s="128" t="s">
        <v>361</v>
      </c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37"/>
      <c r="AG17" s="137"/>
      <c r="AH17" s="137"/>
      <c r="AI17" s="137"/>
      <c r="AJ17" s="137"/>
      <c r="AK17" s="137"/>
      <c r="AL17" s="137"/>
      <c r="AM17" s="137"/>
      <c r="AN17" s="137"/>
      <c r="AO17" s="128"/>
      <c r="AP17" s="128"/>
      <c r="AQ17" s="801">
        <f>'Veri Girişi'!B99</f>
        <v>6.5</v>
      </c>
      <c r="AR17" s="710"/>
      <c r="AS17" s="710"/>
      <c r="AT17" s="583"/>
      <c r="AU17" s="128" t="s">
        <v>347</v>
      </c>
      <c r="AV17" s="128"/>
      <c r="AW17" s="128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</row>
    <row r="18" spans="1:62" ht="12.75" customHeight="1">
      <c r="A18" s="728" t="s">
        <v>356</v>
      </c>
      <c r="B18" s="707"/>
      <c r="C18" s="128" t="s">
        <v>362</v>
      </c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 t="s">
        <v>363</v>
      </c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799">
        <f>VLOOKUP('Veri Girişi'!B99,TABLOLAR!A32:C43,2,0)</f>
        <v>0.152</v>
      </c>
      <c r="AR18" s="710"/>
      <c r="AS18" s="710"/>
      <c r="AT18" s="583"/>
      <c r="AU18" s="128" t="s">
        <v>340</v>
      </c>
      <c r="AV18" s="128"/>
      <c r="AW18" s="128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</row>
    <row r="19" spans="1:62" ht="12.75" customHeight="1">
      <c r="A19" s="728" t="s">
        <v>358</v>
      </c>
      <c r="B19" s="707"/>
      <c r="C19" s="128" t="s">
        <v>364</v>
      </c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796">
        <f>IF('Veri Girişi'!B100=1,((('Veri Girişi'!F80-('Veri Girişi'!F119+'Veri Girişi'!B125-'Veri Girişi'!B124+'Veri Girişi'!B128+'Veri Girişi'!B127))/1000)+5),(((('Veri Girişi'!F80-('Veri Girişi'!F119+'Veri Girişi'!B125-'Veri Girişi'!B124+'Veri Girişi'!B128+'Veri Girişi'!B127))/1000)+5)*2))</f>
        <v>48.38</v>
      </c>
      <c r="AR19" s="710"/>
      <c r="AS19" s="710"/>
      <c r="AT19" s="583"/>
      <c r="AU19" s="128" t="s">
        <v>365</v>
      </c>
      <c r="AV19" s="128"/>
      <c r="AW19" s="128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</row>
    <row r="20" spans="1:62" ht="12.75" customHeight="1">
      <c r="A20" s="728" t="s">
        <v>359</v>
      </c>
      <c r="B20" s="707"/>
      <c r="C20" s="128" t="s">
        <v>366</v>
      </c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835">
        <f>'Veri Girişi'!B98</f>
        <v>7</v>
      </c>
      <c r="AR20" s="710"/>
      <c r="AS20" s="710"/>
      <c r="AT20" s="583"/>
      <c r="AU20" s="128" t="s">
        <v>367</v>
      </c>
      <c r="AV20" s="128"/>
      <c r="AW20" s="128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</row>
    <row r="21" spans="1:62" ht="12.75" customHeight="1">
      <c r="A21" s="728" t="s">
        <v>368</v>
      </c>
      <c r="B21" s="707"/>
      <c r="C21" s="128" t="s">
        <v>369</v>
      </c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745" t="s">
        <v>368</v>
      </c>
      <c r="AF21" s="710"/>
      <c r="AG21" s="134" t="s">
        <v>262</v>
      </c>
      <c r="AH21" s="135" t="s">
        <v>343</v>
      </c>
      <c r="AI21" s="135"/>
      <c r="AJ21" s="135"/>
      <c r="AK21" s="135" t="s">
        <v>370</v>
      </c>
      <c r="AL21" s="135" t="s">
        <v>345</v>
      </c>
      <c r="AM21" s="135" t="s">
        <v>371</v>
      </c>
      <c r="AN21" s="135"/>
      <c r="AO21" s="136"/>
      <c r="AP21" s="128"/>
      <c r="AQ21" s="796">
        <f>AQ9*(AQ10/2000)</f>
        <v>54.177158399999996</v>
      </c>
      <c r="AR21" s="710"/>
      <c r="AS21" s="710"/>
      <c r="AT21" s="583"/>
      <c r="AU21" s="128" t="s">
        <v>372</v>
      </c>
      <c r="AV21" s="128"/>
      <c r="AW21" s="128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</row>
    <row r="22" spans="1:62" ht="12.75" customHeight="1">
      <c r="A22" s="728" t="s">
        <v>274</v>
      </c>
      <c r="B22" s="707"/>
      <c r="C22" s="128" t="s">
        <v>373</v>
      </c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37"/>
      <c r="AG22" s="128"/>
      <c r="AH22" s="128"/>
      <c r="AI22" s="128"/>
      <c r="AJ22" s="128"/>
      <c r="AK22" s="128"/>
      <c r="AL22" s="128"/>
      <c r="AM22" s="128"/>
      <c r="AN22" s="128"/>
      <c r="AO22" s="128"/>
      <c r="AP22" s="138"/>
      <c r="AQ22" s="835">
        <v>0.92</v>
      </c>
      <c r="AR22" s="710"/>
      <c r="AS22" s="710"/>
      <c r="AT22" s="583"/>
      <c r="AU22" s="128"/>
      <c r="AV22" s="128"/>
      <c r="AW22" s="128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</row>
    <row r="23" spans="1:62" ht="12.75" customHeight="1">
      <c r="A23" s="728" t="s">
        <v>374</v>
      </c>
      <c r="B23" s="707"/>
      <c r="C23" s="128" t="s">
        <v>375</v>
      </c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39" t="s">
        <v>374</v>
      </c>
      <c r="AF23" s="134" t="s">
        <v>262</v>
      </c>
      <c r="AG23" s="135" t="s">
        <v>376</v>
      </c>
      <c r="AH23" s="135"/>
      <c r="AI23" s="135"/>
      <c r="AJ23" s="135"/>
      <c r="AK23" s="135"/>
      <c r="AL23" s="135"/>
      <c r="AM23" s="135"/>
      <c r="AN23" s="135"/>
      <c r="AO23" s="136"/>
      <c r="AP23" s="128"/>
      <c r="AQ23" s="796">
        <f>AQ9*AQ6/(AQ22*102)</f>
        <v>4.8111287297527703</v>
      </c>
      <c r="AR23" s="710"/>
      <c r="AS23" s="710"/>
      <c r="AT23" s="583"/>
      <c r="AU23" s="128" t="s">
        <v>377</v>
      </c>
      <c r="AV23" s="128"/>
      <c r="AW23" s="128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</row>
    <row r="24" spans="1:62" ht="7.5" customHeigh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</row>
    <row r="25" spans="1:62" ht="12.75" customHeight="1">
      <c r="A25" s="128" t="s">
        <v>378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737" t="s">
        <v>379</v>
      </c>
      <c r="N25" s="707"/>
      <c r="O25" s="707"/>
      <c r="P25" s="128"/>
      <c r="Q25" s="739">
        <f>AQ23</f>
        <v>4.8111287297527703</v>
      </c>
      <c r="R25" s="710"/>
      <c r="S25" s="583"/>
      <c r="T25" s="137"/>
      <c r="U25" s="128" t="s">
        <v>380</v>
      </c>
      <c r="V25" s="137"/>
      <c r="W25" s="137"/>
      <c r="X25" s="739">
        <f>Q25*1.34</f>
        <v>6.4469124978687127</v>
      </c>
      <c r="Y25" s="710"/>
      <c r="Z25" s="583"/>
      <c r="AA25" s="128" t="s">
        <v>381</v>
      </c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</row>
    <row r="26" spans="1:62" ht="7.5" customHeight="1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37"/>
      <c r="Q26" s="137"/>
      <c r="R26" s="137"/>
      <c r="S26" s="137"/>
      <c r="T26" s="137"/>
      <c r="U26" s="137"/>
      <c r="V26" s="137"/>
      <c r="W26" s="137"/>
      <c r="X26" s="137"/>
      <c r="Y26" s="128"/>
      <c r="Z26" s="128"/>
      <c r="AA26" s="137"/>
      <c r="AB26" s="137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</row>
    <row r="27" spans="1:62" ht="12.75" customHeight="1">
      <c r="A27" s="128" t="s">
        <v>382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806">
        <f>'Veri Girişi'!F95</f>
        <v>4.9000000000000004</v>
      </c>
      <c r="N27" s="710"/>
      <c r="O27" s="583"/>
      <c r="P27" s="784" t="s">
        <v>377</v>
      </c>
      <c r="Q27" s="707"/>
      <c r="R27" s="707"/>
      <c r="S27" s="143" t="s">
        <v>383</v>
      </c>
      <c r="T27" s="140"/>
      <c r="U27" s="813">
        <f>Q25</f>
        <v>4.8111287297527703</v>
      </c>
      <c r="V27" s="710"/>
      <c r="W27" s="583"/>
      <c r="X27" s="784" t="s">
        <v>377</v>
      </c>
      <c r="Y27" s="707"/>
      <c r="Z27" s="707"/>
      <c r="AA27" s="144" t="s">
        <v>384</v>
      </c>
      <c r="AB27" s="140"/>
      <c r="AC27" s="128"/>
      <c r="AD27" s="130"/>
      <c r="AE27" s="140"/>
      <c r="AF27" s="140"/>
      <c r="AG27" s="128"/>
      <c r="AH27" s="831" t="str">
        <f>IF(M27&gt;=U27,"UYGUNDUR.","UYGUN DEĞİLDİR.")</f>
        <v>UYGUNDUR.</v>
      </c>
      <c r="AI27" s="710"/>
      <c r="AJ27" s="710"/>
      <c r="AK27" s="710"/>
      <c r="AL27" s="710"/>
      <c r="AM27" s="710"/>
      <c r="AN27" s="710"/>
      <c r="AO27" s="710"/>
      <c r="AP27" s="710"/>
      <c r="AQ27" s="583"/>
      <c r="AR27" s="129"/>
      <c r="AS27" s="128"/>
      <c r="AT27" s="145"/>
      <c r="AU27" s="145"/>
      <c r="AV27" s="130"/>
      <c r="AW27" s="130"/>
      <c r="AX27" s="128"/>
      <c r="AY27" s="130"/>
      <c r="AZ27" s="130"/>
      <c r="BA27" s="130"/>
      <c r="BB27" s="130"/>
      <c r="BC27" s="130"/>
      <c r="BD27" s="130"/>
      <c r="BE27" s="130"/>
      <c r="BF27" s="128"/>
      <c r="BG27" s="128"/>
      <c r="BH27" s="128"/>
      <c r="BI27" s="128"/>
      <c r="BJ27" s="128"/>
    </row>
    <row r="28" spans="1:62" ht="5.25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30"/>
      <c r="AP28" s="130"/>
      <c r="AQ28" s="130"/>
      <c r="AR28" s="130"/>
      <c r="AS28" s="145" t="s">
        <v>385</v>
      </c>
      <c r="AT28" s="145"/>
      <c r="AU28" s="145"/>
      <c r="AV28" s="130"/>
      <c r="AW28" s="130"/>
      <c r="AX28" s="128"/>
      <c r="AY28" s="130"/>
      <c r="AZ28" s="130"/>
      <c r="BA28" s="130"/>
      <c r="BB28" s="130"/>
      <c r="BC28" s="130"/>
      <c r="BD28" s="130"/>
      <c r="BE28" s="130"/>
      <c r="BF28" s="128"/>
      <c r="BG28" s="128"/>
      <c r="BH28" s="128"/>
      <c r="BI28" s="128"/>
      <c r="BJ28" s="128"/>
    </row>
    <row r="29" spans="1:62" ht="12.75" customHeight="1">
      <c r="A29" s="131" t="s">
        <v>386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30"/>
      <c r="BA29" s="130"/>
      <c r="BB29" s="130"/>
      <c r="BC29" s="130"/>
      <c r="BD29" s="130"/>
      <c r="BE29" s="130"/>
      <c r="BF29" s="128"/>
      <c r="BG29" s="128"/>
      <c r="BH29" s="128"/>
      <c r="BI29" s="128"/>
      <c r="BJ29" s="128"/>
    </row>
    <row r="30" spans="1:62" ht="4.5" customHeight="1">
      <c r="A30" s="131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30"/>
      <c r="AP30" s="130"/>
      <c r="AQ30" s="130"/>
      <c r="AR30" s="130"/>
      <c r="AS30" s="130"/>
      <c r="AT30" s="130"/>
      <c r="AU30" s="130"/>
      <c r="AV30" s="130"/>
      <c r="AW30" s="130"/>
      <c r="AX30" s="128"/>
      <c r="AY30" s="130"/>
      <c r="AZ30" s="130"/>
      <c r="BA30" s="130"/>
      <c r="BB30" s="130"/>
      <c r="BC30" s="130"/>
      <c r="BD30" s="130"/>
      <c r="BE30" s="130"/>
      <c r="BF30" s="128"/>
      <c r="BG30" s="128"/>
      <c r="BH30" s="128"/>
      <c r="BI30" s="128"/>
      <c r="BJ30" s="128"/>
    </row>
    <row r="31" spans="1:62" ht="12.75" customHeight="1">
      <c r="A31" s="728" t="s">
        <v>387</v>
      </c>
      <c r="B31" s="707"/>
      <c r="C31" s="146" t="s">
        <v>308</v>
      </c>
      <c r="D31" s="146" t="s">
        <v>388</v>
      </c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28"/>
      <c r="AA31" s="128"/>
      <c r="AB31" s="794">
        <f>VLOOKUP('Veri Girişi'!G36,TABLOLAR!H32:K35,4,0)</f>
        <v>2</v>
      </c>
      <c r="AC31" s="710"/>
      <c r="AD31" s="710"/>
      <c r="AE31" s="710"/>
      <c r="AF31" s="583"/>
      <c r="AG31" s="146"/>
      <c r="AH31" s="128"/>
      <c r="AI31" s="147"/>
      <c r="AJ31" s="128"/>
      <c r="AK31" s="128"/>
      <c r="AL31" s="128"/>
      <c r="AM31" s="128"/>
      <c r="AN31" s="128"/>
      <c r="AO31" s="128"/>
      <c r="AP31" s="128"/>
      <c r="AQ31" s="128"/>
      <c r="AR31" s="147"/>
      <c r="AS31" s="148"/>
      <c r="AT31" s="148"/>
      <c r="AU31" s="149"/>
      <c r="AV31" s="149"/>
      <c r="AW31" s="149"/>
      <c r="AX31" s="149"/>
      <c r="AY31" s="149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</row>
    <row r="32" spans="1:62" ht="12" customHeight="1">
      <c r="A32" s="722" t="s">
        <v>389</v>
      </c>
      <c r="B32" s="707"/>
      <c r="C32" s="144" t="s">
        <v>308</v>
      </c>
      <c r="D32" s="144" t="s">
        <v>390</v>
      </c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 t="s">
        <v>391</v>
      </c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748">
        <f>'Veri Girişi'!F126</f>
        <v>300</v>
      </c>
      <c r="AC32" s="710"/>
      <c r="AD32" s="710"/>
      <c r="AE32" s="710"/>
      <c r="AF32" s="583"/>
      <c r="AG32" s="144" t="s">
        <v>167</v>
      </c>
      <c r="AH32" s="144"/>
      <c r="AI32" s="144"/>
      <c r="AJ32" s="128"/>
      <c r="AK32" s="128"/>
      <c r="AL32" s="128"/>
      <c r="AM32" s="128"/>
      <c r="AN32" s="128"/>
      <c r="AO32" s="128"/>
      <c r="AP32" s="128"/>
      <c r="AQ32" s="128"/>
      <c r="AR32" s="144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33"/>
      <c r="BG32" s="133"/>
      <c r="BH32" s="133"/>
      <c r="BI32" s="133"/>
      <c r="BJ32" s="133"/>
    </row>
    <row r="33" spans="1:62" ht="12" customHeight="1">
      <c r="A33" s="151" t="s">
        <v>322</v>
      </c>
      <c r="B33" s="144"/>
      <c r="C33" s="144" t="s">
        <v>308</v>
      </c>
      <c r="D33" s="144" t="s">
        <v>392</v>
      </c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748">
        <f>'Veri Girişi'!F104</f>
        <v>1400</v>
      </c>
      <c r="AC33" s="710"/>
      <c r="AD33" s="710"/>
      <c r="AE33" s="710"/>
      <c r="AF33" s="583"/>
      <c r="AG33" s="144" t="s">
        <v>122</v>
      </c>
      <c r="AH33" s="144"/>
      <c r="AI33" s="144"/>
      <c r="AJ33" s="128"/>
      <c r="AK33" s="128"/>
      <c r="AL33" s="128"/>
      <c r="AM33" s="128"/>
      <c r="AN33" s="128"/>
      <c r="AO33" s="128"/>
      <c r="AP33" s="128"/>
      <c r="AQ33" s="128"/>
      <c r="AR33" s="144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33"/>
      <c r="BG33" s="133"/>
      <c r="BH33" s="133"/>
      <c r="BI33" s="133"/>
      <c r="BJ33" s="133"/>
    </row>
    <row r="34" spans="1:62" ht="12" customHeight="1">
      <c r="A34" s="128"/>
      <c r="B34" s="144"/>
      <c r="C34" s="144"/>
      <c r="D34" s="144" t="s">
        <v>393</v>
      </c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28"/>
      <c r="W34" s="146"/>
      <c r="X34" s="146"/>
      <c r="Y34" s="146"/>
      <c r="Z34" s="128"/>
      <c r="AA34" s="146"/>
      <c r="AB34" s="814" t="str">
        <f>'Veri Girişi'!G103</f>
        <v>NPU</v>
      </c>
      <c r="AC34" s="710"/>
      <c r="AD34" s="710"/>
      <c r="AE34" s="741">
        <f>'Veri Girişi'!F103</f>
        <v>120</v>
      </c>
      <c r="AF34" s="583"/>
      <c r="AG34" s="144"/>
      <c r="AH34" s="144"/>
      <c r="AI34" s="144"/>
      <c r="AJ34" s="128"/>
      <c r="AK34" s="128"/>
      <c r="AL34" s="128"/>
      <c r="AM34" s="128"/>
      <c r="AN34" s="128"/>
      <c r="AO34" s="128"/>
      <c r="AP34" s="128"/>
      <c r="AQ34" s="128"/>
      <c r="AR34" s="144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33"/>
      <c r="BG34" s="133"/>
      <c r="BH34" s="133"/>
      <c r="BI34" s="133"/>
      <c r="BJ34" s="133"/>
    </row>
    <row r="35" spans="1:62" ht="12" customHeight="1">
      <c r="A35" s="128" t="s">
        <v>394</v>
      </c>
      <c r="B35" s="144"/>
      <c r="C35" s="144" t="s">
        <v>308</v>
      </c>
      <c r="D35" s="144" t="s">
        <v>395</v>
      </c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748">
        <f>'Veri Girişi'!F101</f>
        <v>1100</v>
      </c>
      <c r="AC35" s="710"/>
      <c r="AD35" s="710"/>
      <c r="AE35" s="710"/>
      <c r="AF35" s="583"/>
      <c r="AG35" s="144" t="s">
        <v>122</v>
      </c>
      <c r="AH35" s="144"/>
      <c r="AI35" s="144"/>
      <c r="AJ35" s="128"/>
      <c r="AK35" s="128"/>
      <c r="AL35" s="128"/>
      <c r="AM35" s="128"/>
      <c r="AN35" s="128"/>
      <c r="AO35" s="128"/>
      <c r="AP35" s="128"/>
      <c r="AQ35" s="128"/>
      <c r="AR35" s="144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33"/>
      <c r="BG35" s="133"/>
      <c r="BH35" s="133"/>
      <c r="BI35" s="133"/>
      <c r="BJ35" s="133"/>
    </row>
    <row r="36" spans="1:62" ht="12" customHeight="1">
      <c r="A36" s="128"/>
      <c r="B36" s="144"/>
      <c r="C36" s="144"/>
      <c r="D36" s="144" t="s">
        <v>396</v>
      </c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6"/>
      <c r="Y36" s="146"/>
      <c r="Z36" s="128"/>
      <c r="AA36" s="146"/>
      <c r="AB36" s="814" t="str">
        <f>'Veri Girişi'!G102</f>
        <v>NPU</v>
      </c>
      <c r="AC36" s="710"/>
      <c r="AD36" s="710"/>
      <c r="AE36" s="744">
        <f>'Veri Girişi'!F102</f>
        <v>120</v>
      </c>
      <c r="AF36" s="583"/>
      <c r="AG36" s="144"/>
      <c r="AH36" s="144"/>
      <c r="AI36" s="144"/>
      <c r="AJ36" s="128"/>
      <c r="AK36" s="128"/>
      <c r="AL36" s="128"/>
      <c r="AM36" s="128"/>
      <c r="AN36" s="128"/>
      <c r="AO36" s="128"/>
      <c r="AP36" s="128"/>
      <c r="AQ36" s="128"/>
      <c r="AR36" s="144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33"/>
      <c r="BG36" s="133"/>
      <c r="BH36" s="133"/>
      <c r="BI36" s="133"/>
      <c r="BJ36" s="133"/>
    </row>
    <row r="37" spans="1:62" ht="12" customHeight="1">
      <c r="A37" s="144" t="s">
        <v>397</v>
      </c>
      <c r="B37" s="144"/>
      <c r="C37" s="144" t="s">
        <v>308</v>
      </c>
      <c r="D37" s="144" t="s">
        <v>398</v>
      </c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778">
        <f>VLOOKUP($AE$36,TABLOLAR!M36:AH53,10,0)*100</f>
        <v>1700</v>
      </c>
      <c r="AC37" s="710"/>
      <c r="AD37" s="710"/>
      <c r="AE37" s="710"/>
      <c r="AF37" s="583"/>
      <c r="AG37" s="144" t="s">
        <v>399</v>
      </c>
      <c r="AH37" s="144"/>
      <c r="AI37" s="144"/>
      <c r="AJ37" s="128"/>
      <c r="AK37" s="128"/>
      <c r="AL37" s="128"/>
      <c r="AM37" s="128"/>
      <c r="AN37" s="128"/>
      <c r="AO37" s="128"/>
      <c r="AP37" s="128"/>
      <c r="AQ37" s="128"/>
      <c r="AR37" s="144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/>
      <c r="BF37" s="133"/>
      <c r="BG37" s="133"/>
      <c r="BH37" s="133"/>
      <c r="BI37" s="133"/>
      <c r="BJ37" s="133"/>
    </row>
    <row r="38" spans="1:62" ht="12" customHeight="1">
      <c r="A38" s="144" t="s">
        <v>400</v>
      </c>
      <c r="B38" s="144"/>
      <c r="C38" s="144" t="s">
        <v>308</v>
      </c>
      <c r="D38" s="144" t="s">
        <v>401</v>
      </c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778">
        <f>VLOOKUP($AE$36,TABLOLAR!M36:AH53,14,0)*10</f>
        <v>46.2</v>
      </c>
      <c r="AC38" s="710"/>
      <c r="AD38" s="710"/>
      <c r="AE38" s="710"/>
      <c r="AF38" s="583"/>
      <c r="AG38" s="144" t="s">
        <v>122</v>
      </c>
      <c r="AH38" s="144"/>
      <c r="AI38" s="144"/>
      <c r="AJ38" s="128"/>
      <c r="AK38" s="128"/>
      <c r="AL38" s="128"/>
      <c r="AM38" s="128"/>
      <c r="AN38" s="128"/>
      <c r="AO38" s="128"/>
      <c r="AP38" s="128"/>
      <c r="AQ38" s="128"/>
      <c r="AR38" s="144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33"/>
      <c r="BG38" s="133"/>
      <c r="BH38" s="133"/>
      <c r="BI38" s="133"/>
      <c r="BJ38" s="133"/>
    </row>
    <row r="39" spans="1:62" ht="12" customHeight="1">
      <c r="A39" s="722" t="s">
        <v>402</v>
      </c>
      <c r="B39" s="707"/>
      <c r="C39" s="144" t="s">
        <v>308</v>
      </c>
      <c r="D39" s="144" t="s">
        <v>403</v>
      </c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759">
        <f>VLOOKUP(Z71,TABLOLAR!A47:B177,2,0)</f>
        <v>1.05</v>
      </c>
      <c r="AC39" s="710"/>
      <c r="AD39" s="710"/>
      <c r="AE39" s="710"/>
      <c r="AF39" s="583"/>
      <c r="AG39" s="144"/>
      <c r="AH39" s="144"/>
      <c r="AI39" s="144"/>
      <c r="AJ39" s="128"/>
      <c r="AK39" s="128"/>
      <c r="AL39" s="128"/>
      <c r="AM39" s="128"/>
      <c r="AN39" s="128"/>
      <c r="AO39" s="128"/>
      <c r="AP39" s="128"/>
      <c r="AQ39" s="128"/>
      <c r="AR39" s="144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33"/>
      <c r="BG39" s="133"/>
      <c r="BH39" s="133"/>
      <c r="BI39" s="133"/>
      <c r="BJ39" s="133"/>
    </row>
    <row r="40" spans="1:62" ht="12" customHeight="1">
      <c r="A40" s="144" t="s">
        <v>404</v>
      </c>
      <c r="B40" s="144"/>
      <c r="C40" s="144" t="s">
        <v>308</v>
      </c>
      <c r="D40" s="144" t="s">
        <v>405</v>
      </c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748">
        <v>130</v>
      </c>
      <c r="AC40" s="710"/>
      <c r="AD40" s="710"/>
      <c r="AE40" s="710"/>
      <c r="AF40" s="583"/>
      <c r="AG40" s="144" t="s">
        <v>406</v>
      </c>
      <c r="AH40" s="144"/>
      <c r="AI40" s="144"/>
      <c r="AJ40" s="128"/>
      <c r="AK40" s="128"/>
      <c r="AL40" s="128"/>
      <c r="AM40" s="128"/>
      <c r="AN40" s="128"/>
      <c r="AO40" s="128"/>
      <c r="AP40" s="128"/>
      <c r="AQ40" s="128"/>
      <c r="AR40" s="144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33"/>
      <c r="BG40" s="133"/>
      <c r="BH40" s="133"/>
      <c r="BI40" s="133"/>
      <c r="BJ40" s="133"/>
    </row>
    <row r="41" spans="1:62" ht="12" customHeight="1">
      <c r="A41" s="144" t="s">
        <v>407</v>
      </c>
      <c r="B41" s="144"/>
      <c r="C41" s="144" t="s">
        <v>308</v>
      </c>
      <c r="D41" s="144" t="s">
        <v>408</v>
      </c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748">
        <f>VLOOKUP($AE$34,TABLOLAR!M36:AH53,13,0)*1000</f>
        <v>60700</v>
      </c>
      <c r="AC41" s="710"/>
      <c r="AD41" s="710"/>
      <c r="AE41" s="710"/>
      <c r="AF41" s="583"/>
      <c r="AG41" s="144" t="s">
        <v>409</v>
      </c>
      <c r="AH41" s="144"/>
      <c r="AI41" s="144"/>
      <c r="AJ41" s="128"/>
      <c r="AK41" s="128"/>
      <c r="AL41" s="128"/>
      <c r="AM41" s="128"/>
      <c r="AN41" s="128"/>
      <c r="AO41" s="128"/>
      <c r="AP41" s="128"/>
      <c r="AQ41" s="128"/>
      <c r="AR41" s="144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/>
      <c r="BD41" s="150"/>
      <c r="BE41" s="150"/>
      <c r="BF41" s="133"/>
      <c r="BG41" s="133"/>
      <c r="BH41" s="133"/>
      <c r="BI41" s="133"/>
      <c r="BJ41" s="133"/>
    </row>
    <row r="42" spans="1:62" ht="5.25" customHeight="1">
      <c r="A42" s="152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49"/>
      <c r="AL42" s="149"/>
      <c r="AM42" s="149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33"/>
      <c r="BG42" s="133"/>
      <c r="BH42" s="133"/>
      <c r="BI42" s="133"/>
      <c r="BJ42" s="133"/>
    </row>
    <row r="43" spans="1:62" ht="12" customHeight="1">
      <c r="A43" s="153" t="s">
        <v>410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33"/>
      <c r="BG43" s="133"/>
      <c r="BH43" s="133"/>
      <c r="BI43" s="133"/>
      <c r="BJ43" s="133"/>
    </row>
    <row r="44" spans="1:62" ht="3.75" customHeight="1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33"/>
      <c r="BG44" s="133"/>
      <c r="BH44" s="133"/>
      <c r="BI44" s="133"/>
      <c r="BJ44" s="133"/>
    </row>
    <row r="45" spans="1:62" ht="12" customHeight="1">
      <c r="A45" s="130" t="s">
        <v>411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737">
        <f>AB31</f>
        <v>2</v>
      </c>
      <c r="T45" s="707"/>
      <c r="U45" s="128" t="s">
        <v>412</v>
      </c>
      <c r="V45" s="737">
        <f>9.81</f>
        <v>9.81</v>
      </c>
      <c r="W45" s="707"/>
      <c r="X45" s="707"/>
      <c r="Y45" s="128" t="s">
        <v>412</v>
      </c>
      <c r="Z45" s="130" t="s">
        <v>413</v>
      </c>
      <c r="AA45" s="754">
        <f>AQ14</f>
        <v>800</v>
      </c>
      <c r="AB45" s="707"/>
      <c r="AC45" s="707"/>
      <c r="AD45" s="130" t="s">
        <v>316</v>
      </c>
      <c r="AE45" s="754">
        <f>AQ15</f>
        <v>700</v>
      </c>
      <c r="AF45" s="707"/>
      <c r="AG45" s="707"/>
      <c r="AH45" s="130" t="s">
        <v>316</v>
      </c>
      <c r="AI45" s="764">
        <f>AQ16</f>
        <v>51.476320000000001</v>
      </c>
      <c r="AJ45" s="707"/>
      <c r="AK45" s="707"/>
      <c r="AL45" s="130" t="s">
        <v>316</v>
      </c>
      <c r="AM45" s="754">
        <f>AQ13</f>
        <v>1100</v>
      </c>
      <c r="AN45" s="707"/>
      <c r="AO45" s="707"/>
      <c r="AP45" s="130" t="s">
        <v>316</v>
      </c>
      <c r="AQ45" s="737">
        <f>AB32</f>
        <v>300</v>
      </c>
      <c r="AR45" s="707"/>
      <c r="AS45" s="707"/>
      <c r="AT45" s="130" t="s">
        <v>414</v>
      </c>
      <c r="AU45" s="128"/>
      <c r="AV45" s="130"/>
      <c r="AW45" s="155"/>
      <c r="AX45" s="155"/>
      <c r="AY45" s="155"/>
      <c r="AZ45" s="155"/>
      <c r="BA45" s="155"/>
      <c r="BB45" s="155"/>
      <c r="BC45" s="156"/>
      <c r="BD45" s="156"/>
      <c r="BE45" s="157"/>
      <c r="BF45" s="133"/>
      <c r="BG45" s="133"/>
      <c r="BH45" s="133"/>
      <c r="BI45" s="133"/>
      <c r="BJ45" s="133"/>
    </row>
    <row r="46" spans="1:62" ht="4.5" customHeight="1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51"/>
      <c r="T46" s="151"/>
      <c r="U46" s="146"/>
      <c r="V46" s="151"/>
      <c r="W46" s="151"/>
      <c r="X46" s="151"/>
      <c r="Y46" s="128"/>
      <c r="Z46" s="144"/>
      <c r="AA46" s="151"/>
      <c r="AB46" s="151"/>
      <c r="AC46" s="151"/>
      <c r="AD46" s="144"/>
      <c r="AE46" s="151"/>
      <c r="AF46" s="151"/>
      <c r="AG46" s="151"/>
      <c r="AH46" s="144"/>
      <c r="AI46" s="151"/>
      <c r="AJ46" s="151"/>
      <c r="AK46" s="151"/>
      <c r="AL46" s="144"/>
      <c r="AM46" s="151"/>
      <c r="AN46" s="151"/>
      <c r="AO46" s="151"/>
      <c r="AP46" s="144"/>
      <c r="AQ46" s="151"/>
      <c r="AR46" s="151"/>
      <c r="AS46" s="151"/>
      <c r="AT46" s="144"/>
      <c r="AU46" s="128"/>
      <c r="AV46" s="144"/>
      <c r="AW46" s="158"/>
      <c r="AX46" s="158"/>
      <c r="AY46" s="158"/>
      <c r="AZ46" s="158"/>
      <c r="BA46" s="158"/>
      <c r="BB46" s="158"/>
      <c r="BC46" s="159"/>
      <c r="BD46" s="159"/>
      <c r="BE46" s="150"/>
      <c r="BF46" s="133"/>
      <c r="BG46" s="133"/>
      <c r="BH46" s="133"/>
      <c r="BI46" s="133"/>
      <c r="BJ46" s="133"/>
    </row>
    <row r="47" spans="1:62" ht="12" customHeight="1">
      <c r="A47" s="144" t="s">
        <v>415</v>
      </c>
      <c r="B47" s="144" t="s">
        <v>262</v>
      </c>
      <c r="C47" s="734">
        <f>(S45*V45*(AA45+AE45+AI45+AM45+AQ45))</f>
        <v>57907.965398399996</v>
      </c>
      <c r="D47" s="707"/>
      <c r="E47" s="707"/>
      <c r="F47" s="707"/>
      <c r="G47" s="707"/>
      <c r="H47" s="146" t="s">
        <v>374</v>
      </c>
      <c r="I47" s="146"/>
      <c r="J47" s="144"/>
      <c r="K47" s="144"/>
      <c r="L47" s="144"/>
      <c r="M47" s="144"/>
      <c r="N47" s="144"/>
      <c r="O47" s="144"/>
      <c r="P47" s="144"/>
      <c r="Q47" s="144"/>
      <c r="R47" s="144"/>
      <c r="S47" s="151"/>
      <c r="T47" s="151"/>
      <c r="U47" s="146"/>
      <c r="V47" s="151"/>
      <c r="W47" s="151"/>
      <c r="X47" s="151"/>
      <c r="Y47" s="128"/>
      <c r="Z47" s="144"/>
      <c r="AA47" s="151"/>
      <c r="AB47" s="151"/>
      <c r="AC47" s="151"/>
      <c r="AD47" s="144"/>
      <c r="AE47" s="151"/>
      <c r="AF47" s="151"/>
      <c r="AG47" s="151"/>
      <c r="AH47" s="144"/>
      <c r="AI47" s="151"/>
      <c r="AJ47" s="151"/>
      <c r="AK47" s="151"/>
      <c r="AL47" s="144"/>
      <c r="AM47" s="151"/>
      <c r="AN47" s="151"/>
      <c r="AO47" s="151"/>
      <c r="AP47" s="144"/>
      <c r="AQ47" s="151"/>
      <c r="AR47" s="151"/>
      <c r="AS47" s="151"/>
      <c r="AT47" s="144"/>
      <c r="AU47" s="128"/>
      <c r="AV47" s="144"/>
      <c r="AW47" s="158"/>
      <c r="AX47" s="158"/>
      <c r="AY47" s="158"/>
      <c r="AZ47" s="158"/>
      <c r="BA47" s="158"/>
      <c r="BB47" s="158"/>
      <c r="BC47" s="159"/>
      <c r="BD47" s="159"/>
      <c r="BE47" s="150"/>
      <c r="BF47" s="133"/>
      <c r="BG47" s="133"/>
      <c r="BH47" s="133"/>
      <c r="BI47" s="133"/>
      <c r="BJ47" s="133"/>
    </row>
    <row r="48" spans="1:62" ht="3.75" customHeight="1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33"/>
      <c r="BG48" s="133"/>
      <c r="BH48" s="133"/>
      <c r="BI48" s="133"/>
      <c r="BJ48" s="133"/>
    </row>
    <row r="49" spans="1:62" ht="12" customHeight="1">
      <c r="A49" s="153" t="s">
        <v>416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  <c r="BF49" s="133"/>
      <c r="BG49" s="133"/>
      <c r="BH49" s="133"/>
      <c r="BI49" s="133"/>
      <c r="BJ49" s="133"/>
    </row>
    <row r="50" spans="1:62" ht="5.25" customHeight="1">
      <c r="A50" s="161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/>
      <c r="BF50" s="133"/>
      <c r="BG50" s="133"/>
      <c r="BH50" s="133"/>
      <c r="BI50" s="133"/>
      <c r="BJ50" s="133"/>
    </row>
    <row r="51" spans="1:62" ht="12" customHeight="1">
      <c r="A51" s="722" t="s">
        <v>338</v>
      </c>
      <c r="B51" s="707"/>
      <c r="C51" s="144" t="s">
        <v>262</v>
      </c>
      <c r="D51" s="144"/>
      <c r="E51" s="144" t="s">
        <v>417</v>
      </c>
      <c r="F51" s="144"/>
      <c r="G51" s="144"/>
      <c r="H51" s="144" t="s">
        <v>262</v>
      </c>
      <c r="I51" s="721">
        <f>C47/2</f>
        <v>28953.982699199998</v>
      </c>
      <c r="J51" s="707"/>
      <c r="K51" s="707"/>
      <c r="L51" s="707"/>
      <c r="M51" s="707"/>
      <c r="N51" s="144" t="s">
        <v>374</v>
      </c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0"/>
      <c r="BC51" s="150"/>
      <c r="BD51" s="150"/>
      <c r="BE51" s="150"/>
      <c r="BF51" s="133"/>
      <c r="BG51" s="133"/>
      <c r="BH51" s="133"/>
      <c r="BI51" s="133"/>
      <c r="BJ51" s="133"/>
    </row>
    <row r="52" spans="1:62" ht="5.25" customHeight="1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33"/>
      <c r="BG52" s="133"/>
      <c r="BH52" s="133"/>
      <c r="BI52" s="133"/>
      <c r="BJ52" s="133"/>
    </row>
    <row r="53" spans="1:62" ht="15.75" customHeight="1">
      <c r="A53" s="722" t="s">
        <v>338</v>
      </c>
      <c r="B53" s="707"/>
      <c r="C53" s="151" t="s">
        <v>418</v>
      </c>
      <c r="D53" s="144" t="s">
        <v>419</v>
      </c>
      <c r="E53" s="144" t="s">
        <v>262</v>
      </c>
      <c r="F53" s="144" t="s">
        <v>420</v>
      </c>
      <c r="G53" s="144"/>
      <c r="H53" s="151" t="s">
        <v>418</v>
      </c>
      <c r="I53" s="144" t="s">
        <v>322</v>
      </c>
      <c r="J53" s="144"/>
      <c r="K53" s="144"/>
      <c r="L53" s="144" t="s">
        <v>420</v>
      </c>
      <c r="M53" s="144"/>
      <c r="N53" s="144" t="s">
        <v>262</v>
      </c>
      <c r="O53" s="734">
        <f>I51*K58/AB33</f>
        <v>22025.708267605711</v>
      </c>
      <c r="P53" s="707"/>
      <c r="Q53" s="707"/>
      <c r="R53" s="707"/>
      <c r="S53" s="707"/>
      <c r="T53" s="144" t="s">
        <v>374</v>
      </c>
      <c r="U53" s="133"/>
      <c r="V53" s="144"/>
      <c r="W53" s="144"/>
      <c r="X53" s="144" t="s">
        <v>421</v>
      </c>
      <c r="Y53" s="144"/>
      <c r="Z53" s="144" t="s">
        <v>262</v>
      </c>
      <c r="AA53" s="721" t="s">
        <v>338</v>
      </c>
      <c r="AB53" s="707"/>
      <c r="AC53" s="144" t="s">
        <v>317</v>
      </c>
      <c r="AD53" s="144" t="s">
        <v>420</v>
      </c>
      <c r="AE53" s="144"/>
      <c r="AF53" s="144"/>
      <c r="AG53" s="144"/>
      <c r="AH53" s="144" t="s">
        <v>421</v>
      </c>
      <c r="AI53" s="144"/>
      <c r="AJ53" s="144" t="s">
        <v>262</v>
      </c>
      <c r="AK53" s="734">
        <f>I51-O53</f>
        <v>6928.2744315942873</v>
      </c>
      <c r="AL53" s="707"/>
      <c r="AM53" s="707"/>
      <c r="AN53" s="707"/>
      <c r="AO53" s="144" t="s">
        <v>374</v>
      </c>
      <c r="AP53" s="146"/>
      <c r="AQ53" s="146"/>
      <c r="AR53" s="133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33"/>
      <c r="BG53" s="133"/>
      <c r="BH53" s="133"/>
      <c r="BI53" s="133"/>
      <c r="BJ53" s="133"/>
    </row>
    <row r="54" spans="1:62" ht="6" customHeight="1">
      <c r="A54" s="151"/>
      <c r="B54" s="151"/>
      <c r="C54" s="151"/>
      <c r="D54" s="144"/>
      <c r="E54" s="144"/>
      <c r="F54" s="144"/>
      <c r="G54" s="144"/>
      <c r="H54" s="151"/>
      <c r="I54" s="144"/>
      <c r="J54" s="144"/>
      <c r="K54" s="144"/>
      <c r="L54" s="144"/>
      <c r="M54" s="144"/>
      <c r="N54" s="144"/>
      <c r="O54" s="151"/>
      <c r="P54" s="151"/>
      <c r="Q54" s="151"/>
      <c r="R54" s="151"/>
      <c r="S54" s="151"/>
      <c r="T54" s="151"/>
      <c r="U54" s="144"/>
      <c r="V54" s="144"/>
      <c r="W54" s="144"/>
      <c r="X54" s="144"/>
      <c r="Y54" s="144"/>
      <c r="Z54" s="144"/>
      <c r="AA54" s="151"/>
      <c r="AB54" s="151"/>
      <c r="AC54" s="144"/>
      <c r="AD54" s="144"/>
      <c r="AE54" s="144"/>
      <c r="AF54" s="144"/>
      <c r="AG54" s="144"/>
      <c r="AH54" s="144"/>
      <c r="AI54" s="144"/>
      <c r="AJ54" s="144"/>
      <c r="AK54" s="151"/>
      <c r="AL54" s="151"/>
      <c r="AM54" s="151"/>
      <c r="AN54" s="151"/>
      <c r="AO54" s="151"/>
      <c r="AP54" s="151"/>
      <c r="AQ54" s="151"/>
      <c r="AR54" s="144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33"/>
      <c r="BG54" s="133"/>
      <c r="BH54" s="133"/>
      <c r="BI54" s="133"/>
      <c r="BJ54" s="133"/>
    </row>
    <row r="55" spans="1:62" ht="12" customHeight="1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28"/>
      <c r="S55" s="162" t="s">
        <v>422</v>
      </c>
      <c r="T55" s="721">
        <f>I51</f>
        <v>28953.982699199998</v>
      </c>
      <c r="U55" s="707"/>
      <c r="V55" s="707"/>
      <c r="W55" s="707"/>
      <c r="X55" s="146" t="s">
        <v>374</v>
      </c>
      <c r="Y55" s="133"/>
      <c r="Z55" s="150"/>
      <c r="AA55" s="150"/>
      <c r="AB55" s="150"/>
      <c r="AC55" s="150"/>
      <c r="AD55" s="130"/>
      <c r="AE55" s="128"/>
      <c r="AF55" s="128"/>
      <c r="AG55" s="128"/>
      <c r="AH55" s="128"/>
      <c r="AI55" s="128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33"/>
      <c r="BG55" s="133"/>
      <c r="BH55" s="133"/>
      <c r="BI55" s="133"/>
      <c r="BJ55" s="133"/>
    </row>
    <row r="56" spans="1:62" ht="12" customHeight="1">
      <c r="A56" s="150"/>
      <c r="B56" s="150"/>
      <c r="C56" s="150"/>
      <c r="D56" s="150"/>
      <c r="E56" s="144" t="s">
        <v>397</v>
      </c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 t="s">
        <v>423</v>
      </c>
      <c r="Q56" s="144"/>
      <c r="R56" s="144"/>
      <c r="S56" s="144"/>
      <c r="T56" s="144"/>
      <c r="U56" s="144"/>
      <c r="V56" s="144"/>
      <c r="W56" s="144"/>
      <c r="X56" s="144" t="s">
        <v>261</v>
      </c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33"/>
      <c r="BG56" s="133"/>
      <c r="BH56" s="133"/>
      <c r="BI56" s="133"/>
      <c r="BJ56" s="133"/>
    </row>
    <row r="57" spans="1:62" ht="12" customHeight="1">
      <c r="A57" s="150"/>
      <c r="B57" s="150"/>
      <c r="C57" s="150"/>
      <c r="D57" s="150"/>
      <c r="E57" s="150"/>
      <c r="F57" s="721" t="s">
        <v>421</v>
      </c>
      <c r="G57" s="707"/>
      <c r="H57" s="144" t="s">
        <v>262</v>
      </c>
      <c r="I57" s="734">
        <f>AK53</f>
        <v>6928.2744315942873</v>
      </c>
      <c r="J57" s="707"/>
      <c r="K57" s="707"/>
      <c r="L57" s="707"/>
      <c r="M57" s="146" t="s">
        <v>374</v>
      </c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721" t="s">
        <v>420</v>
      </c>
      <c r="Z57" s="707"/>
      <c r="AA57" s="144" t="s">
        <v>262</v>
      </c>
      <c r="AB57" s="795">
        <f>O53</f>
        <v>22025.708267605711</v>
      </c>
      <c r="AC57" s="707"/>
      <c r="AD57" s="707"/>
      <c r="AE57" s="707"/>
      <c r="AF57" s="144" t="s">
        <v>374</v>
      </c>
      <c r="AG57" s="128"/>
      <c r="AH57" s="144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33"/>
      <c r="BG57" s="133"/>
      <c r="BH57" s="133"/>
      <c r="BI57" s="133"/>
      <c r="BJ57" s="133"/>
    </row>
    <row r="58" spans="1:62" ht="12" customHeight="1">
      <c r="A58" s="150"/>
      <c r="B58" s="150"/>
      <c r="C58" s="150"/>
      <c r="D58" s="150"/>
      <c r="E58" s="150"/>
      <c r="F58" s="150"/>
      <c r="G58" s="150"/>
      <c r="H58" s="150"/>
      <c r="I58" s="144" t="s">
        <v>419</v>
      </c>
      <c r="J58" s="144" t="s">
        <v>262</v>
      </c>
      <c r="K58" s="721">
        <f>Q59-S58</f>
        <v>1065</v>
      </c>
      <c r="L58" s="707"/>
      <c r="M58" s="707"/>
      <c r="N58" s="144" t="s">
        <v>122</v>
      </c>
      <c r="O58" s="144"/>
      <c r="P58" s="144"/>
      <c r="Q58" s="150"/>
      <c r="R58" s="151" t="s">
        <v>424</v>
      </c>
      <c r="S58" s="721">
        <v>335</v>
      </c>
      <c r="T58" s="707"/>
      <c r="U58" s="144" t="s">
        <v>122</v>
      </c>
      <c r="V58" s="128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33"/>
      <c r="BG58" s="133"/>
      <c r="BH58" s="133"/>
      <c r="BI58" s="133"/>
      <c r="BJ58" s="133"/>
    </row>
    <row r="59" spans="1:62" ht="15.75" customHeight="1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33"/>
      <c r="O59" s="144" t="s">
        <v>322</v>
      </c>
      <c r="P59" s="144" t="s">
        <v>262</v>
      </c>
      <c r="Q59" s="721">
        <f>AB33</f>
        <v>1400</v>
      </c>
      <c r="R59" s="707"/>
      <c r="S59" s="707"/>
      <c r="T59" s="144" t="s">
        <v>122</v>
      </c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747"/>
      <c r="AS59" s="707"/>
      <c r="AT59" s="707"/>
      <c r="AU59" s="707"/>
      <c r="AV59" s="707"/>
      <c r="AW59" s="707"/>
      <c r="AX59" s="707"/>
      <c r="AY59" s="707"/>
      <c r="AZ59" s="707"/>
      <c r="BA59" s="707"/>
      <c r="BB59" s="150"/>
      <c r="BC59" s="150"/>
      <c r="BD59" s="150"/>
      <c r="BE59" s="150"/>
      <c r="BF59" s="133"/>
      <c r="BG59" s="133"/>
      <c r="BH59" s="133"/>
      <c r="BI59" s="133"/>
      <c r="BJ59" s="133"/>
    </row>
    <row r="60" spans="1:62" ht="7.5" customHeight="1">
      <c r="A60" s="151"/>
      <c r="B60" s="151"/>
      <c r="C60" s="151"/>
      <c r="D60" s="144"/>
      <c r="E60" s="144"/>
      <c r="F60" s="144"/>
      <c r="G60" s="144"/>
      <c r="H60" s="151"/>
      <c r="I60" s="144"/>
      <c r="J60" s="144"/>
      <c r="K60" s="144"/>
      <c r="L60" s="144"/>
      <c r="M60" s="144"/>
      <c r="N60" s="144"/>
      <c r="O60" s="151"/>
      <c r="P60" s="151"/>
      <c r="Q60" s="151"/>
      <c r="R60" s="151"/>
      <c r="S60" s="144"/>
      <c r="T60" s="144"/>
      <c r="U60" s="144"/>
      <c r="V60" s="144"/>
      <c r="W60" s="144"/>
      <c r="X60" s="144"/>
      <c r="Y60" s="144"/>
      <c r="Z60" s="144"/>
      <c r="AA60" s="151"/>
      <c r="AB60" s="151"/>
      <c r="AC60" s="144"/>
      <c r="AD60" s="144"/>
      <c r="AE60" s="144"/>
      <c r="AF60" s="144"/>
      <c r="AG60" s="144"/>
      <c r="AH60" s="144"/>
      <c r="AI60" s="144"/>
      <c r="AJ60" s="144"/>
      <c r="AK60" s="151"/>
      <c r="AL60" s="151"/>
      <c r="AM60" s="151"/>
      <c r="AN60" s="151"/>
      <c r="AO60" s="151"/>
      <c r="AP60" s="151"/>
      <c r="AQ60" s="144"/>
      <c r="AR60" s="747"/>
      <c r="AS60" s="707"/>
      <c r="AT60" s="707"/>
      <c r="AU60" s="707"/>
      <c r="AV60" s="707"/>
      <c r="AW60" s="707"/>
      <c r="AX60" s="707"/>
      <c r="AY60" s="707"/>
      <c r="AZ60" s="707"/>
      <c r="BA60" s="707"/>
      <c r="BB60" s="150"/>
      <c r="BC60" s="150"/>
      <c r="BD60" s="150"/>
      <c r="BE60" s="150"/>
      <c r="BF60" s="133"/>
      <c r="BG60" s="133"/>
      <c r="BH60" s="133"/>
      <c r="BI60" s="133"/>
      <c r="BJ60" s="133"/>
    </row>
    <row r="61" spans="1:62" ht="12" customHeight="1">
      <c r="A61" s="153" t="s">
        <v>425</v>
      </c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33"/>
      <c r="BG61" s="133"/>
      <c r="BH61" s="133"/>
      <c r="BI61" s="133"/>
      <c r="BJ61" s="133"/>
    </row>
    <row r="62" spans="1:62" ht="3.75" customHeight="1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33"/>
      <c r="BG62" s="133"/>
      <c r="BH62" s="133"/>
      <c r="BI62" s="133"/>
      <c r="BJ62" s="133"/>
    </row>
    <row r="63" spans="1:62" ht="12" customHeight="1">
      <c r="A63" s="144" t="s">
        <v>426</v>
      </c>
      <c r="B63" s="144"/>
      <c r="C63" s="144"/>
      <c r="D63" s="144"/>
      <c r="E63" s="144"/>
      <c r="F63" s="144"/>
      <c r="G63" s="144"/>
      <c r="H63" s="144"/>
      <c r="I63" s="144" t="s">
        <v>427</v>
      </c>
      <c r="J63" s="144"/>
      <c r="K63" s="128"/>
      <c r="L63" s="144" t="s">
        <v>262</v>
      </c>
      <c r="M63" s="734">
        <f>AK53*K58</f>
        <v>7378612.2696479158</v>
      </c>
      <c r="N63" s="707"/>
      <c r="O63" s="707"/>
      <c r="P63" s="707"/>
      <c r="Q63" s="707"/>
      <c r="R63" s="707"/>
      <c r="S63" s="144" t="s">
        <v>428</v>
      </c>
      <c r="T63" s="144"/>
      <c r="U63" s="144"/>
      <c r="V63" s="144"/>
      <c r="W63" s="146"/>
      <c r="X63" s="146"/>
      <c r="Y63" s="146"/>
      <c r="Z63" s="144"/>
      <c r="AA63" s="144"/>
      <c r="AB63" s="144"/>
      <c r="AC63" s="144"/>
      <c r="AD63" s="144"/>
      <c r="AE63" s="146"/>
      <c r="AF63" s="146"/>
      <c r="AG63" s="146"/>
      <c r="AH63" s="146"/>
      <c r="AI63" s="146"/>
      <c r="AJ63" s="146"/>
      <c r="AK63" s="146"/>
      <c r="AL63" s="146"/>
      <c r="AM63" s="144"/>
      <c r="AN63" s="131"/>
      <c r="AO63" s="131"/>
      <c r="AP63" s="131"/>
      <c r="AQ63" s="131"/>
      <c r="AR63" s="131"/>
      <c r="AS63" s="131"/>
      <c r="AT63" s="164"/>
      <c r="AU63" s="164"/>
      <c r="AV63" s="164"/>
      <c r="AW63" s="164"/>
      <c r="AX63" s="150"/>
      <c r="AY63" s="150"/>
      <c r="AZ63" s="150"/>
      <c r="BA63" s="150"/>
      <c r="BB63" s="150"/>
      <c r="BC63" s="150"/>
      <c r="BD63" s="150"/>
      <c r="BE63" s="150"/>
      <c r="BF63" s="133"/>
      <c r="BG63" s="133"/>
      <c r="BH63" s="133"/>
      <c r="BI63" s="133"/>
      <c r="BJ63" s="133"/>
    </row>
    <row r="64" spans="1:62" ht="6" customHeight="1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50"/>
      <c r="AY64" s="150"/>
      <c r="AZ64" s="150"/>
      <c r="BA64" s="150"/>
      <c r="BB64" s="150"/>
      <c r="BC64" s="150"/>
      <c r="BD64" s="150"/>
      <c r="BE64" s="150"/>
      <c r="BF64" s="133"/>
      <c r="BG64" s="133"/>
      <c r="BH64" s="133"/>
      <c r="BI64" s="133"/>
      <c r="BJ64" s="133"/>
    </row>
    <row r="65" spans="1:62" ht="12" customHeight="1">
      <c r="A65" s="737" t="s">
        <v>429</v>
      </c>
      <c r="B65" s="707"/>
      <c r="C65" s="130" t="s">
        <v>262</v>
      </c>
      <c r="D65" s="130" t="s">
        <v>430</v>
      </c>
      <c r="E65" s="130"/>
      <c r="F65" s="130"/>
      <c r="G65" s="130"/>
      <c r="H65" s="130"/>
      <c r="I65" s="128"/>
      <c r="J65" s="822">
        <f>M63/AB41</f>
        <v>121.55868648513865</v>
      </c>
      <c r="K65" s="707"/>
      <c r="L65" s="707"/>
      <c r="M65" s="707"/>
      <c r="N65" s="130" t="s">
        <v>431</v>
      </c>
      <c r="O65" s="128"/>
      <c r="P65" s="128"/>
      <c r="Q65" s="128"/>
      <c r="R65" s="128"/>
      <c r="S65" s="128"/>
      <c r="T65" s="130"/>
      <c r="U65" s="128"/>
      <c r="V65" s="128"/>
      <c r="W65" s="128"/>
      <c r="X65" s="128"/>
      <c r="Y65" s="128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57"/>
      <c r="AY65" s="157"/>
      <c r="AZ65" s="157"/>
      <c r="BA65" s="157"/>
      <c r="BB65" s="157"/>
      <c r="BC65" s="157"/>
      <c r="BD65" s="157"/>
      <c r="BE65" s="157"/>
      <c r="BF65" s="133"/>
      <c r="BG65" s="133"/>
      <c r="BH65" s="133"/>
      <c r="BI65" s="133"/>
      <c r="BJ65" s="133"/>
    </row>
    <row r="66" spans="1:62" ht="6" customHeight="1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50"/>
      <c r="AY66" s="150"/>
      <c r="AZ66" s="150"/>
      <c r="BA66" s="150"/>
      <c r="BB66" s="150"/>
      <c r="BC66" s="150"/>
      <c r="BD66" s="150"/>
      <c r="BE66" s="150"/>
      <c r="BF66" s="133"/>
      <c r="BG66" s="133"/>
      <c r="BH66" s="133"/>
      <c r="BI66" s="133"/>
      <c r="BJ66" s="133"/>
    </row>
    <row r="67" spans="1:62" ht="12" customHeight="1">
      <c r="A67" s="737" t="s">
        <v>429</v>
      </c>
      <c r="B67" s="707"/>
      <c r="C67" s="130" t="s">
        <v>385</v>
      </c>
      <c r="D67" s="737" t="s">
        <v>404</v>
      </c>
      <c r="E67" s="707"/>
      <c r="F67" s="130"/>
      <c r="G67" s="737" t="s">
        <v>432</v>
      </c>
      <c r="H67" s="707"/>
      <c r="I67" s="128"/>
      <c r="J67" s="764">
        <f>J65</f>
        <v>121.55868648513865</v>
      </c>
      <c r="K67" s="707"/>
      <c r="L67" s="707"/>
      <c r="M67" s="707"/>
      <c r="N67" s="130" t="s">
        <v>385</v>
      </c>
      <c r="O67" s="737">
        <f>AB40</f>
        <v>130</v>
      </c>
      <c r="P67" s="707"/>
      <c r="Q67" s="707"/>
      <c r="R67" s="130" t="s">
        <v>406</v>
      </c>
      <c r="S67" s="128"/>
      <c r="T67" s="128"/>
      <c r="U67" s="128"/>
      <c r="V67" s="130" t="s">
        <v>384</v>
      </c>
      <c r="W67" s="130"/>
      <c r="X67" s="130"/>
      <c r="Y67" s="130"/>
      <c r="Z67" s="130"/>
      <c r="AA67" s="128"/>
      <c r="AB67" s="731" t="s">
        <v>132</v>
      </c>
      <c r="AC67" s="707"/>
      <c r="AD67" s="707"/>
      <c r="AE67" s="787">
        <f>AE34</f>
        <v>120</v>
      </c>
      <c r="AF67" s="707"/>
      <c r="AG67" s="707"/>
      <c r="AH67" s="725" t="str">
        <f>IF(J67&lt;O67,"UYGUNDUR.","UYGUN DEĞİLDİR.")</f>
        <v>UYGUNDUR.</v>
      </c>
      <c r="AI67" s="710"/>
      <c r="AJ67" s="710"/>
      <c r="AK67" s="710"/>
      <c r="AL67" s="710"/>
      <c r="AM67" s="710"/>
      <c r="AN67" s="710"/>
      <c r="AO67" s="710"/>
      <c r="AP67" s="710"/>
      <c r="AQ67" s="583"/>
      <c r="AR67" s="131"/>
      <c r="AS67" s="131"/>
      <c r="AT67" s="131"/>
      <c r="AU67" s="131"/>
      <c r="AV67" s="131"/>
      <c r="AW67" s="146"/>
      <c r="AX67" s="166"/>
      <c r="AY67" s="166"/>
      <c r="AZ67" s="166"/>
      <c r="BA67" s="150"/>
      <c r="BB67" s="150"/>
      <c r="BC67" s="150"/>
      <c r="BD67" s="150"/>
      <c r="BE67" s="150"/>
      <c r="BF67" s="133"/>
      <c r="BG67" s="133"/>
      <c r="BH67" s="133"/>
      <c r="BI67" s="133"/>
      <c r="BJ67" s="133"/>
    </row>
    <row r="68" spans="1:62" ht="5.25" customHeight="1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50"/>
      <c r="AY68" s="150"/>
      <c r="AZ68" s="150"/>
      <c r="BA68" s="150"/>
      <c r="BB68" s="150"/>
      <c r="BC68" s="150"/>
      <c r="BD68" s="150"/>
      <c r="BE68" s="150"/>
      <c r="BF68" s="133"/>
      <c r="BG68" s="133"/>
      <c r="BH68" s="133"/>
      <c r="BI68" s="133"/>
      <c r="BJ68" s="133"/>
    </row>
    <row r="69" spans="1:62" ht="12" customHeight="1">
      <c r="A69" s="153" t="s">
        <v>433</v>
      </c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50"/>
      <c r="AI69" s="150"/>
      <c r="AJ69" s="150"/>
      <c r="AK69" s="150"/>
      <c r="AL69" s="150"/>
      <c r="AM69" s="150"/>
      <c r="AN69" s="150"/>
      <c r="AO69" s="150"/>
      <c r="AP69" s="150"/>
      <c r="AQ69" s="150"/>
      <c r="AR69" s="150"/>
      <c r="AS69" s="150"/>
      <c r="AT69" s="150"/>
      <c r="AU69" s="150"/>
      <c r="AV69" s="150"/>
      <c r="AW69" s="150"/>
      <c r="AX69" s="150"/>
      <c r="AY69" s="150"/>
      <c r="AZ69" s="150"/>
      <c r="BA69" s="150"/>
      <c r="BB69" s="150"/>
      <c r="BC69" s="150"/>
      <c r="BD69" s="150"/>
      <c r="BE69" s="150"/>
      <c r="BF69" s="133"/>
      <c r="BG69" s="133"/>
      <c r="BH69" s="133"/>
      <c r="BI69" s="133"/>
      <c r="BJ69" s="133"/>
    </row>
    <row r="70" spans="1:62" ht="3.75" customHeight="1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 s="150"/>
      <c r="AJ70" s="150"/>
      <c r="AK70" s="150"/>
      <c r="AL70" s="150"/>
      <c r="AM70" s="150"/>
      <c r="AN70" s="150"/>
      <c r="AO70" s="150"/>
      <c r="AP70" s="150"/>
      <c r="AQ70" s="150"/>
      <c r="AR70" s="150"/>
      <c r="AS70" s="150"/>
      <c r="AT70" s="150"/>
      <c r="AU70" s="150"/>
      <c r="AV70" s="150"/>
      <c r="AW70" s="150"/>
      <c r="AX70" s="150"/>
      <c r="AY70" s="150"/>
      <c r="AZ70" s="150"/>
      <c r="BA70" s="150"/>
      <c r="BB70" s="150"/>
      <c r="BC70" s="150"/>
      <c r="BD70" s="150"/>
      <c r="BE70" s="150"/>
      <c r="BF70" s="133"/>
      <c r="BG70" s="133"/>
      <c r="BH70" s="133"/>
      <c r="BI70" s="133"/>
      <c r="BJ70" s="133"/>
    </row>
    <row r="71" spans="1:62" ht="12" customHeight="1">
      <c r="A71" s="144" t="s">
        <v>434</v>
      </c>
      <c r="B71" s="144" t="s">
        <v>262</v>
      </c>
      <c r="C71" s="144" t="s">
        <v>435</v>
      </c>
      <c r="D71" s="144"/>
      <c r="E71" s="144"/>
      <c r="F71" s="144"/>
      <c r="G71" s="144"/>
      <c r="H71" s="721">
        <f>AB35</f>
        <v>1100</v>
      </c>
      <c r="I71" s="707"/>
      <c r="J71" s="707"/>
      <c r="K71" s="144" t="s">
        <v>436</v>
      </c>
      <c r="L71" s="721">
        <f>AB38</f>
        <v>46.2</v>
      </c>
      <c r="M71" s="707"/>
      <c r="N71" s="144" t="s">
        <v>262</v>
      </c>
      <c r="O71" s="722">
        <f>H71/L71</f>
        <v>23.809523809523807</v>
      </c>
      <c r="P71" s="707"/>
      <c r="Q71" s="707"/>
      <c r="R71" s="151"/>
      <c r="S71" s="128"/>
      <c r="T71" s="144"/>
      <c r="U71" s="144"/>
      <c r="V71" s="167">
        <f>ROUNDUP(O71,0)</f>
        <v>24</v>
      </c>
      <c r="W71" s="167"/>
      <c r="X71" s="167"/>
      <c r="Y71" s="144"/>
      <c r="Z71" s="167">
        <f>IF(V71&lt;20,20,V71)</f>
        <v>24</v>
      </c>
      <c r="AA71" s="167"/>
      <c r="AB71" s="167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50"/>
      <c r="AX71" s="150"/>
      <c r="AY71" s="150"/>
      <c r="AZ71" s="150"/>
      <c r="BA71" s="150"/>
      <c r="BB71" s="150"/>
      <c r="BC71" s="150"/>
      <c r="BD71" s="150"/>
      <c r="BE71" s="150"/>
      <c r="BF71" s="133"/>
      <c r="BG71" s="133"/>
      <c r="BH71" s="133"/>
      <c r="BI71" s="133"/>
      <c r="BJ71" s="133"/>
    </row>
    <row r="72" spans="1:62" ht="5.25" customHeight="1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50"/>
      <c r="AX72" s="150"/>
      <c r="AY72" s="150"/>
      <c r="AZ72" s="150"/>
      <c r="BA72" s="150"/>
      <c r="BB72" s="150"/>
      <c r="BC72" s="150"/>
      <c r="BD72" s="150"/>
      <c r="BE72" s="150"/>
      <c r="BF72" s="133"/>
      <c r="BG72" s="133"/>
      <c r="BH72" s="133"/>
      <c r="BI72" s="133"/>
      <c r="BJ72" s="133"/>
    </row>
    <row r="73" spans="1:62" ht="12" customHeight="1">
      <c r="A73" s="130" t="s">
        <v>437</v>
      </c>
      <c r="B73" s="130"/>
      <c r="C73" s="130" t="s">
        <v>262</v>
      </c>
      <c r="D73" s="130" t="s">
        <v>438</v>
      </c>
      <c r="E73" s="130"/>
      <c r="F73" s="130" t="s">
        <v>402</v>
      </c>
      <c r="G73" s="130" t="s">
        <v>436</v>
      </c>
      <c r="H73" s="130" t="s">
        <v>397</v>
      </c>
      <c r="I73" s="130"/>
      <c r="J73" s="130" t="s">
        <v>262</v>
      </c>
      <c r="K73" s="737">
        <f>O53*AB39/AB37</f>
        <v>13.604113929991763</v>
      </c>
      <c r="L73" s="707"/>
      <c r="M73" s="707"/>
      <c r="N73" s="130" t="s">
        <v>406</v>
      </c>
      <c r="O73" s="128"/>
      <c r="P73" s="130"/>
      <c r="Q73" s="128"/>
      <c r="R73" s="128"/>
      <c r="S73" s="128"/>
      <c r="T73" s="128"/>
      <c r="U73" s="130"/>
      <c r="V73" s="130"/>
      <c r="W73" s="130"/>
      <c r="X73" s="130"/>
      <c r="Y73" s="128"/>
      <c r="Z73" s="128"/>
      <c r="AA73" s="128"/>
      <c r="AB73" s="130"/>
      <c r="AC73" s="130"/>
      <c r="AD73" s="130"/>
      <c r="AE73" s="128"/>
      <c r="AF73" s="128"/>
      <c r="AG73" s="128"/>
      <c r="AH73" s="128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57"/>
      <c r="AX73" s="157"/>
      <c r="AY73" s="157"/>
      <c r="AZ73" s="157"/>
      <c r="BA73" s="157"/>
      <c r="BB73" s="157"/>
      <c r="BC73" s="157"/>
      <c r="BD73" s="157"/>
      <c r="BE73" s="157"/>
      <c r="BF73" s="133"/>
      <c r="BG73" s="133"/>
      <c r="BH73" s="133"/>
      <c r="BI73" s="133"/>
      <c r="BJ73" s="133"/>
    </row>
    <row r="74" spans="1:62" ht="3.75" customHeight="1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50"/>
      <c r="AX74" s="150"/>
      <c r="AY74" s="150"/>
      <c r="AZ74" s="150"/>
      <c r="BA74" s="150"/>
      <c r="BB74" s="150"/>
      <c r="BC74" s="150"/>
      <c r="BD74" s="150"/>
      <c r="BE74" s="150"/>
      <c r="BF74" s="133"/>
      <c r="BG74" s="133"/>
      <c r="BH74" s="133"/>
      <c r="BI74" s="133"/>
      <c r="BJ74" s="133"/>
    </row>
    <row r="75" spans="1:62" ht="12" customHeight="1">
      <c r="A75" s="130" t="s">
        <v>437</v>
      </c>
      <c r="B75" s="130"/>
      <c r="C75" s="130" t="s">
        <v>385</v>
      </c>
      <c r="D75" s="130"/>
      <c r="E75" s="130" t="s">
        <v>404</v>
      </c>
      <c r="F75" s="130"/>
      <c r="G75" s="130"/>
      <c r="H75" s="728" t="s">
        <v>432</v>
      </c>
      <c r="I75" s="707"/>
      <c r="J75" s="133"/>
      <c r="K75" s="737">
        <f>K73</f>
        <v>13.604113929991763</v>
      </c>
      <c r="L75" s="707"/>
      <c r="M75" s="707"/>
      <c r="N75" s="130" t="s">
        <v>385</v>
      </c>
      <c r="O75" s="737">
        <f>AB40</f>
        <v>130</v>
      </c>
      <c r="P75" s="707"/>
      <c r="Q75" s="707"/>
      <c r="R75" s="130" t="s">
        <v>406</v>
      </c>
      <c r="S75" s="128"/>
      <c r="T75" s="128"/>
      <c r="U75" s="130"/>
      <c r="V75" s="130" t="s">
        <v>384</v>
      </c>
      <c r="W75" s="130"/>
      <c r="X75" s="130"/>
      <c r="Y75" s="130"/>
      <c r="Z75" s="130"/>
      <c r="AA75" s="128"/>
      <c r="AB75" s="731" t="s">
        <v>132</v>
      </c>
      <c r="AC75" s="707"/>
      <c r="AD75" s="707"/>
      <c r="AE75" s="728">
        <f>AE36</f>
        <v>120</v>
      </c>
      <c r="AF75" s="707"/>
      <c r="AG75" s="707"/>
      <c r="AH75" s="725" t="str">
        <f>IF(K75&lt;O75,"UYGUNDUR.","UYGUN DEĞİLDİR.")</f>
        <v>UYGUNDUR.</v>
      </c>
      <c r="AI75" s="710"/>
      <c r="AJ75" s="710"/>
      <c r="AK75" s="710"/>
      <c r="AL75" s="710"/>
      <c r="AM75" s="710"/>
      <c r="AN75" s="710"/>
      <c r="AO75" s="710"/>
      <c r="AP75" s="710"/>
      <c r="AQ75" s="583"/>
      <c r="AR75" s="131"/>
      <c r="AS75" s="131"/>
      <c r="AT75" s="131"/>
      <c r="AU75" s="131"/>
      <c r="AV75" s="131"/>
      <c r="AW75" s="166"/>
      <c r="AX75" s="166"/>
      <c r="AY75" s="166"/>
      <c r="AZ75" s="166"/>
      <c r="BA75" s="150"/>
      <c r="BB75" s="150"/>
      <c r="BC75" s="150"/>
      <c r="BD75" s="150"/>
      <c r="BE75" s="150"/>
      <c r="BF75" s="133"/>
      <c r="BG75" s="133"/>
      <c r="BH75" s="133"/>
      <c r="BI75" s="133"/>
      <c r="BJ75" s="133"/>
    </row>
    <row r="76" spans="1:62" ht="12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3"/>
      <c r="K76" s="137"/>
      <c r="L76" s="137"/>
      <c r="M76" s="137"/>
      <c r="N76" s="130"/>
      <c r="O76" s="137"/>
      <c r="P76" s="137"/>
      <c r="Q76" s="137"/>
      <c r="R76" s="130"/>
      <c r="S76" s="128"/>
      <c r="T76" s="128"/>
      <c r="U76" s="130"/>
      <c r="V76" s="130"/>
      <c r="W76" s="130"/>
      <c r="X76" s="130"/>
      <c r="Y76" s="130"/>
      <c r="Z76" s="130"/>
      <c r="AA76" s="128"/>
      <c r="AB76" s="138"/>
      <c r="AC76" s="138"/>
      <c r="AD76" s="138"/>
      <c r="AE76" s="130"/>
      <c r="AF76" s="130"/>
      <c r="AG76" s="130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31"/>
      <c r="AS76" s="131"/>
      <c r="AT76" s="131"/>
      <c r="AU76" s="131"/>
      <c r="AV76" s="131"/>
      <c r="AW76" s="166"/>
      <c r="AX76" s="166"/>
      <c r="AY76" s="166"/>
      <c r="AZ76" s="166"/>
      <c r="BA76" s="150"/>
      <c r="BB76" s="150"/>
      <c r="BC76" s="150"/>
      <c r="BD76" s="150"/>
      <c r="BE76" s="150"/>
      <c r="BF76" s="133"/>
      <c r="BG76" s="133"/>
      <c r="BH76" s="133"/>
      <c r="BI76" s="133"/>
      <c r="BJ76" s="133"/>
    </row>
    <row r="77" spans="1:62" ht="12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3"/>
      <c r="K77" s="137"/>
      <c r="L77" s="137"/>
      <c r="M77" s="137"/>
      <c r="N77" s="130"/>
      <c r="O77" s="137"/>
      <c r="P77" s="137"/>
      <c r="Q77" s="137"/>
      <c r="R77" s="130"/>
      <c r="S77" s="128"/>
      <c r="T77" s="128"/>
      <c r="U77" s="130"/>
      <c r="V77" s="130"/>
      <c r="W77" s="130"/>
      <c r="X77" s="130"/>
      <c r="Y77" s="130"/>
      <c r="Z77" s="130"/>
      <c r="AA77" s="128"/>
      <c r="AB77" s="138"/>
      <c r="AC77" s="138"/>
      <c r="AD77" s="138"/>
      <c r="AE77" s="130"/>
      <c r="AF77" s="130"/>
      <c r="AG77" s="130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31"/>
      <c r="AS77" s="131"/>
      <c r="AT77" s="131"/>
      <c r="AU77" s="131"/>
      <c r="AV77" s="131"/>
      <c r="AW77" s="166"/>
      <c r="AX77" s="166"/>
      <c r="AY77" s="166"/>
      <c r="AZ77" s="825" t="s">
        <v>439</v>
      </c>
      <c r="BA77" s="707"/>
      <c r="BB77" s="707"/>
      <c r="BC77" s="707"/>
      <c r="BD77" s="150"/>
      <c r="BE77" s="150"/>
      <c r="BF77" s="133"/>
      <c r="BG77" s="133"/>
      <c r="BH77" s="133"/>
      <c r="BI77" s="133"/>
      <c r="BJ77" s="133"/>
    </row>
    <row r="78" spans="1:62" ht="7.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30"/>
      <c r="AP78" s="130"/>
      <c r="AQ78" s="130"/>
      <c r="AR78" s="130"/>
      <c r="AS78" s="130"/>
      <c r="AT78" s="130"/>
      <c r="AU78" s="130"/>
      <c r="AV78" s="130"/>
      <c r="AW78" s="130"/>
      <c r="AX78" s="128"/>
      <c r="AY78" s="130"/>
      <c r="AZ78" s="130"/>
      <c r="BA78" s="130"/>
      <c r="BB78" s="130"/>
      <c r="BC78" s="130"/>
      <c r="BD78" s="130"/>
      <c r="BE78" s="130"/>
      <c r="BF78" s="128"/>
      <c r="BG78" s="128"/>
      <c r="BH78" s="128"/>
      <c r="BI78" s="128"/>
      <c r="BJ78" s="128"/>
    </row>
    <row r="79" spans="1:62" ht="12.75" customHeight="1">
      <c r="A79" s="819" t="s">
        <v>440</v>
      </c>
      <c r="B79" s="707"/>
      <c r="C79" s="707"/>
      <c r="D79" s="707"/>
      <c r="E79" s="707"/>
      <c r="F79" s="707"/>
      <c r="G79" s="707"/>
      <c r="H79" s="707"/>
      <c r="I79" s="707"/>
      <c r="J79" s="707"/>
      <c r="K79" s="707"/>
      <c r="L79" s="707"/>
      <c r="M79" s="707"/>
      <c r="N79" s="707"/>
      <c r="O79" s="707"/>
      <c r="P79" s="707"/>
      <c r="Q79" s="707"/>
      <c r="R79" s="707"/>
      <c r="S79" s="707"/>
      <c r="T79" s="707"/>
      <c r="U79" s="707"/>
      <c r="V79" s="707"/>
      <c r="W79" s="707"/>
      <c r="X79" s="707"/>
      <c r="Y79" s="707"/>
      <c r="Z79" s="707"/>
      <c r="AA79" s="707"/>
      <c r="AB79" s="707"/>
      <c r="AC79" s="707"/>
      <c r="AD79" s="707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30"/>
      <c r="AP79" s="130"/>
      <c r="AQ79" s="130"/>
      <c r="AR79" s="130"/>
      <c r="AS79" s="130"/>
      <c r="AT79" s="130"/>
      <c r="AU79" s="130"/>
      <c r="AV79" s="130"/>
      <c r="AW79" s="130"/>
      <c r="AX79" s="128"/>
      <c r="AY79" s="130"/>
      <c r="AZ79" s="130"/>
      <c r="BA79" s="130"/>
      <c r="BB79" s="130"/>
      <c r="BC79" s="130"/>
      <c r="BD79" s="130"/>
      <c r="BE79" s="130"/>
      <c r="BF79" s="128"/>
      <c r="BG79" s="128"/>
      <c r="BH79" s="128"/>
      <c r="BI79" s="128"/>
      <c r="BJ79" s="128"/>
    </row>
    <row r="80" spans="1:62" ht="12.75" customHeight="1">
      <c r="A80" s="144" t="s">
        <v>441</v>
      </c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70"/>
      <c r="AV80" s="170"/>
      <c r="AW80" s="170"/>
      <c r="AX80" s="170"/>
      <c r="AY80" s="170"/>
      <c r="AZ80" s="133"/>
      <c r="BA80" s="133"/>
      <c r="BB80" s="133"/>
      <c r="BC80" s="133"/>
      <c r="BD80" s="133"/>
      <c r="BE80" s="133"/>
      <c r="BF80" s="133"/>
      <c r="BG80" s="133"/>
      <c r="BH80" s="133"/>
      <c r="BI80" s="133"/>
      <c r="BJ80" s="133"/>
    </row>
    <row r="81" spans="1:62" ht="4.5" customHeight="1">
      <c r="A81" s="144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33"/>
      <c r="BA81" s="133"/>
      <c r="BB81" s="133"/>
      <c r="BC81" s="133"/>
      <c r="BD81" s="133"/>
      <c r="BE81" s="133"/>
      <c r="BF81" s="133"/>
      <c r="BG81" s="133"/>
      <c r="BH81" s="133"/>
      <c r="BI81" s="133"/>
      <c r="BJ81" s="133"/>
    </row>
    <row r="82" spans="1:62" ht="15" customHeight="1">
      <c r="A82" s="130" t="s">
        <v>353</v>
      </c>
      <c r="B82" s="130"/>
      <c r="C82" s="130"/>
      <c r="D82" s="130"/>
      <c r="E82" s="130"/>
      <c r="F82" s="130"/>
      <c r="G82" s="754">
        <f>'Veri Girişi'!C59</f>
        <v>800</v>
      </c>
      <c r="H82" s="707"/>
      <c r="I82" s="707"/>
      <c r="J82" s="130" t="s">
        <v>442</v>
      </c>
      <c r="K82" s="130"/>
      <c r="L82" s="130"/>
      <c r="M82" s="130"/>
      <c r="N82" s="130" t="s">
        <v>443</v>
      </c>
      <c r="O82" s="133"/>
      <c r="P82" s="133"/>
      <c r="Q82" s="133"/>
      <c r="R82" s="133"/>
      <c r="S82" s="133"/>
      <c r="T82" s="130"/>
      <c r="U82" s="133"/>
      <c r="V82" s="133"/>
      <c r="W82" s="133"/>
      <c r="X82" s="133"/>
      <c r="Y82" s="128"/>
      <c r="Z82" s="128"/>
      <c r="AA82" s="130"/>
      <c r="AB82" s="130"/>
      <c r="AC82" s="764">
        <f>VLOOKUP(G82,TABLOLAR!H78:K99,3,0)</f>
        <v>2</v>
      </c>
      <c r="AD82" s="707"/>
      <c r="AE82" s="707"/>
      <c r="AF82" s="130" t="s">
        <v>444</v>
      </c>
      <c r="AG82" s="130"/>
      <c r="AH82" s="130" t="s">
        <v>445</v>
      </c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3"/>
      <c r="BJ82" s="133"/>
    </row>
    <row r="83" spans="1:62" ht="6" customHeight="1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51"/>
      <c r="Z83" s="151"/>
      <c r="AA83" s="151"/>
      <c r="AB83" s="151"/>
      <c r="AC83" s="151"/>
      <c r="AD83" s="144"/>
      <c r="AE83" s="144"/>
      <c r="AF83" s="144"/>
      <c r="AG83" s="144"/>
      <c r="AH83" s="151"/>
      <c r="AI83" s="151"/>
      <c r="AJ83" s="151"/>
      <c r="AK83" s="151"/>
      <c r="AL83" s="151"/>
      <c r="AM83" s="151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33"/>
      <c r="BA83" s="133"/>
      <c r="BB83" s="133"/>
      <c r="BC83" s="133"/>
      <c r="BD83" s="133"/>
      <c r="BE83" s="133"/>
      <c r="BF83" s="133"/>
      <c r="BG83" s="133"/>
      <c r="BH83" s="133"/>
      <c r="BI83" s="133"/>
      <c r="BJ83" s="133"/>
    </row>
    <row r="84" spans="1:62" ht="15" customHeight="1">
      <c r="A84" s="130" t="s">
        <v>446</v>
      </c>
      <c r="B84" s="130"/>
      <c r="C84" s="130"/>
      <c r="D84" s="130"/>
      <c r="E84" s="130"/>
      <c r="F84" s="130"/>
      <c r="G84" s="130"/>
      <c r="H84" s="130" t="s">
        <v>447</v>
      </c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758">
        <f>IF('Veri Girişi'!F69&gt;=100,(((('Veri Girişi'!C73)*('Veri Girişi'!C74))/1000000)+(((('Veri Girişi'!C71)/2)*('Veri Girişi'!F69))/1000000)),((('Veri Girişi'!C73)*('Veri Girişi'!C74))/1000000))</f>
        <v>1.9575</v>
      </c>
      <c r="Y84" s="707"/>
      <c r="Z84" s="707"/>
      <c r="AA84" s="130" t="s">
        <v>444</v>
      </c>
      <c r="AB84" s="130"/>
      <c r="AC84" s="130" t="s">
        <v>448</v>
      </c>
      <c r="AD84" s="764">
        <f>AC82</f>
        <v>2</v>
      </c>
      <c r="AE84" s="707"/>
      <c r="AF84" s="707"/>
      <c r="AG84" s="130" t="s">
        <v>444</v>
      </c>
      <c r="AH84" s="128"/>
      <c r="AI84" s="130" t="s">
        <v>384</v>
      </c>
      <c r="AJ84" s="130"/>
      <c r="AK84" s="130"/>
      <c r="AL84" s="130"/>
      <c r="AM84" s="130"/>
      <c r="AN84" s="130"/>
      <c r="AO84" s="133"/>
      <c r="AP84" s="725" t="str">
        <f>IF(AD84&gt;=X84,"UYGUNDUR.","UYGUN DEĞİLDİR.")</f>
        <v>UYGUNDUR.</v>
      </c>
      <c r="AQ84" s="710"/>
      <c r="AR84" s="710"/>
      <c r="AS84" s="710"/>
      <c r="AT84" s="710"/>
      <c r="AU84" s="710"/>
      <c r="AV84" s="710"/>
      <c r="AW84" s="710"/>
      <c r="AX84" s="710"/>
      <c r="AY84" s="583"/>
      <c r="AZ84" s="131"/>
      <c r="BA84" s="131"/>
      <c r="BB84" s="131"/>
      <c r="BC84" s="150"/>
      <c r="BD84" s="150"/>
      <c r="BE84" s="150"/>
      <c r="BF84" s="133"/>
      <c r="BG84" s="133"/>
      <c r="BH84" s="133"/>
      <c r="BI84" s="133"/>
      <c r="BJ84" s="133"/>
    </row>
    <row r="85" spans="1:62" ht="4.5" customHeight="1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64"/>
      <c r="AZ85" s="150"/>
      <c r="BA85" s="150"/>
      <c r="BB85" s="150"/>
      <c r="BC85" s="150"/>
      <c r="BD85" s="150"/>
      <c r="BE85" s="150"/>
      <c r="BF85" s="133"/>
      <c r="BG85" s="133"/>
      <c r="BH85" s="133"/>
      <c r="BI85" s="133"/>
      <c r="BJ85" s="133"/>
    </row>
    <row r="86" spans="1:62" ht="12" customHeight="1">
      <c r="A86" s="144" t="s">
        <v>449</v>
      </c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730">
        <f>VLOOKUP(G82,TABLOLAR!H78:K99,2,0)</f>
        <v>10</v>
      </c>
      <c r="M86" s="707"/>
      <c r="N86" s="144" t="s">
        <v>450</v>
      </c>
      <c r="O86" s="171"/>
      <c r="P86" s="133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50"/>
      <c r="BA86" s="150"/>
      <c r="BB86" s="150"/>
      <c r="BC86" s="150"/>
      <c r="BD86" s="150"/>
      <c r="BE86" s="150"/>
      <c r="BF86" s="133"/>
      <c r="BG86" s="133"/>
      <c r="BH86" s="133"/>
      <c r="BI86" s="133"/>
      <c r="BJ86" s="133"/>
    </row>
    <row r="87" spans="1:62" ht="3.75" customHeight="1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50"/>
      <c r="BA87" s="150"/>
      <c r="BB87" s="150"/>
      <c r="BC87" s="150"/>
      <c r="BD87" s="150"/>
      <c r="BE87" s="150"/>
      <c r="BF87" s="133"/>
      <c r="BG87" s="133"/>
      <c r="BH87" s="133"/>
      <c r="BI87" s="133"/>
      <c r="BJ87" s="133"/>
    </row>
    <row r="88" spans="1:62" ht="12" customHeight="1">
      <c r="A88" s="130" t="s">
        <v>451</v>
      </c>
      <c r="B88" s="130"/>
      <c r="C88" s="130"/>
      <c r="D88" s="130"/>
      <c r="E88" s="130"/>
      <c r="F88" s="130"/>
      <c r="G88" s="130"/>
      <c r="H88" s="130"/>
      <c r="I88" s="130"/>
      <c r="J88" s="130"/>
      <c r="K88" s="172"/>
      <c r="L88" s="172"/>
      <c r="M88" s="172"/>
      <c r="N88" s="172"/>
      <c r="O88" s="172"/>
      <c r="P88" s="740">
        <f>L86</f>
        <v>10</v>
      </c>
      <c r="Q88" s="707"/>
      <c r="R88" s="130" t="s">
        <v>452</v>
      </c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824">
        <f>VLOOKUP(G82,TABLOLAR!H78:K99,4,0)</f>
        <v>1.73</v>
      </c>
      <c r="AL88" s="707"/>
      <c r="AM88" s="707"/>
      <c r="AN88" s="130" t="s">
        <v>444</v>
      </c>
      <c r="AO88" s="172"/>
      <c r="AP88" s="130" t="s">
        <v>445</v>
      </c>
      <c r="AQ88" s="172"/>
      <c r="AR88" s="133"/>
      <c r="AS88" s="133"/>
      <c r="AT88" s="133"/>
      <c r="AU88" s="133"/>
      <c r="AV88" s="133"/>
      <c r="AW88" s="133"/>
      <c r="AX88" s="174"/>
      <c r="AY88" s="174"/>
      <c r="AZ88" s="150"/>
      <c r="BA88" s="150"/>
      <c r="BB88" s="150"/>
      <c r="BC88" s="150"/>
      <c r="BD88" s="150"/>
      <c r="BE88" s="150"/>
      <c r="BF88" s="133"/>
      <c r="BG88" s="133"/>
      <c r="BH88" s="133"/>
      <c r="BI88" s="133"/>
      <c r="BJ88" s="133"/>
    </row>
    <row r="89" spans="1:62" ht="5.25" customHeight="1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4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  <c r="AF89" s="174"/>
      <c r="AG89" s="174"/>
      <c r="AH89" s="174"/>
      <c r="AI89" s="174"/>
      <c r="AJ89" s="174"/>
      <c r="AK89" s="174"/>
      <c r="AL89" s="174"/>
      <c r="AM89" s="174"/>
      <c r="AN89" s="174"/>
      <c r="AO89" s="174"/>
      <c r="AP89" s="140"/>
      <c r="AQ89" s="140"/>
      <c r="AR89" s="140"/>
      <c r="AS89" s="140"/>
      <c r="AT89" s="144"/>
      <c r="AU89" s="174"/>
      <c r="AV89" s="144"/>
      <c r="AW89" s="174"/>
      <c r="AX89" s="174"/>
      <c r="AY89" s="174"/>
      <c r="AZ89" s="150"/>
      <c r="BA89" s="150"/>
      <c r="BB89" s="150"/>
      <c r="BC89" s="150"/>
      <c r="BD89" s="150"/>
      <c r="BE89" s="150"/>
      <c r="BF89" s="133"/>
      <c r="BG89" s="133"/>
      <c r="BH89" s="133"/>
      <c r="BI89" s="133"/>
      <c r="BJ89" s="133"/>
    </row>
    <row r="90" spans="1:62" ht="12" customHeight="1">
      <c r="A90" s="130" t="s">
        <v>446</v>
      </c>
      <c r="B90" s="130"/>
      <c r="C90" s="130"/>
      <c r="D90" s="130"/>
      <c r="E90" s="130"/>
      <c r="F90" s="130"/>
      <c r="G90" s="130"/>
      <c r="H90" s="130" t="s">
        <v>447</v>
      </c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758">
        <f>X84</f>
        <v>1.9575</v>
      </c>
      <c r="Y90" s="707"/>
      <c r="Z90" s="707"/>
      <c r="AA90" s="130" t="s">
        <v>444</v>
      </c>
      <c r="AB90" s="172"/>
      <c r="AC90" s="173" t="s">
        <v>383</v>
      </c>
      <c r="AD90" s="764">
        <f>AK88</f>
        <v>1.73</v>
      </c>
      <c r="AE90" s="707"/>
      <c r="AF90" s="707"/>
      <c r="AG90" s="130" t="s">
        <v>444</v>
      </c>
      <c r="AH90" s="130"/>
      <c r="AI90" s="130" t="s">
        <v>384</v>
      </c>
      <c r="AJ90" s="130"/>
      <c r="AK90" s="130"/>
      <c r="AL90" s="130"/>
      <c r="AM90" s="130"/>
      <c r="AN90" s="130"/>
      <c r="AO90" s="133"/>
      <c r="AP90" s="725" t="str">
        <f>IF(X90&gt;=AD90,"UYGUNDUR.","UYGUN DEĞİLDİR.")</f>
        <v>UYGUNDUR.</v>
      </c>
      <c r="AQ90" s="710"/>
      <c r="AR90" s="710"/>
      <c r="AS90" s="710"/>
      <c r="AT90" s="710"/>
      <c r="AU90" s="710"/>
      <c r="AV90" s="710"/>
      <c r="AW90" s="710"/>
      <c r="AX90" s="710"/>
      <c r="AY90" s="583"/>
      <c r="AZ90" s="131"/>
      <c r="BA90" s="131"/>
      <c r="BB90" s="131"/>
      <c r="BC90" s="150"/>
      <c r="BD90" s="150"/>
      <c r="BE90" s="150"/>
      <c r="BF90" s="133"/>
      <c r="BG90" s="133"/>
      <c r="BH90" s="133"/>
      <c r="BI90" s="133"/>
      <c r="BJ90" s="133"/>
    </row>
    <row r="91" spans="1:62" ht="4.5" customHeight="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7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74"/>
      <c r="AV91" s="174"/>
      <c r="AW91" s="174"/>
      <c r="AX91" s="174"/>
      <c r="AY91" s="174"/>
      <c r="AZ91" s="150"/>
      <c r="BA91" s="150"/>
      <c r="BB91" s="150"/>
      <c r="BC91" s="150"/>
      <c r="BD91" s="150"/>
      <c r="BE91" s="150"/>
      <c r="BF91" s="133"/>
      <c r="BG91" s="133"/>
      <c r="BH91" s="133"/>
      <c r="BI91" s="133"/>
      <c r="BJ91" s="133"/>
    </row>
    <row r="92" spans="1:62" ht="12" customHeight="1">
      <c r="A92" s="164" t="s">
        <v>453</v>
      </c>
      <c r="B92" s="144"/>
      <c r="C92" s="144"/>
      <c r="D92" s="144"/>
      <c r="E92" s="146"/>
      <c r="F92" s="146"/>
      <c r="G92" s="146"/>
      <c r="H92" s="174"/>
      <c r="I92" s="144"/>
      <c r="J92" s="17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  <c r="AL92" s="128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58"/>
      <c r="BA92" s="150"/>
      <c r="BB92" s="150"/>
      <c r="BC92" s="150"/>
      <c r="BD92" s="150"/>
      <c r="BE92" s="150"/>
      <c r="BF92" s="133"/>
      <c r="BG92" s="133"/>
      <c r="BH92" s="133"/>
      <c r="BI92" s="133"/>
      <c r="BJ92" s="133"/>
    </row>
    <row r="93" spans="1:62" ht="4.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30"/>
      <c r="AP93" s="130"/>
      <c r="AQ93" s="130"/>
      <c r="AR93" s="130"/>
      <c r="AS93" s="130"/>
      <c r="AT93" s="130"/>
      <c r="AU93" s="130"/>
      <c r="AV93" s="130"/>
      <c r="AW93" s="130"/>
      <c r="AX93" s="128"/>
      <c r="AY93" s="130"/>
      <c r="AZ93" s="130"/>
      <c r="BA93" s="130"/>
      <c r="BB93" s="130"/>
      <c r="BC93" s="130"/>
      <c r="BD93" s="130"/>
      <c r="BE93" s="130"/>
      <c r="BF93" s="128"/>
      <c r="BG93" s="128"/>
      <c r="BH93" s="128"/>
      <c r="BI93" s="128"/>
      <c r="BJ93" s="128"/>
    </row>
    <row r="94" spans="1:62" ht="12.75" customHeight="1">
      <c r="A94" s="750" t="s">
        <v>454</v>
      </c>
      <c r="B94" s="707"/>
      <c r="C94" s="707"/>
      <c r="D94" s="707"/>
      <c r="E94" s="707"/>
      <c r="F94" s="707"/>
      <c r="G94" s="707"/>
      <c r="H94" s="707"/>
      <c r="I94" s="707"/>
      <c r="J94" s="707"/>
      <c r="K94" s="707"/>
      <c r="L94" s="707"/>
      <c r="M94" s="707"/>
      <c r="N94" s="707"/>
      <c r="O94" s="707"/>
      <c r="P94" s="707"/>
      <c r="Q94" s="707"/>
      <c r="R94" s="707"/>
      <c r="S94" s="707"/>
      <c r="T94" s="707"/>
      <c r="U94" s="707"/>
      <c r="V94" s="707"/>
      <c r="W94" s="707"/>
      <c r="X94" s="707"/>
      <c r="Y94" s="707"/>
      <c r="Z94" s="707"/>
      <c r="AA94" s="707"/>
      <c r="AB94" s="707"/>
      <c r="AC94" s="707"/>
      <c r="AD94" s="707"/>
      <c r="AE94" s="707"/>
      <c r="AF94" s="707"/>
      <c r="AG94" s="707"/>
      <c r="AH94" s="707"/>
      <c r="AI94" s="707"/>
      <c r="AJ94" s="707"/>
      <c r="AK94" s="707"/>
      <c r="AL94" s="707"/>
      <c r="AM94" s="707"/>
      <c r="AN94" s="707"/>
      <c r="AO94" s="707"/>
      <c r="AP94" s="707"/>
      <c r="AQ94" s="707"/>
      <c r="AR94" s="707"/>
      <c r="AS94" s="707"/>
      <c r="AT94" s="707"/>
      <c r="AU94" s="707"/>
      <c r="AV94" s="707"/>
      <c r="AW94" s="707"/>
      <c r="AX94" s="707"/>
      <c r="AY94" s="176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</row>
    <row r="95" spans="1:62" ht="4.5" customHeight="1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  <c r="AM95" s="177"/>
      <c r="AN95" s="177"/>
      <c r="AO95" s="177"/>
      <c r="AP95" s="177"/>
      <c r="AQ95" s="177"/>
      <c r="AR95" s="177"/>
      <c r="AS95" s="177"/>
      <c r="AT95" s="177"/>
      <c r="AU95" s="177"/>
      <c r="AV95" s="177"/>
      <c r="AW95" s="177"/>
      <c r="AX95" s="177"/>
      <c r="AY95" s="177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</row>
    <row r="96" spans="1:62" ht="15" customHeight="1">
      <c r="A96" s="818" t="s">
        <v>345</v>
      </c>
      <c r="B96" s="707"/>
      <c r="C96" s="178" t="s">
        <v>436</v>
      </c>
      <c r="D96" s="818" t="s">
        <v>360</v>
      </c>
      <c r="E96" s="707"/>
      <c r="F96" s="793" t="s">
        <v>383</v>
      </c>
      <c r="G96" s="707"/>
      <c r="H96" s="707"/>
      <c r="I96" s="179" t="s">
        <v>455</v>
      </c>
      <c r="J96" s="178"/>
      <c r="K96" s="178"/>
      <c r="L96" s="178"/>
      <c r="M96" s="178"/>
      <c r="N96" s="178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74"/>
      <c r="AO96" s="174"/>
      <c r="AP96" s="174"/>
      <c r="AQ96" s="177"/>
      <c r="AR96" s="177"/>
      <c r="AS96" s="177"/>
      <c r="AT96" s="177"/>
      <c r="AU96" s="177"/>
      <c r="AV96" s="177"/>
      <c r="AW96" s="177"/>
      <c r="AX96" s="177"/>
      <c r="AY96" s="177"/>
      <c r="AZ96" s="133"/>
      <c r="BA96" s="133"/>
      <c r="BB96" s="133"/>
      <c r="BC96" s="133"/>
      <c r="BD96" s="133"/>
      <c r="BE96" s="133"/>
      <c r="BF96" s="133"/>
      <c r="BG96" s="133"/>
      <c r="BH96" s="133"/>
      <c r="BI96" s="133"/>
      <c r="BJ96" s="133"/>
    </row>
    <row r="97" spans="1:62" ht="15.75" customHeight="1">
      <c r="A97" s="735" t="s">
        <v>345</v>
      </c>
      <c r="B97" s="707"/>
      <c r="C97" s="174" t="s">
        <v>436</v>
      </c>
      <c r="D97" s="735" t="s">
        <v>360</v>
      </c>
      <c r="E97" s="707"/>
      <c r="F97" s="174" t="s">
        <v>262</v>
      </c>
      <c r="G97" s="730">
        <f>'Veri Girişi'!F99</f>
        <v>240</v>
      </c>
      <c r="H97" s="707"/>
      <c r="I97" s="707"/>
      <c r="J97" s="174" t="s">
        <v>436</v>
      </c>
      <c r="K97" s="807">
        <f>'Veri Girişi'!B99</f>
        <v>6.5</v>
      </c>
      <c r="L97" s="707"/>
      <c r="M97" s="174" t="s">
        <v>262</v>
      </c>
      <c r="N97" s="730">
        <f>G97/K97</f>
        <v>36.92307692307692</v>
      </c>
      <c r="O97" s="707"/>
      <c r="P97" s="129" t="s">
        <v>383</v>
      </c>
      <c r="Q97" s="730">
        <v>30</v>
      </c>
      <c r="R97" s="707"/>
      <c r="S97" s="730" t="s">
        <v>384</v>
      </c>
      <c r="T97" s="707"/>
      <c r="U97" s="707"/>
      <c r="V97" s="707"/>
      <c r="W97" s="707"/>
      <c r="X97" s="707"/>
      <c r="Y97" s="707"/>
      <c r="Z97" s="725" t="str">
        <f>IF(N97&gt;=Q97,"UYGUNDUR.","UYGUN DEĞİLDİR.")</f>
        <v>UYGUNDUR.</v>
      </c>
      <c r="AA97" s="710"/>
      <c r="AB97" s="710"/>
      <c r="AC97" s="710"/>
      <c r="AD97" s="710"/>
      <c r="AE97" s="710"/>
      <c r="AF97" s="710"/>
      <c r="AG97" s="710"/>
      <c r="AH97" s="710"/>
      <c r="AI97" s="583"/>
      <c r="AJ97" s="168"/>
      <c r="AK97" s="168"/>
      <c r="AL97" s="133"/>
      <c r="AM97" s="133"/>
      <c r="AN97" s="133"/>
      <c r="AO97" s="133"/>
      <c r="AP97" s="133"/>
      <c r="AQ97" s="180"/>
      <c r="AR97" s="180"/>
      <c r="AS97" s="180"/>
      <c r="AT97" s="180"/>
      <c r="AU97" s="180"/>
      <c r="AV97" s="180"/>
      <c r="AW97" s="180"/>
      <c r="AX97" s="180"/>
      <c r="AY97" s="158"/>
      <c r="AZ97" s="150"/>
      <c r="BA97" s="150"/>
      <c r="BB97" s="150"/>
      <c r="BC97" s="150"/>
      <c r="BD97" s="150"/>
      <c r="BE97" s="150"/>
      <c r="BF97" s="133"/>
      <c r="BG97" s="133"/>
      <c r="BH97" s="133"/>
      <c r="BI97" s="133"/>
      <c r="BJ97" s="133"/>
    </row>
    <row r="98" spans="1:62" ht="4.5" customHeight="1">
      <c r="A98" s="149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  <c r="AI98" s="150"/>
      <c r="AJ98" s="150"/>
      <c r="AK98" s="180"/>
      <c r="AL98" s="180"/>
      <c r="AM98" s="180"/>
      <c r="AN98" s="150"/>
      <c r="AO98" s="150"/>
      <c r="AP98" s="150"/>
      <c r="AQ98" s="150"/>
      <c r="AR98" s="150"/>
      <c r="AS98" s="150"/>
      <c r="AT98" s="150"/>
      <c r="AU98" s="150"/>
      <c r="AV98" s="150"/>
      <c r="AW98" s="150"/>
      <c r="AX98" s="150"/>
      <c r="AY98" s="150"/>
      <c r="AZ98" s="150"/>
      <c r="BA98" s="150"/>
      <c r="BB98" s="150"/>
      <c r="BC98" s="150"/>
      <c r="BD98" s="150"/>
      <c r="BE98" s="150"/>
      <c r="BF98" s="133"/>
      <c r="BG98" s="133"/>
      <c r="BH98" s="133"/>
      <c r="BI98" s="133"/>
      <c r="BJ98" s="133"/>
    </row>
    <row r="99" spans="1:62" ht="12.75" customHeight="1">
      <c r="A99" s="750" t="s">
        <v>456</v>
      </c>
      <c r="B99" s="707"/>
      <c r="C99" s="707"/>
      <c r="D99" s="707"/>
      <c r="E99" s="707"/>
      <c r="F99" s="707"/>
      <c r="G99" s="707"/>
      <c r="H99" s="707"/>
      <c r="I99" s="707"/>
      <c r="J99" s="707"/>
      <c r="K99" s="707"/>
      <c r="L99" s="707"/>
      <c r="M99" s="707"/>
      <c r="N99" s="707"/>
      <c r="O99" s="707"/>
      <c r="P99" s="707"/>
      <c r="Q99" s="707"/>
      <c r="R99" s="707"/>
      <c r="S99" s="707"/>
      <c r="T99" s="707"/>
      <c r="U99" s="707"/>
      <c r="V99" s="707"/>
      <c r="W99" s="707"/>
      <c r="X99" s="707"/>
      <c r="Y99" s="707"/>
      <c r="Z99" s="707"/>
      <c r="AA99" s="707"/>
      <c r="AB99" s="707"/>
      <c r="AC99" s="707"/>
      <c r="AD99" s="707"/>
      <c r="AE99" s="707"/>
      <c r="AF99" s="707"/>
      <c r="AG99" s="707"/>
      <c r="AH99" s="707"/>
      <c r="AI99" s="707"/>
      <c r="AJ99" s="707"/>
      <c r="AK99" s="707"/>
      <c r="AL99" s="707"/>
      <c r="AM99" s="707"/>
      <c r="AN99" s="707"/>
      <c r="AO99" s="707"/>
      <c r="AP99" s="707"/>
      <c r="AQ99" s="707"/>
      <c r="AR99" s="707"/>
      <c r="AS99" s="707"/>
      <c r="AT99" s="707"/>
      <c r="AU99" s="707"/>
      <c r="AV99" s="707"/>
      <c r="AW99" s="707"/>
      <c r="AX99" s="707"/>
      <c r="AY99" s="176"/>
      <c r="AZ99" s="150"/>
      <c r="BA99" s="150"/>
      <c r="BB99" s="150"/>
      <c r="BC99" s="150"/>
      <c r="BD99" s="150"/>
      <c r="BE99" s="150"/>
      <c r="BF99" s="133"/>
      <c r="BG99" s="133"/>
      <c r="BH99" s="133"/>
      <c r="BI99" s="133"/>
      <c r="BJ99" s="133"/>
    </row>
    <row r="100" spans="1:62" ht="4.5" customHeight="1">
      <c r="A100" s="133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80"/>
      <c r="AL100" s="180"/>
      <c r="AM100" s="18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33"/>
      <c r="BG100" s="133"/>
      <c r="BH100" s="133"/>
      <c r="BI100" s="133"/>
      <c r="BJ100" s="133"/>
    </row>
    <row r="101" spans="1:62" ht="12.75" customHeight="1">
      <c r="A101" s="128" t="s">
        <v>457</v>
      </c>
      <c r="B101" s="150"/>
      <c r="C101" s="150"/>
      <c r="D101" s="150"/>
      <c r="E101" s="150"/>
      <c r="F101" s="150"/>
      <c r="G101" s="181" t="str">
        <f>'Veri Girişi'!F105</f>
        <v>Altı Kesik V Kanal</v>
      </c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80"/>
      <c r="AL101" s="180"/>
      <c r="AM101" s="18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33"/>
      <c r="BG101" s="133"/>
      <c r="BH101" s="133"/>
      <c r="BI101" s="133"/>
      <c r="BJ101" s="133"/>
    </row>
    <row r="102" spans="1:62" ht="12" customHeight="1">
      <c r="A102" s="182" t="s">
        <v>458</v>
      </c>
      <c r="B102" s="152"/>
      <c r="C102" s="144" t="s">
        <v>308</v>
      </c>
      <c r="D102" s="144" t="s">
        <v>459</v>
      </c>
      <c r="E102" s="144"/>
      <c r="F102" s="128"/>
      <c r="G102" s="144"/>
      <c r="H102" s="146"/>
      <c r="I102" s="146"/>
      <c r="J102" s="146"/>
      <c r="K102" s="144"/>
      <c r="L102" s="144"/>
      <c r="M102" s="144"/>
      <c r="N102" s="144"/>
      <c r="O102" s="144"/>
      <c r="P102" s="144"/>
      <c r="Q102" s="128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748">
        <v>38</v>
      </c>
      <c r="AI102" s="710"/>
      <c r="AJ102" s="710"/>
      <c r="AK102" s="710"/>
      <c r="AL102" s="583"/>
      <c r="AM102" s="152" t="s">
        <v>162</v>
      </c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0"/>
      <c r="BA102" s="150"/>
      <c r="BB102" s="150"/>
      <c r="BC102" s="150"/>
      <c r="BD102" s="150"/>
      <c r="BE102" s="150"/>
      <c r="BF102" s="133"/>
      <c r="BG102" s="133"/>
      <c r="BH102" s="133"/>
      <c r="BI102" s="133"/>
      <c r="BJ102" s="133"/>
    </row>
    <row r="103" spans="1:62" ht="12" customHeight="1">
      <c r="A103" s="182" t="s">
        <v>266</v>
      </c>
      <c r="B103" s="152"/>
      <c r="C103" s="144" t="s">
        <v>308</v>
      </c>
      <c r="D103" s="144" t="s">
        <v>460</v>
      </c>
      <c r="E103" s="144"/>
      <c r="F103" s="128"/>
      <c r="G103" s="144"/>
      <c r="H103" s="146"/>
      <c r="I103" s="146"/>
      <c r="J103" s="146"/>
      <c r="K103" s="144"/>
      <c r="L103" s="144"/>
      <c r="M103" s="144"/>
      <c r="N103" s="144"/>
      <c r="O103" s="144"/>
      <c r="P103" s="144"/>
      <c r="Q103" s="128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748">
        <v>90</v>
      </c>
      <c r="AI103" s="710"/>
      <c r="AJ103" s="710"/>
      <c r="AK103" s="710"/>
      <c r="AL103" s="583"/>
      <c r="AM103" s="152" t="s">
        <v>162</v>
      </c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0"/>
      <c r="BA103" s="150"/>
      <c r="BB103" s="150"/>
      <c r="BC103" s="150"/>
      <c r="BD103" s="150"/>
      <c r="BE103" s="150"/>
      <c r="BF103" s="133"/>
      <c r="BG103" s="133"/>
      <c r="BH103" s="133"/>
      <c r="BI103" s="133"/>
      <c r="BJ103" s="133"/>
    </row>
    <row r="104" spans="1:62" ht="15.75" customHeight="1">
      <c r="A104" s="146" t="s">
        <v>461</v>
      </c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748">
        <f>VLOOKUP('Veri Girişi'!F105,TABLOLAR!D47:G52,4,0)</f>
        <v>5</v>
      </c>
      <c r="AI104" s="710"/>
      <c r="AJ104" s="710"/>
      <c r="AK104" s="710"/>
      <c r="AL104" s="583"/>
      <c r="AM104" s="144"/>
      <c r="AN104" s="144"/>
      <c r="AO104" s="144"/>
      <c r="AP104" s="144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0"/>
      <c r="BA104" s="150"/>
      <c r="BB104" s="150"/>
      <c r="BC104" s="150"/>
      <c r="BD104" s="150"/>
      <c r="BE104" s="150"/>
      <c r="BF104" s="133"/>
      <c r="BG104" s="133"/>
      <c r="BH104" s="133"/>
      <c r="BI104" s="133"/>
      <c r="BJ104" s="133"/>
    </row>
    <row r="105" spans="1:62" ht="12" customHeight="1">
      <c r="A105" s="146" t="s">
        <v>462</v>
      </c>
      <c r="B105" s="146"/>
      <c r="C105" s="146" t="s">
        <v>308</v>
      </c>
      <c r="D105" s="146" t="s">
        <v>463</v>
      </c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  <c r="AH105" s="748">
        <v>1</v>
      </c>
      <c r="AI105" s="710"/>
      <c r="AJ105" s="710"/>
      <c r="AK105" s="710"/>
      <c r="AL105" s="583"/>
      <c r="AM105" s="144" t="s">
        <v>324</v>
      </c>
      <c r="AN105" s="144"/>
      <c r="AO105" s="144"/>
      <c r="AP105" s="144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0"/>
      <c r="BA105" s="150"/>
      <c r="BB105" s="150"/>
      <c r="BC105" s="150"/>
      <c r="BD105" s="150"/>
      <c r="BE105" s="150"/>
      <c r="BF105" s="133"/>
      <c r="BG105" s="133"/>
      <c r="BH105" s="133"/>
      <c r="BI105" s="133"/>
      <c r="BJ105" s="133"/>
    </row>
    <row r="106" spans="1:62" ht="12" customHeight="1">
      <c r="A106" s="146" t="s">
        <v>464</v>
      </c>
      <c r="B106" s="146"/>
      <c r="C106" s="146" t="s">
        <v>308</v>
      </c>
      <c r="D106" s="146" t="s">
        <v>465</v>
      </c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748">
        <v>0</v>
      </c>
      <c r="AI106" s="710"/>
      <c r="AJ106" s="710"/>
      <c r="AK106" s="710"/>
      <c r="AL106" s="583"/>
      <c r="AM106" s="144" t="s">
        <v>324</v>
      </c>
      <c r="AN106" s="144"/>
      <c r="AO106" s="144"/>
      <c r="AP106" s="144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0"/>
      <c r="BA106" s="150"/>
      <c r="BB106" s="150"/>
      <c r="BC106" s="150"/>
      <c r="BD106" s="150"/>
      <c r="BE106" s="150"/>
      <c r="BF106" s="133"/>
      <c r="BG106" s="133"/>
      <c r="BH106" s="133"/>
      <c r="BI106" s="133"/>
      <c r="BJ106" s="133"/>
    </row>
    <row r="107" spans="1:62" ht="12" customHeight="1">
      <c r="A107" s="144" t="s">
        <v>466</v>
      </c>
      <c r="B107" s="144"/>
      <c r="C107" s="144" t="s">
        <v>308</v>
      </c>
      <c r="D107" s="144" t="s">
        <v>467</v>
      </c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748">
        <f>'Veri Girişi'!F100</f>
        <v>240</v>
      </c>
      <c r="AI107" s="710"/>
      <c r="AJ107" s="710"/>
      <c r="AK107" s="710"/>
      <c r="AL107" s="583"/>
      <c r="AM107" s="144" t="s">
        <v>122</v>
      </c>
      <c r="AN107" s="144"/>
      <c r="AO107" s="144"/>
      <c r="AP107" s="144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0"/>
      <c r="BA107" s="150"/>
      <c r="BB107" s="150"/>
      <c r="BC107" s="150"/>
      <c r="BD107" s="150"/>
      <c r="BE107" s="150"/>
      <c r="BF107" s="133"/>
      <c r="BG107" s="133"/>
      <c r="BH107" s="133"/>
      <c r="BI107" s="133"/>
      <c r="BJ107" s="133"/>
    </row>
    <row r="108" spans="1:62" ht="12" customHeight="1">
      <c r="A108" s="144" t="s">
        <v>468</v>
      </c>
      <c r="B108" s="144"/>
      <c r="C108" s="144" t="s">
        <v>308</v>
      </c>
      <c r="D108" s="144" t="s">
        <v>469</v>
      </c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748">
        <f>'Veri Girişi'!B100</f>
        <v>2</v>
      </c>
      <c r="AI108" s="710"/>
      <c r="AJ108" s="710"/>
      <c r="AK108" s="710"/>
      <c r="AL108" s="583"/>
      <c r="AM108" s="144"/>
      <c r="AN108" s="144"/>
      <c r="AO108" s="144"/>
      <c r="AP108" s="144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0"/>
      <c r="BA108" s="150"/>
      <c r="BB108" s="150"/>
      <c r="BC108" s="150"/>
      <c r="BD108" s="150"/>
      <c r="BE108" s="150"/>
      <c r="BF108" s="133"/>
      <c r="BG108" s="133"/>
      <c r="BH108" s="133"/>
      <c r="BI108" s="133"/>
      <c r="BJ108" s="133"/>
    </row>
    <row r="109" spans="1:62" ht="12" customHeight="1">
      <c r="A109" s="144" t="s">
        <v>470</v>
      </c>
      <c r="B109" s="144"/>
      <c r="C109" s="144" t="s">
        <v>308</v>
      </c>
      <c r="D109" s="144" t="s">
        <v>471</v>
      </c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748">
        <f>VLOOKUP('Veri Girişi'!B99,TABLOLAR!A32:F43,3,0)</f>
        <v>24700</v>
      </c>
      <c r="AI109" s="710"/>
      <c r="AJ109" s="710"/>
      <c r="AK109" s="710"/>
      <c r="AL109" s="583"/>
      <c r="AM109" s="144" t="s">
        <v>374</v>
      </c>
      <c r="AN109" s="144"/>
      <c r="AO109" s="144"/>
      <c r="AP109" s="144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0"/>
      <c r="BA109" s="150"/>
      <c r="BB109" s="150"/>
      <c r="BC109" s="150"/>
      <c r="BD109" s="150"/>
      <c r="BE109" s="150"/>
      <c r="BF109" s="133"/>
      <c r="BG109" s="133"/>
      <c r="BH109" s="133"/>
      <c r="BI109" s="133"/>
      <c r="BJ109" s="133"/>
    </row>
    <row r="110" spans="1:62" ht="12" customHeight="1">
      <c r="A110" s="144" t="s">
        <v>472</v>
      </c>
      <c r="B110" s="144"/>
      <c r="C110" s="144" t="s">
        <v>308</v>
      </c>
      <c r="D110" s="144" t="s">
        <v>473</v>
      </c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748">
        <f>IF('Veri Girişi'!B98&lt;3,16,12)</f>
        <v>12</v>
      </c>
      <c r="AI110" s="710"/>
      <c r="AJ110" s="710"/>
      <c r="AK110" s="710"/>
      <c r="AL110" s="583"/>
      <c r="AM110" s="144"/>
      <c r="AN110" s="144"/>
      <c r="AO110" s="144"/>
      <c r="AP110" s="144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0"/>
      <c r="BA110" s="150"/>
      <c r="BB110" s="150"/>
      <c r="BC110" s="150"/>
      <c r="BD110" s="150"/>
      <c r="BE110" s="150"/>
      <c r="BF110" s="133"/>
      <c r="BG110" s="133"/>
      <c r="BH110" s="133"/>
      <c r="BI110" s="133"/>
      <c r="BJ110" s="133"/>
    </row>
    <row r="111" spans="1:62" ht="4.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69"/>
      <c r="AK111" s="169"/>
      <c r="AL111" s="169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0"/>
      <c r="BA111" s="150"/>
      <c r="BB111" s="150"/>
      <c r="BC111" s="150"/>
      <c r="BD111" s="150"/>
      <c r="BE111" s="150"/>
      <c r="BF111" s="133"/>
      <c r="BG111" s="133"/>
      <c r="BH111" s="133"/>
      <c r="BI111" s="133"/>
      <c r="BJ111" s="133"/>
    </row>
    <row r="112" spans="1:62" ht="12" customHeight="1">
      <c r="A112" s="130" t="s">
        <v>474</v>
      </c>
      <c r="B112" s="130"/>
      <c r="C112" s="130"/>
      <c r="D112" s="130"/>
      <c r="E112" s="130"/>
      <c r="F112" s="130"/>
      <c r="G112" s="130"/>
      <c r="H112" s="130"/>
      <c r="I112" s="130" t="s">
        <v>413</v>
      </c>
      <c r="J112" s="737">
        <f>'Veri Girişi'!F99</f>
        <v>240</v>
      </c>
      <c r="K112" s="707"/>
      <c r="L112" s="707"/>
      <c r="M112" s="130" t="s">
        <v>436</v>
      </c>
      <c r="N112" s="737">
        <f>'Veri Girişi'!F100</f>
        <v>240</v>
      </c>
      <c r="O112" s="707"/>
      <c r="P112" s="707"/>
      <c r="Q112" s="130" t="s">
        <v>414</v>
      </c>
      <c r="R112" s="130">
        <v>4</v>
      </c>
      <c r="S112" s="130" t="s">
        <v>262</v>
      </c>
      <c r="T112" s="764">
        <f>(J112/N112)*(J112/N112)*(J112/N112)*(J112/N112)</f>
        <v>1</v>
      </c>
      <c r="U112" s="707"/>
      <c r="V112" s="707"/>
      <c r="W112" s="707"/>
      <c r="X112" s="130" t="s">
        <v>122</v>
      </c>
      <c r="Y112" s="130"/>
      <c r="Z112" s="130"/>
      <c r="AA112" s="133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57"/>
      <c r="BA112" s="157"/>
      <c r="BB112" s="157"/>
      <c r="BC112" s="157"/>
      <c r="BD112" s="157"/>
      <c r="BE112" s="157"/>
      <c r="BF112" s="133"/>
      <c r="BG112" s="133"/>
      <c r="BH112" s="133"/>
      <c r="BI112" s="133"/>
      <c r="BJ112" s="133"/>
    </row>
    <row r="113" spans="1:62" ht="4.5" customHeight="1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50"/>
      <c r="BA113" s="150"/>
      <c r="BB113" s="150"/>
      <c r="BC113" s="150"/>
      <c r="BD113" s="150"/>
      <c r="BE113" s="150"/>
      <c r="BF113" s="133"/>
      <c r="BG113" s="133"/>
      <c r="BH113" s="133"/>
      <c r="BI113" s="133"/>
      <c r="BJ113" s="133"/>
    </row>
    <row r="114" spans="1:62" ht="12" customHeight="1">
      <c r="A114" s="130" t="s">
        <v>475</v>
      </c>
      <c r="B114" s="130"/>
      <c r="C114" s="130"/>
      <c r="D114" s="130"/>
      <c r="E114" s="130"/>
      <c r="F114" s="130" t="s">
        <v>476</v>
      </c>
      <c r="G114" s="130"/>
      <c r="H114" s="130"/>
      <c r="I114" s="130"/>
      <c r="J114" s="130"/>
      <c r="K114" s="130"/>
      <c r="L114" s="128"/>
      <c r="M114" s="128"/>
      <c r="N114" s="128"/>
      <c r="O114" s="130" t="s">
        <v>262</v>
      </c>
      <c r="P114" s="764">
        <f>T112*(AH105+4*AH106)</f>
        <v>1</v>
      </c>
      <c r="Q114" s="707"/>
      <c r="R114" s="707"/>
      <c r="S114" s="133"/>
      <c r="T114" s="133"/>
      <c r="U114" s="133"/>
      <c r="V114" s="128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57"/>
      <c r="BA114" s="157"/>
      <c r="BB114" s="157"/>
      <c r="BC114" s="157"/>
      <c r="BD114" s="157"/>
      <c r="BE114" s="157"/>
      <c r="BF114" s="133"/>
      <c r="BG114" s="133"/>
      <c r="BH114" s="133"/>
      <c r="BI114" s="133"/>
      <c r="BJ114" s="133"/>
    </row>
    <row r="115" spans="1:62" ht="4.5" customHeight="1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50"/>
      <c r="BA115" s="150"/>
      <c r="BB115" s="150"/>
      <c r="BC115" s="150"/>
      <c r="BD115" s="150"/>
      <c r="BE115" s="150"/>
      <c r="BF115" s="133"/>
      <c r="BG115" s="133"/>
      <c r="BH115" s="133"/>
      <c r="BI115" s="133"/>
      <c r="BJ115" s="133"/>
    </row>
    <row r="116" spans="1:62" ht="12" customHeight="1">
      <c r="A116" s="144" t="s">
        <v>477</v>
      </c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721">
        <f>AH104</f>
        <v>5</v>
      </c>
      <c r="O116" s="707"/>
      <c r="P116" s="707"/>
      <c r="Q116" s="144" t="s">
        <v>316</v>
      </c>
      <c r="R116" s="734">
        <f>P114</f>
        <v>1</v>
      </c>
      <c r="S116" s="707"/>
      <c r="T116" s="707"/>
      <c r="U116" s="144" t="s">
        <v>262</v>
      </c>
      <c r="V116" s="733">
        <f>N116+R116</f>
        <v>6</v>
      </c>
      <c r="W116" s="707"/>
      <c r="X116" s="707"/>
      <c r="Y116" s="707"/>
      <c r="Z116" s="144"/>
      <c r="AA116" s="133"/>
      <c r="AB116" s="133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50"/>
      <c r="BA116" s="150"/>
      <c r="BB116" s="150"/>
      <c r="BC116" s="150"/>
      <c r="BD116" s="150"/>
      <c r="BE116" s="150"/>
      <c r="BF116" s="133"/>
      <c r="BG116" s="133"/>
      <c r="BH116" s="133"/>
      <c r="BI116" s="133"/>
      <c r="BJ116" s="133"/>
    </row>
    <row r="117" spans="1:62" ht="4.5" customHeight="1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50"/>
      <c r="BA117" s="150"/>
      <c r="BB117" s="150"/>
      <c r="BC117" s="150"/>
      <c r="BD117" s="150"/>
      <c r="BE117" s="150"/>
      <c r="BF117" s="133"/>
      <c r="BG117" s="133"/>
      <c r="BH117" s="133"/>
      <c r="BI117" s="133"/>
      <c r="BJ117" s="133"/>
    </row>
    <row r="118" spans="1:62" ht="12" customHeight="1">
      <c r="A118" s="130" t="s">
        <v>478</v>
      </c>
      <c r="B118" s="130"/>
      <c r="C118" s="130"/>
      <c r="D118" s="130"/>
      <c r="E118" s="130"/>
      <c r="F118" s="737">
        <f>G97</f>
        <v>240</v>
      </c>
      <c r="G118" s="707"/>
      <c r="H118" s="707"/>
      <c r="I118" s="130" t="s">
        <v>436</v>
      </c>
      <c r="J118" s="787">
        <f>K97</f>
        <v>6.5</v>
      </c>
      <c r="K118" s="707"/>
      <c r="L118" s="130" t="s">
        <v>262</v>
      </c>
      <c r="M118" s="737">
        <f>F118/J118</f>
        <v>36.92307692307692</v>
      </c>
      <c r="N118" s="707"/>
      <c r="O118" s="130" t="s">
        <v>122</v>
      </c>
      <c r="P118" s="133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57"/>
      <c r="BA118" s="157"/>
      <c r="BB118" s="157"/>
      <c r="BC118" s="157"/>
      <c r="BD118" s="157"/>
      <c r="BE118" s="157"/>
      <c r="BF118" s="133"/>
      <c r="BG118" s="133"/>
      <c r="BH118" s="133"/>
      <c r="BI118" s="133"/>
      <c r="BJ118" s="133"/>
    </row>
    <row r="119" spans="1:62" ht="4.5" customHeight="1">
      <c r="A119" s="144"/>
      <c r="B119" s="144"/>
      <c r="C119" s="144"/>
      <c r="D119" s="144"/>
      <c r="E119" s="144"/>
      <c r="F119" s="151"/>
      <c r="G119" s="151"/>
      <c r="H119" s="151"/>
      <c r="I119" s="144"/>
      <c r="J119" s="144"/>
      <c r="K119" s="144"/>
      <c r="L119" s="144"/>
      <c r="M119" s="151"/>
      <c r="N119" s="151"/>
      <c r="O119" s="151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50"/>
      <c r="BA119" s="150"/>
      <c r="BB119" s="150"/>
      <c r="BC119" s="150"/>
      <c r="BD119" s="150"/>
      <c r="BE119" s="150"/>
      <c r="BF119" s="133"/>
      <c r="BG119" s="133"/>
      <c r="BH119" s="133"/>
      <c r="BI119" s="133"/>
      <c r="BJ119" s="133"/>
    </row>
    <row r="120" spans="1:62" ht="15" customHeight="1">
      <c r="A120" s="128" t="s">
        <v>479</v>
      </c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50"/>
      <c r="BA120" s="150"/>
      <c r="BB120" s="150"/>
      <c r="BC120" s="150"/>
      <c r="BD120" s="150"/>
      <c r="BE120" s="150"/>
      <c r="BF120" s="133"/>
      <c r="BG120" s="133"/>
      <c r="BH120" s="133"/>
      <c r="BI120" s="133"/>
      <c r="BJ120" s="133"/>
    </row>
    <row r="121" spans="1:62" ht="15" customHeight="1">
      <c r="A121" s="128" t="s">
        <v>480</v>
      </c>
      <c r="B121" s="128"/>
      <c r="C121" s="731">
        <v>10</v>
      </c>
      <c r="D121" s="707"/>
      <c r="E121" s="183" t="s">
        <v>481</v>
      </c>
      <c r="F121" s="728">
        <v>2.6833999999999998</v>
      </c>
      <c r="G121" s="707"/>
      <c r="H121" s="707"/>
      <c r="I121" s="184" t="s">
        <v>317</v>
      </c>
      <c r="J121" s="184" t="s">
        <v>482</v>
      </c>
      <c r="K121" s="128"/>
      <c r="L121" s="184" t="s">
        <v>483</v>
      </c>
      <c r="M121" s="128"/>
      <c r="N121" s="128"/>
      <c r="O121" s="128"/>
      <c r="P121" s="128"/>
      <c r="Q121" s="184" t="s">
        <v>357</v>
      </c>
      <c r="R121" s="746">
        <f>V116</f>
        <v>6</v>
      </c>
      <c r="S121" s="707"/>
      <c r="T121" s="184" t="s">
        <v>484</v>
      </c>
      <c r="U121" s="731">
        <f>M118</f>
        <v>36.92307692307692</v>
      </c>
      <c r="V121" s="707"/>
      <c r="W121" s="817">
        <v>8.5670000000000002</v>
      </c>
      <c r="X121" s="707"/>
      <c r="Y121" s="184" t="s">
        <v>485</v>
      </c>
      <c r="Z121" s="184" t="s">
        <v>436</v>
      </c>
      <c r="AA121" s="184" t="s">
        <v>486</v>
      </c>
      <c r="AB121" s="128"/>
      <c r="AC121" s="737">
        <f>77.09</f>
        <v>77.09</v>
      </c>
      <c r="AD121" s="707"/>
      <c r="AE121" s="707"/>
      <c r="AF121" s="184" t="s">
        <v>357</v>
      </c>
      <c r="AG121" s="731">
        <f>M118</f>
        <v>36.92307692307692</v>
      </c>
      <c r="AH121" s="707"/>
      <c r="AI121" s="184" t="s">
        <v>487</v>
      </c>
      <c r="AJ121" s="128"/>
      <c r="AK121" s="128"/>
      <c r="AL121" s="133"/>
      <c r="AM121" s="133"/>
      <c r="AN121" s="133"/>
      <c r="AO121" s="133"/>
      <c r="AP121" s="133"/>
      <c r="AQ121" s="133"/>
      <c r="AR121" s="128"/>
      <c r="AS121" s="133"/>
      <c r="AT121" s="133"/>
      <c r="AU121" s="128"/>
      <c r="AV121" s="128"/>
      <c r="AW121" s="128"/>
      <c r="AX121" s="128"/>
      <c r="AY121" s="128"/>
      <c r="AZ121" s="152"/>
      <c r="BA121" s="152"/>
      <c r="BB121" s="152"/>
      <c r="BC121" s="152"/>
      <c r="BD121" s="152"/>
      <c r="BE121" s="152"/>
      <c r="BF121" s="133"/>
      <c r="BG121" s="133"/>
      <c r="BH121" s="133"/>
      <c r="BI121" s="133"/>
      <c r="BJ121" s="133"/>
    </row>
    <row r="122" spans="1:62" ht="15" customHeight="1">
      <c r="A122" s="128" t="s">
        <v>480</v>
      </c>
      <c r="B122" s="128"/>
      <c r="C122" s="731">
        <v>10</v>
      </c>
      <c r="D122" s="707"/>
      <c r="E122" s="183" t="s">
        <v>481</v>
      </c>
      <c r="F122" s="728">
        <v>2.6833999999999998</v>
      </c>
      <c r="G122" s="707"/>
      <c r="H122" s="707"/>
      <c r="I122" s="184" t="s">
        <v>317</v>
      </c>
      <c r="J122" s="184" t="s">
        <v>488</v>
      </c>
      <c r="K122" s="128"/>
      <c r="L122" s="184" t="s">
        <v>413</v>
      </c>
      <c r="M122" s="737">
        <f>695850000*V116</f>
        <v>4175100000</v>
      </c>
      <c r="N122" s="707"/>
      <c r="O122" s="707"/>
      <c r="P122" s="707"/>
      <c r="Q122" s="707"/>
      <c r="R122" s="184" t="s">
        <v>436</v>
      </c>
      <c r="S122" s="737">
        <f>POWER(M118,8.567)</f>
        <v>26732586537992.484</v>
      </c>
      <c r="T122" s="707"/>
      <c r="U122" s="707"/>
      <c r="V122" s="707"/>
      <c r="W122" s="707"/>
      <c r="X122" s="707"/>
      <c r="Y122" s="184" t="s">
        <v>489</v>
      </c>
      <c r="Z122" s="128"/>
      <c r="AA122" s="184" t="s">
        <v>490</v>
      </c>
      <c r="AB122" s="128"/>
      <c r="AC122" s="186" t="s">
        <v>413</v>
      </c>
      <c r="AD122" s="737">
        <v>77.09</v>
      </c>
      <c r="AE122" s="707"/>
      <c r="AF122" s="707"/>
      <c r="AG122" s="184" t="s">
        <v>357</v>
      </c>
      <c r="AH122" s="737">
        <f>POWER(M118,-2.894)</f>
        <v>2.9123255519497941E-5</v>
      </c>
      <c r="AI122" s="707"/>
      <c r="AJ122" s="707"/>
      <c r="AK122" s="184" t="s">
        <v>491</v>
      </c>
      <c r="AL122" s="128"/>
      <c r="AM122" s="133"/>
      <c r="AN122" s="133"/>
      <c r="AO122" s="144"/>
      <c r="AP122" s="128"/>
      <c r="AQ122" s="128"/>
      <c r="AR122" s="747"/>
      <c r="AS122" s="707"/>
      <c r="AT122" s="707"/>
      <c r="AU122" s="707"/>
      <c r="AV122" s="707"/>
      <c r="AW122" s="707"/>
      <c r="AX122" s="707"/>
      <c r="AY122" s="707"/>
      <c r="AZ122" s="707"/>
      <c r="BA122" s="707"/>
      <c r="BB122" s="152"/>
      <c r="BC122" s="152"/>
      <c r="BD122" s="152"/>
      <c r="BE122" s="152"/>
      <c r="BF122" s="133"/>
      <c r="BG122" s="133"/>
      <c r="BH122" s="133"/>
      <c r="BI122" s="133"/>
      <c r="BJ122" s="133"/>
    </row>
    <row r="123" spans="1:62" ht="15" customHeight="1">
      <c r="A123" s="128" t="s">
        <v>480</v>
      </c>
      <c r="B123" s="128"/>
      <c r="C123" s="731">
        <v>10</v>
      </c>
      <c r="D123" s="707"/>
      <c r="E123" s="183" t="s">
        <v>481</v>
      </c>
      <c r="F123" s="728">
        <v>2.6833999999999998</v>
      </c>
      <c r="G123" s="707"/>
      <c r="H123" s="707"/>
      <c r="I123" s="184" t="s">
        <v>317</v>
      </c>
      <c r="J123" s="184" t="s">
        <v>492</v>
      </c>
      <c r="K123" s="128"/>
      <c r="L123" s="737">
        <f>M122/S122</f>
        <v>1.5618017336505494E-4</v>
      </c>
      <c r="M123" s="707"/>
      <c r="N123" s="707"/>
      <c r="O123" s="707"/>
      <c r="P123" s="184" t="s">
        <v>436</v>
      </c>
      <c r="Q123" s="184" t="s">
        <v>493</v>
      </c>
      <c r="R123" s="128"/>
      <c r="S123" s="737">
        <f>AD122*AH122</f>
        <v>2.2451117679980963E-3</v>
      </c>
      <c r="T123" s="707"/>
      <c r="U123" s="707"/>
      <c r="V123" s="707"/>
      <c r="W123" s="184" t="s">
        <v>491</v>
      </c>
      <c r="X123" s="133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747"/>
      <c r="AS123" s="707"/>
      <c r="AT123" s="707"/>
      <c r="AU123" s="707"/>
      <c r="AV123" s="707"/>
      <c r="AW123" s="707"/>
      <c r="AX123" s="707"/>
      <c r="AY123" s="707"/>
      <c r="AZ123" s="707"/>
      <c r="BA123" s="707"/>
      <c r="BB123" s="152"/>
      <c r="BC123" s="152"/>
      <c r="BD123" s="152"/>
      <c r="BE123" s="152"/>
      <c r="BF123" s="133"/>
      <c r="BG123" s="133"/>
      <c r="BH123" s="133"/>
      <c r="BI123" s="133"/>
      <c r="BJ123" s="133"/>
    </row>
    <row r="124" spans="1:62" ht="15" customHeight="1">
      <c r="A124" s="128" t="s">
        <v>480</v>
      </c>
      <c r="B124" s="128"/>
      <c r="C124" s="731">
        <v>10</v>
      </c>
      <c r="D124" s="707"/>
      <c r="E124" s="183" t="s">
        <v>481</v>
      </c>
      <c r="F124" s="728">
        <v>2.6833999999999998</v>
      </c>
      <c r="G124" s="707"/>
      <c r="H124" s="707"/>
      <c r="I124" s="184" t="s">
        <v>317</v>
      </c>
      <c r="J124" s="186" t="s">
        <v>413</v>
      </c>
      <c r="K124" s="728">
        <f>LOG10(L123)</f>
        <v>-3.8063740994259008</v>
      </c>
      <c r="L124" s="707"/>
      <c r="M124" s="707"/>
      <c r="N124" s="707"/>
      <c r="O124" s="186" t="s">
        <v>436</v>
      </c>
      <c r="P124" s="816">
        <f>LOG10(S123)</f>
        <v>-2.6487620337178641</v>
      </c>
      <c r="Q124" s="707"/>
      <c r="R124" s="707"/>
      <c r="S124" s="707"/>
      <c r="T124" s="184" t="s">
        <v>491</v>
      </c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788"/>
      <c r="AS124" s="707"/>
      <c r="AT124" s="707"/>
      <c r="AU124" s="707"/>
      <c r="AV124" s="707"/>
      <c r="AW124" s="707"/>
      <c r="AX124" s="707"/>
      <c r="AY124" s="707"/>
      <c r="AZ124" s="707"/>
      <c r="BA124" s="707"/>
      <c r="BB124" s="152"/>
      <c r="BC124" s="152"/>
      <c r="BD124" s="152"/>
      <c r="BE124" s="152"/>
      <c r="BF124" s="133"/>
      <c r="BG124" s="133"/>
      <c r="BH124" s="133"/>
      <c r="BI124" s="133"/>
      <c r="BJ124" s="133"/>
    </row>
    <row r="125" spans="1:62" ht="15" customHeight="1">
      <c r="A125" s="128" t="s">
        <v>480</v>
      </c>
      <c r="B125" s="128"/>
      <c r="C125" s="731">
        <v>10</v>
      </c>
      <c r="D125" s="707"/>
      <c r="E125" s="728">
        <f>2.6834-(K124/P124)</f>
        <v>1.2463610924001407</v>
      </c>
      <c r="F125" s="707"/>
      <c r="G125" s="707"/>
      <c r="H125" s="707"/>
      <c r="I125" s="128"/>
      <c r="J125" s="128"/>
      <c r="K125" s="721" t="s">
        <v>494</v>
      </c>
      <c r="L125" s="707"/>
      <c r="M125" s="133" t="s">
        <v>383</v>
      </c>
      <c r="N125" s="722" t="s">
        <v>472</v>
      </c>
      <c r="O125" s="707"/>
      <c r="P125" s="707"/>
      <c r="Q125" s="133"/>
      <c r="R125" s="133"/>
      <c r="S125" s="133"/>
      <c r="T125" s="721">
        <f>POWER(10,E125)</f>
        <v>17.63441643506297</v>
      </c>
      <c r="U125" s="707"/>
      <c r="V125" s="707"/>
      <c r="W125" s="133" t="s">
        <v>383</v>
      </c>
      <c r="X125" s="721">
        <f>AH110</f>
        <v>12</v>
      </c>
      <c r="Y125" s="707"/>
      <c r="Z125" s="707"/>
      <c r="AA125" s="128" t="s">
        <v>384</v>
      </c>
      <c r="AB125" s="128"/>
      <c r="AC125" s="133"/>
      <c r="AD125" s="128"/>
      <c r="AE125" s="128"/>
      <c r="AF125" s="128"/>
      <c r="AG125" s="128"/>
      <c r="AH125" s="725" t="str">
        <f>IF(T125&gt;=X125,"UYGUNDUR.","UYGUN DEĞİLDİR.")</f>
        <v>UYGUNDUR.</v>
      </c>
      <c r="AI125" s="710"/>
      <c r="AJ125" s="710"/>
      <c r="AK125" s="710"/>
      <c r="AL125" s="710"/>
      <c r="AM125" s="710"/>
      <c r="AN125" s="710"/>
      <c r="AO125" s="710"/>
      <c r="AP125" s="710"/>
      <c r="AQ125" s="583"/>
      <c r="AR125" s="131"/>
      <c r="AS125" s="131"/>
      <c r="AT125" s="133"/>
      <c r="AU125" s="133"/>
      <c r="AV125" s="133"/>
      <c r="AW125" s="133"/>
      <c r="AX125" s="133"/>
      <c r="AY125" s="133"/>
      <c r="AZ125" s="133"/>
      <c r="BA125" s="133"/>
      <c r="BB125" s="133"/>
      <c r="BC125" s="133"/>
      <c r="BD125" s="133"/>
      <c r="BE125" s="152"/>
      <c r="BF125" s="133"/>
      <c r="BG125" s="133"/>
      <c r="BH125" s="133"/>
      <c r="BI125" s="133"/>
      <c r="BJ125" s="133"/>
    </row>
    <row r="126" spans="1:62" ht="15" customHeight="1">
      <c r="A126" s="144" t="s">
        <v>495</v>
      </c>
      <c r="B126" s="129"/>
      <c r="C126" s="130"/>
      <c r="E126" s="129"/>
      <c r="I126" s="129"/>
      <c r="J126" s="129"/>
      <c r="K126" s="721" t="s">
        <v>286</v>
      </c>
      <c r="L126" s="707"/>
      <c r="M126" s="133" t="s">
        <v>383</v>
      </c>
      <c r="N126" s="722" t="s">
        <v>494</v>
      </c>
      <c r="O126" s="707"/>
      <c r="P126" s="707"/>
      <c r="Q126" s="129"/>
      <c r="R126" s="129"/>
      <c r="S126" s="129"/>
      <c r="T126" s="734">
        <f>AQ20*AH109/(9.81*AQ11/AH108)</f>
        <v>22.720130951145965</v>
      </c>
      <c r="U126" s="707"/>
      <c r="V126" s="707"/>
      <c r="W126" s="133" t="s">
        <v>383</v>
      </c>
      <c r="X126" s="734">
        <f>MAX(T125,X125)</f>
        <v>17.63441643506297</v>
      </c>
      <c r="Y126" s="707"/>
      <c r="Z126" s="707"/>
      <c r="AA126" s="128" t="s">
        <v>384</v>
      </c>
      <c r="AB126" s="129"/>
      <c r="AC126" s="129"/>
      <c r="AD126" s="129"/>
      <c r="AE126" s="129"/>
      <c r="AF126" s="129"/>
      <c r="AG126" s="129"/>
      <c r="AH126" s="725" t="str">
        <f>IF(T126&gt;=X126,"UYGUNDUR.","UYGUN DEĞİLDİR.")</f>
        <v>UYGUNDUR.</v>
      </c>
      <c r="AI126" s="710"/>
      <c r="AJ126" s="710"/>
      <c r="AK126" s="710"/>
      <c r="AL126" s="710"/>
      <c r="AM126" s="710"/>
      <c r="AN126" s="710"/>
      <c r="AO126" s="710"/>
      <c r="AP126" s="710"/>
      <c r="AQ126" s="583"/>
      <c r="AR126" s="130"/>
      <c r="AS126" s="130"/>
      <c r="AT126" s="130"/>
      <c r="AU126" s="130"/>
      <c r="AV126" s="130"/>
      <c r="AW126" s="130"/>
      <c r="AX126" s="128"/>
      <c r="AY126" s="130"/>
      <c r="AZ126" s="130"/>
      <c r="BA126" s="130"/>
      <c r="BB126" s="130"/>
      <c r="BC126" s="130"/>
      <c r="BD126" s="130"/>
      <c r="BE126" s="130"/>
      <c r="BF126" s="128"/>
      <c r="BG126" s="128"/>
      <c r="BH126" s="128"/>
      <c r="BI126" s="128"/>
      <c r="BJ126" s="128"/>
    </row>
    <row r="127" spans="1:62" ht="12.75" customHeight="1">
      <c r="A127" s="187" t="s">
        <v>496</v>
      </c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28"/>
      <c r="AY127" s="130"/>
      <c r="AZ127" s="130"/>
      <c r="BA127" s="130"/>
      <c r="BB127" s="130"/>
      <c r="BC127" s="130"/>
      <c r="BD127" s="130"/>
      <c r="BE127" s="130"/>
      <c r="BF127" s="128"/>
      <c r="BG127" s="128"/>
      <c r="BH127" s="128"/>
      <c r="BI127" s="128"/>
      <c r="BJ127" s="128"/>
    </row>
    <row r="128" spans="1:62" ht="4.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28"/>
      <c r="AY128" s="130"/>
      <c r="AZ128" s="130"/>
      <c r="BA128" s="130"/>
      <c r="BB128" s="130"/>
      <c r="BC128" s="130"/>
      <c r="BD128" s="130"/>
      <c r="BE128" s="130"/>
      <c r="BF128" s="128"/>
      <c r="BG128" s="128"/>
      <c r="BH128" s="128"/>
      <c r="BI128" s="128"/>
      <c r="BJ128" s="128"/>
    </row>
    <row r="129" spans="1:62" ht="12.75" customHeight="1">
      <c r="A129" s="776" t="s">
        <v>497</v>
      </c>
      <c r="B129" s="707"/>
      <c r="C129" s="707"/>
      <c r="D129" s="172" t="s">
        <v>308</v>
      </c>
      <c r="E129" s="776" t="s">
        <v>498</v>
      </c>
      <c r="F129" s="707"/>
      <c r="G129" s="707"/>
      <c r="H129" s="707"/>
      <c r="I129" s="707"/>
      <c r="J129" s="707"/>
      <c r="K129" s="707"/>
      <c r="L129" s="707"/>
      <c r="M129" s="707"/>
      <c r="N129" s="707"/>
      <c r="O129" s="707"/>
      <c r="P129" s="707"/>
      <c r="Q129" s="707"/>
      <c r="R129" s="707"/>
      <c r="S129" s="707"/>
      <c r="T129" s="707"/>
      <c r="U129" s="707"/>
      <c r="V129" s="707"/>
      <c r="W129" s="707"/>
      <c r="X129" s="707"/>
      <c r="Y129" s="707"/>
      <c r="Z129" s="707"/>
      <c r="AA129" s="707"/>
      <c r="AB129" s="707"/>
      <c r="AC129" s="707"/>
      <c r="AD129" s="707"/>
      <c r="AE129" s="707"/>
      <c r="AF129" s="707"/>
      <c r="AG129" s="707"/>
      <c r="AH129" s="707"/>
      <c r="AI129" s="772">
        <f>'Veri Girişi'!F121</f>
        <v>300</v>
      </c>
      <c r="AJ129" s="710"/>
      <c r="AK129" s="710"/>
      <c r="AL129" s="583"/>
      <c r="AM129" s="776" t="s">
        <v>122</v>
      </c>
      <c r="AN129" s="707"/>
      <c r="AO129" s="707"/>
      <c r="AP129" s="172"/>
      <c r="AQ129" s="188"/>
      <c r="AR129" s="188"/>
      <c r="AS129" s="188"/>
      <c r="AT129" s="172"/>
      <c r="AU129" s="172"/>
      <c r="AV129" s="172"/>
      <c r="AW129" s="172"/>
      <c r="AX129" s="172"/>
      <c r="AY129" s="189"/>
      <c r="AZ129" s="133"/>
      <c r="BA129" s="133"/>
      <c r="BB129" s="133"/>
      <c r="BC129" s="133"/>
      <c r="BD129" s="133"/>
      <c r="BE129" s="133"/>
      <c r="BF129" s="133"/>
      <c r="BG129" s="133"/>
      <c r="BH129" s="133"/>
      <c r="BI129" s="133"/>
      <c r="BJ129" s="133"/>
    </row>
    <row r="130" spans="1:62" ht="12.75" customHeight="1">
      <c r="A130" s="776" t="s">
        <v>499</v>
      </c>
      <c r="B130" s="707"/>
      <c r="C130" s="707"/>
      <c r="D130" s="172" t="s">
        <v>308</v>
      </c>
      <c r="E130" s="776" t="s">
        <v>500</v>
      </c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707"/>
      <c r="AB130" s="707"/>
      <c r="AC130" s="707"/>
      <c r="AD130" s="707"/>
      <c r="AE130" s="707"/>
      <c r="AF130" s="707"/>
      <c r="AG130" s="707"/>
      <c r="AH130" s="707"/>
      <c r="AI130" s="772">
        <f>'Veri Girişi'!B104</f>
        <v>6</v>
      </c>
      <c r="AJ130" s="710"/>
      <c r="AK130" s="710"/>
      <c r="AL130" s="583"/>
      <c r="AM130" s="776" t="s">
        <v>122</v>
      </c>
      <c r="AN130" s="707"/>
      <c r="AO130" s="707"/>
      <c r="AP130" s="172"/>
      <c r="AQ130" s="188"/>
      <c r="AR130" s="188"/>
      <c r="AS130" s="188"/>
      <c r="AT130" s="172"/>
      <c r="AU130" s="172"/>
      <c r="AV130" s="172"/>
      <c r="AW130" s="172"/>
      <c r="AX130" s="172"/>
      <c r="AY130" s="189"/>
      <c r="AZ130" s="133"/>
      <c r="BA130" s="133"/>
      <c r="BB130" s="133"/>
      <c r="BC130" s="133"/>
      <c r="BD130" s="133"/>
      <c r="BE130" s="133"/>
      <c r="BF130" s="133"/>
      <c r="BG130" s="133"/>
      <c r="BH130" s="133"/>
      <c r="BI130" s="133"/>
      <c r="BJ130" s="133"/>
    </row>
    <row r="131" spans="1:62" ht="12.75" customHeight="1">
      <c r="A131" s="833" t="s">
        <v>501</v>
      </c>
      <c r="B131" s="707"/>
      <c r="C131" s="707"/>
      <c r="D131" s="172" t="s">
        <v>308</v>
      </c>
      <c r="E131" s="776" t="s">
        <v>502</v>
      </c>
      <c r="F131" s="707"/>
      <c r="G131" s="707"/>
      <c r="H131" s="707"/>
      <c r="I131" s="707"/>
      <c r="J131" s="707"/>
      <c r="K131" s="707"/>
      <c r="L131" s="707"/>
      <c r="M131" s="707"/>
      <c r="N131" s="707"/>
      <c r="O131" s="707"/>
      <c r="P131" s="707"/>
      <c r="Q131" s="707"/>
      <c r="R131" s="707"/>
      <c r="S131" s="707"/>
      <c r="T131" s="707"/>
      <c r="U131" s="707"/>
      <c r="V131" s="707"/>
      <c r="W131" s="707"/>
      <c r="X131" s="707"/>
      <c r="Y131" s="707"/>
      <c r="Z131" s="707"/>
      <c r="AA131" s="707"/>
      <c r="AB131" s="707"/>
      <c r="AC131" s="707"/>
      <c r="AD131" s="707"/>
      <c r="AE131" s="707"/>
      <c r="AF131" s="707"/>
      <c r="AG131" s="707"/>
      <c r="AH131" s="707"/>
      <c r="AI131" s="772">
        <f>'Veri Girişi'!F123</f>
        <v>0.2</v>
      </c>
      <c r="AJ131" s="710"/>
      <c r="AK131" s="710"/>
      <c r="AL131" s="583"/>
      <c r="AM131" s="172"/>
      <c r="AN131" s="172"/>
      <c r="AO131" s="172"/>
      <c r="AP131" s="172"/>
      <c r="AQ131" s="188"/>
      <c r="AR131" s="188"/>
      <c r="AS131" s="188"/>
      <c r="AT131" s="172"/>
      <c r="AU131" s="172"/>
      <c r="AV131" s="172"/>
      <c r="AW131" s="172"/>
      <c r="AX131" s="172"/>
      <c r="AY131" s="189"/>
      <c r="AZ131" s="133"/>
      <c r="BA131" s="133"/>
      <c r="BB131" s="133"/>
      <c r="BC131" s="133"/>
      <c r="BD131" s="133"/>
      <c r="BE131" s="133"/>
      <c r="BF131" s="133"/>
      <c r="BG131" s="133"/>
      <c r="BH131" s="133"/>
      <c r="BI131" s="133"/>
      <c r="BJ131" s="133"/>
    </row>
    <row r="132" spans="1:62" ht="12.75" customHeight="1">
      <c r="A132" s="832" t="s">
        <v>458</v>
      </c>
      <c r="B132" s="707"/>
      <c r="C132" s="707"/>
      <c r="D132" s="172" t="s">
        <v>308</v>
      </c>
      <c r="E132" s="776" t="s">
        <v>459</v>
      </c>
      <c r="F132" s="707"/>
      <c r="G132" s="707"/>
      <c r="H132" s="707"/>
      <c r="I132" s="707"/>
      <c r="J132" s="707"/>
      <c r="K132" s="707"/>
      <c r="L132" s="707"/>
      <c r="M132" s="707"/>
      <c r="N132" s="707"/>
      <c r="O132" s="707"/>
      <c r="P132" s="707"/>
      <c r="Q132" s="707"/>
      <c r="R132" s="707"/>
      <c r="S132" s="707"/>
      <c r="T132" s="707"/>
      <c r="U132" s="707"/>
      <c r="V132" s="707"/>
      <c r="W132" s="707"/>
      <c r="X132" s="707"/>
      <c r="Y132" s="707"/>
      <c r="Z132" s="707"/>
      <c r="AA132" s="707"/>
      <c r="AB132" s="707"/>
      <c r="AC132" s="707"/>
      <c r="AD132" s="707"/>
      <c r="AE132" s="707"/>
      <c r="AF132" s="707"/>
      <c r="AG132" s="707"/>
      <c r="AH132" s="707"/>
      <c r="AI132" s="772">
        <f>'Veri Girişi'!F122</f>
        <v>40</v>
      </c>
      <c r="AJ132" s="710"/>
      <c r="AK132" s="710"/>
      <c r="AL132" s="583"/>
      <c r="AM132" s="191" t="s">
        <v>162</v>
      </c>
      <c r="AN132" s="172"/>
      <c r="AO132" s="172"/>
      <c r="AP132" s="172"/>
      <c r="AQ132" s="188"/>
      <c r="AR132" s="188"/>
      <c r="AS132" s="188"/>
      <c r="AT132" s="172"/>
      <c r="AU132" s="172"/>
      <c r="AV132" s="172"/>
      <c r="AW132" s="172"/>
      <c r="AX132" s="172"/>
      <c r="AY132" s="189"/>
      <c r="AZ132" s="133"/>
      <c r="BA132" s="133"/>
      <c r="BB132" s="133"/>
      <c r="BC132" s="133"/>
      <c r="BD132" s="133"/>
      <c r="BE132" s="133"/>
      <c r="BF132" s="133"/>
      <c r="BG132" s="133"/>
      <c r="BH132" s="133"/>
      <c r="BI132" s="133"/>
      <c r="BJ132" s="133"/>
    </row>
    <row r="133" spans="1:62" ht="12.75" customHeight="1">
      <c r="A133" s="728" t="s">
        <v>503</v>
      </c>
      <c r="B133" s="707"/>
      <c r="C133" s="707"/>
      <c r="D133" s="172" t="s">
        <v>308</v>
      </c>
      <c r="E133" s="776" t="s">
        <v>504</v>
      </c>
      <c r="F133" s="707"/>
      <c r="G133" s="707"/>
      <c r="H133" s="707"/>
      <c r="I133" s="707"/>
      <c r="J133" s="707"/>
      <c r="K133" s="707"/>
      <c r="L133" s="707"/>
      <c r="M133" s="707"/>
      <c r="N133" s="707"/>
      <c r="O133" s="707"/>
      <c r="P133" s="707"/>
      <c r="Q133" s="707"/>
      <c r="R133" s="707"/>
      <c r="S133" s="707"/>
      <c r="T133" s="707"/>
      <c r="U133" s="707"/>
      <c r="V133" s="707"/>
      <c r="W133" s="707"/>
      <c r="X133" s="707"/>
      <c r="Y133" s="707"/>
      <c r="Z133" s="707"/>
      <c r="AA133" s="707"/>
      <c r="AB133" s="707"/>
      <c r="AC133" s="707"/>
      <c r="AD133" s="707"/>
      <c r="AE133" s="707"/>
      <c r="AF133" s="707"/>
      <c r="AG133" s="707"/>
      <c r="AH133" s="707"/>
      <c r="AI133" s="772">
        <v>180</v>
      </c>
      <c r="AJ133" s="710"/>
      <c r="AK133" s="710"/>
      <c r="AL133" s="583"/>
      <c r="AM133" s="191" t="s">
        <v>162</v>
      </c>
      <c r="AN133" s="172"/>
      <c r="AO133" s="172"/>
      <c r="AP133" s="172"/>
      <c r="AQ133" s="188"/>
      <c r="AR133" s="188"/>
      <c r="AS133" s="188"/>
      <c r="AT133" s="172"/>
      <c r="AU133" s="172"/>
      <c r="AV133" s="172"/>
      <c r="AW133" s="172"/>
      <c r="AX133" s="172"/>
      <c r="AY133" s="189"/>
      <c r="AZ133" s="133"/>
      <c r="BA133" s="133"/>
      <c r="BB133" s="133"/>
      <c r="BC133" s="133"/>
      <c r="BD133" s="133"/>
      <c r="BE133" s="133"/>
      <c r="BF133" s="133"/>
      <c r="BG133" s="133"/>
      <c r="BH133" s="133"/>
      <c r="BI133" s="133"/>
      <c r="BJ133" s="133"/>
    </row>
    <row r="134" spans="1:62" ht="12.75" customHeight="1">
      <c r="A134" s="728" t="s">
        <v>356</v>
      </c>
      <c r="B134" s="707"/>
      <c r="C134" s="707"/>
      <c r="D134" s="172" t="s">
        <v>308</v>
      </c>
      <c r="E134" s="776" t="s">
        <v>505</v>
      </c>
      <c r="F134" s="707"/>
      <c r="G134" s="707"/>
      <c r="H134" s="707"/>
      <c r="I134" s="707"/>
      <c r="J134" s="707"/>
      <c r="K134" s="707"/>
      <c r="L134" s="707"/>
      <c r="M134" s="707"/>
      <c r="N134" s="707"/>
      <c r="O134" s="707"/>
      <c r="P134" s="707"/>
      <c r="Q134" s="707"/>
      <c r="R134" s="707"/>
      <c r="S134" s="707"/>
      <c r="T134" s="707"/>
      <c r="U134" s="707"/>
      <c r="V134" s="707"/>
      <c r="W134" s="707"/>
      <c r="X134" s="707"/>
      <c r="Y134" s="707"/>
      <c r="Z134" s="707"/>
      <c r="AA134" s="707"/>
      <c r="AB134" s="707"/>
      <c r="AC134" s="707"/>
      <c r="AD134" s="707"/>
      <c r="AE134" s="707"/>
      <c r="AF134" s="707"/>
      <c r="AG134" s="707"/>
      <c r="AH134" s="707"/>
      <c r="AI134" s="840">
        <f>VLOOKUP(AI130,TABLOLAR!A32:B43,2,0)*(((SUM('Veri Girişi'!G12:G34)+'Veri Girişi'!F107-200)*2)/1000)</f>
        <v>6.5274000000000001</v>
      </c>
      <c r="AJ134" s="710"/>
      <c r="AK134" s="710"/>
      <c r="AL134" s="583"/>
      <c r="AM134" s="776" t="s">
        <v>506</v>
      </c>
      <c r="AN134" s="707"/>
      <c r="AO134" s="707"/>
      <c r="AP134" s="172"/>
      <c r="AQ134" s="188"/>
      <c r="AR134" s="188"/>
      <c r="AS134" s="188"/>
      <c r="AT134" s="172"/>
      <c r="AU134" s="172"/>
      <c r="AV134" s="172"/>
      <c r="AW134" s="172"/>
      <c r="AX134" s="172"/>
      <c r="AY134" s="189"/>
      <c r="AZ134" s="133"/>
      <c r="BA134" s="133"/>
      <c r="BB134" s="133"/>
      <c r="BC134" s="133"/>
      <c r="BD134" s="133"/>
      <c r="BE134" s="133"/>
      <c r="BF134" s="133"/>
      <c r="BG134" s="133"/>
      <c r="BH134" s="133"/>
      <c r="BI134" s="133"/>
      <c r="BJ134" s="133"/>
    </row>
    <row r="135" spans="1:62" ht="12.75" customHeight="1">
      <c r="A135" s="728" t="s">
        <v>507</v>
      </c>
      <c r="B135" s="707"/>
      <c r="C135" s="707"/>
      <c r="D135" s="172" t="s">
        <v>308</v>
      </c>
      <c r="E135" s="776" t="s">
        <v>508</v>
      </c>
      <c r="F135" s="707"/>
      <c r="G135" s="707"/>
      <c r="H135" s="707"/>
      <c r="I135" s="707"/>
      <c r="J135" s="707"/>
      <c r="K135" s="707"/>
      <c r="L135" s="707"/>
      <c r="M135" s="707"/>
      <c r="N135" s="707"/>
      <c r="O135" s="707"/>
      <c r="P135" s="707"/>
      <c r="Q135" s="707"/>
      <c r="R135" s="707"/>
      <c r="S135" s="707"/>
      <c r="T135" s="707"/>
      <c r="U135" s="707"/>
      <c r="V135" s="707"/>
      <c r="W135" s="707"/>
      <c r="X135" s="707"/>
      <c r="Y135" s="707"/>
      <c r="Z135" s="707"/>
      <c r="AA135" s="707"/>
      <c r="AB135" s="707"/>
      <c r="AC135" s="707"/>
      <c r="AD135" s="707"/>
      <c r="AE135" s="707"/>
      <c r="AF135" s="707"/>
      <c r="AG135" s="707"/>
      <c r="AH135" s="707"/>
      <c r="AI135" s="772">
        <f>'Veri Girişi'!F124</f>
        <v>70</v>
      </c>
      <c r="AJ135" s="710"/>
      <c r="AK135" s="710"/>
      <c r="AL135" s="583"/>
      <c r="AM135" s="776" t="s">
        <v>506</v>
      </c>
      <c r="AN135" s="707"/>
      <c r="AO135" s="707"/>
      <c r="AP135" s="172"/>
      <c r="AQ135" s="188"/>
      <c r="AR135" s="188"/>
      <c r="AS135" s="188"/>
      <c r="AT135" s="172"/>
      <c r="AU135" s="172"/>
      <c r="AV135" s="172"/>
      <c r="AW135" s="172"/>
      <c r="AX135" s="172"/>
      <c r="AY135" s="189"/>
      <c r="AZ135" s="133"/>
      <c r="BA135" s="133"/>
      <c r="BB135" s="133"/>
      <c r="BC135" s="133"/>
      <c r="BD135" s="133"/>
      <c r="BE135" s="133"/>
      <c r="BF135" s="133"/>
      <c r="BG135" s="133"/>
      <c r="BH135" s="133"/>
      <c r="BI135" s="133"/>
      <c r="BJ135" s="133"/>
    </row>
    <row r="136" spans="1:62" ht="12.75" customHeight="1">
      <c r="A136" s="728" t="s">
        <v>509</v>
      </c>
      <c r="B136" s="707"/>
      <c r="C136" s="707"/>
      <c r="D136" s="172" t="s">
        <v>308</v>
      </c>
      <c r="E136" s="776" t="s">
        <v>510</v>
      </c>
      <c r="F136" s="707"/>
      <c r="G136" s="707"/>
      <c r="H136" s="707"/>
      <c r="I136" s="707"/>
      <c r="J136" s="707"/>
      <c r="K136" s="707"/>
      <c r="L136" s="707"/>
      <c r="M136" s="707"/>
      <c r="N136" s="707"/>
      <c r="O136" s="707"/>
      <c r="P136" s="707"/>
      <c r="Q136" s="707"/>
      <c r="R136" s="707"/>
      <c r="S136" s="707"/>
      <c r="T136" s="707"/>
      <c r="U136" s="707"/>
      <c r="V136" s="707"/>
      <c r="W136" s="707"/>
      <c r="X136" s="707"/>
      <c r="Y136" s="707"/>
      <c r="Z136" s="707"/>
      <c r="AA136" s="707"/>
      <c r="AB136" s="707"/>
      <c r="AC136" s="707"/>
      <c r="AD136" s="707"/>
      <c r="AE136" s="707"/>
      <c r="AF136" s="707"/>
      <c r="AG136" s="707"/>
      <c r="AH136" s="707"/>
      <c r="AI136" s="772">
        <f>VLOOKUP('Veri Girişi'!B104,TABLOLAR!A32:C43,3,0)</f>
        <v>23100</v>
      </c>
      <c r="AJ136" s="710"/>
      <c r="AK136" s="710"/>
      <c r="AL136" s="583"/>
      <c r="AM136" s="172" t="s">
        <v>374</v>
      </c>
      <c r="AN136" s="172"/>
      <c r="AO136" s="172"/>
      <c r="AP136" s="172"/>
      <c r="AQ136" s="188"/>
      <c r="AR136" s="188"/>
      <c r="AS136" s="188"/>
      <c r="AT136" s="172"/>
      <c r="AU136" s="172"/>
      <c r="AV136" s="172"/>
      <c r="AW136" s="172"/>
      <c r="AX136" s="172"/>
      <c r="AY136" s="189"/>
      <c r="AZ136" s="133"/>
      <c r="BA136" s="133"/>
      <c r="BB136" s="133"/>
      <c r="BC136" s="133"/>
      <c r="BD136" s="133"/>
      <c r="BE136" s="133"/>
      <c r="BF136" s="133"/>
      <c r="BG136" s="133"/>
      <c r="BH136" s="133"/>
      <c r="BI136" s="133"/>
      <c r="BJ136" s="133"/>
    </row>
    <row r="137" spans="1:62" ht="6.75" customHeight="1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  <c r="AC137" s="177"/>
      <c r="AD137" s="177"/>
      <c r="AE137" s="177"/>
      <c r="AF137" s="177"/>
      <c r="AG137" s="177"/>
      <c r="AH137" s="177"/>
      <c r="AI137" s="177"/>
      <c r="AJ137" s="177"/>
      <c r="AK137" s="177"/>
      <c r="AL137" s="177"/>
      <c r="AM137" s="177"/>
      <c r="AN137" s="177"/>
      <c r="AO137" s="177"/>
      <c r="AP137" s="177"/>
      <c r="AQ137" s="188"/>
      <c r="AR137" s="188"/>
      <c r="AS137" s="188"/>
      <c r="AT137" s="177"/>
      <c r="AU137" s="177"/>
      <c r="AV137" s="177"/>
      <c r="AW137" s="177"/>
      <c r="AX137" s="177"/>
      <c r="AY137" s="177"/>
      <c r="AZ137" s="133"/>
      <c r="BA137" s="133"/>
      <c r="BB137" s="133"/>
      <c r="BC137" s="133"/>
      <c r="BD137" s="133"/>
      <c r="BE137" s="133"/>
      <c r="BF137" s="133"/>
      <c r="BG137" s="133"/>
      <c r="BH137" s="133"/>
      <c r="BI137" s="133"/>
      <c r="BJ137" s="133"/>
    </row>
    <row r="138" spans="1:62" ht="12.75" customHeight="1">
      <c r="A138" s="153" t="s">
        <v>511</v>
      </c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76"/>
      <c r="AZ138" s="133"/>
      <c r="BA138" s="133"/>
      <c r="BB138" s="133"/>
      <c r="BC138" s="133"/>
      <c r="BD138" s="133"/>
      <c r="BE138" s="133"/>
      <c r="BF138" s="133"/>
      <c r="BG138" s="133"/>
      <c r="BH138" s="133"/>
      <c r="BI138" s="133"/>
      <c r="BJ138" s="133"/>
    </row>
    <row r="139" spans="1:62" ht="5.25" customHeight="1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33"/>
      <c r="BA139" s="133"/>
      <c r="BB139" s="133"/>
      <c r="BC139" s="133"/>
      <c r="BD139" s="133"/>
      <c r="BE139" s="133"/>
      <c r="BF139" s="133"/>
      <c r="BG139" s="133"/>
      <c r="BH139" s="133"/>
      <c r="BI139" s="133"/>
      <c r="BJ139" s="133"/>
    </row>
    <row r="140" spans="1:62" ht="12.75" customHeight="1">
      <c r="A140" s="128"/>
      <c r="B140" s="798" t="s">
        <v>497</v>
      </c>
      <c r="C140" s="707"/>
      <c r="D140" s="707"/>
      <c r="E140" s="172" t="s">
        <v>436</v>
      </c>
      <c r="F140" s="776" t="s">
        <v>499</v>
      </c>
      <c r="G140" s="707"/>
      <c r="H140" s="707"/>
      <c r="I140" s="193" t="s">
        <v>383</v>
      </c>
      <c r="J140" s="130" t="s">
        <v>512</v>
      </c>
      <c r="K140" s="172"/>
      <c r="L140" s="172"/>
      <c r="M140" s="172"/>
      <c r="N140" s="172"/>
      <c r="O140" s="172"/>
      <c r="P140" s="133"/>
      <c r="Q140" s="133"/>
      <c r="R140" s="172"/>
      <c r="S140" s="174"/>
      <c r="T140" s="174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  <c r="AK140" s="177"/>
      <c r="AL140" s="177"/>
      <c r="AM140" s="177"/>
      <c r="AN140" s="177"/>
      <c r="AO140" s="177"/>
      <c r="AP140" s="177"/>
      <c r="AQ140" s="177"/>
      <c r="AR140" s="177"/>
      <c r="AS140" s="177"/>
      <c r="AT140" s="177"/>
      <c r="AU140" s="177"/>
      <c r="AV140" s="177"/>
      <c r="AW140" s="177"/>
      <c r="AX140" s="177"/>
      <c r="AY140" s="177"/>
      <c r="AZ140" s="133"/>
      <c r="BA140" s="133"/>
      <c r="BB140" s="133"/>
      <c r="BC140" s="133"/>
      <c r="BD140" s="133"/>
      <c r="BE140" s="133"/>
      <c r="BF140" s="133"/>
      <c r="BG140" s="133"/>
      <c r="BH140" s="133"/>
      <c r="BI140" s="133"/>
      <c r="BJ140" s="133"/>
    </row>
    <row r="141" spans="1:62" ht="5.25" customHeight="1">
      <c r="A141" s="177"/>
      <c r="B141" s="177"/>
      <c r="C141" s="177"/>
      <c r="D141" s="177"/>
      <c r="E141" s="177"/>
      <c r="F141" s="194"/>
      <c r="G141" s="194"/>
      <c r="H141" s="194"/>
      <c r="I141" s="152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7"/>
      <c r="AC141" s="177"/>
      <c r="AD141" s="177"/>
      <c r="AE141" s="177"/>
      <c r="AF141" s="177"/>
      <c r="AG141" s="177"/>
      <c r="AH141" s="177"/>
      <c r="AI141" s="177"/>
      <c r="AJ141" s="177"/>
      <c r="AK141" s="177"/>
      <c r="AL141" s="177"/>
      <c r="AM141" s="177"/>
      <c r="AN141" s="177"/>
      <c r="AO141" s="177"/>
      <c r="AP141" s="177"/>
      <c r="AQ141" s="177"/>
      <c r="AR141" s="177"/>
      <c r="AS141" s="177"/>
      <c r="AT141" s="177"/>
      <c r="AU141" s="177"/>
      <c r="AV141" s="177"/>
      <c r="AW141" s="177"/>
      <c r="AX141" s="177"/>
      <c r="AY141" s="177"/>
      <c r="AZ141" s="133"/>
      <c r="BA141" s="133"/>
      <c r="BB141" s="133"/>
      <c r="BC141" s="133"/>
      <c r="BD141" s="133"/>
      <c r="BE141" s="133"/>
      <c r="BF141" s="133"/>
      <c r="BG141" s="133"/>
      <c r="BH141" s="133"/>
      <c r="BI141" s="133"/>
      <c r="BJ141" s="133"/>
    </row>
    <row r="142" spans="1:62" ht="12.75" customHeight="1">
      <c r="A142" s="188"/>
      <c r="B142" s="798">
        <f>AI129</f>
        <v>300</v>
      </c>
      <c r="C142" s="707"/>
      <c r="D142" s="707"/>
      <c r="E142" s="172" t="s">
        <v>436</v>
      </c>
      <c r="F142" s="740">
        <f>AI130</f>
        <v>6</v>
      </c>
      <c r="G142" s="707"/>
      <c r="H142" s="172" t="s">
        <v>262</v>
      </c>
      <c r="I142" s="133"/>
      <c r="J142" s="798">
        <f>B142/F142</f>
        <v>50</v>
      </c>
      <c r="K142" s="707"/>
      <c r="L142" s="707"/>
      <c r="M142" s="195" t="s">
        <v>383</v>
      </c>
      <c r="N142" s="740">
        <v>30</v>
      </c>
      <c r="O142" s="707"/>
      <c r="P142" s="740" t="s">
        <v>384</v>
      </c>
      <c r="Q142" s="707"/>
      <c r="R142" s="707"/>
      <c r="S142" s="707"/>
      <c r="T142" s="707"/>
      <c r="U142" s="707"/>
      <c r="V142" s="707"/>
      <c r="W142" s="707"/>
      <c r="X142" s="725" t="str">
        <f>IF(J142&gt;=N142,"UYGUNDUR.","UYGUN DEĞİLDİR.")</f>
        <v>UYGUNDUR.</v>
      </c>
      <c r="Y142" s="710"/>
      <c r="Z142" s="710"/>
      <c r="AA142" s="710"/>
      <c r="AB142" s="710"/>
      <c r="AC142" s="710"/>
      <c r="AD142" s="710"/>
      <c r="AE142" s="710"/>
      <c r="AF142" s="710"/>
      <c r="AG142" s="710"/>
      <c r="AH142" s="583"/>
      <c r="AI142" s="168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55"/>
      <c r="AZ142" s="157"/>
      <c r="BA142" s="157"/>
      <c r="BB142" s="157"/>
      <c r="BC142" s="157"/>
      <c r="BD142" s="157"/>
      <c r="BE142" s="157"/>
      <c r="BF142" s="157"/>
      <c r="BG142" s="157"/>
      <c r="BH142" s="133"/>
      <c r="BI142" s="133"/>
      <c r="BJ142" s="133"/>
    </row>
    <row r="143" spans="1:62" ht="4.5" customHeight="1">
      <c r="A143" s="188"/>
      <c r="B143" s="173"/>
      <c r="C143" s="173"/>
      <c r="D143" s="173"/>
      <c r="E143" s="172"/>
      <c r="F143" s="173"/>
      <c r="G143" s="173"/>
      <c r="H143" s="173"/>
      <c r="I143" s="172"/>
      <c r="J143" s="173"/>
      <c r="K143" s="173"/>
      <c r="L143" s="173"/>
      <c r="M143" s="195"/>
      <c r="N143" s="195"/>
      <c r="O143" s="173"/>
      <c r="P143" s="173"/>
      <c r="Q143" s="172"/>
      <c r="R143" s="173"/>
      <c r="S143" s="173"/>
      <c r="T143" s="173"/>
      <c r="U143" s="173"/>
      <c r="V143" s="173"/>
      <c r="W143" s="173"/>
      <c r="X143" s="173"/>
      <c r="Y143" s="173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55"/>
      <c r="AZ143" s="157"/>
      <c r="BA143" s="157"/>
      <c r="BB143" s="157"/>
      <c r="BC143" s="157"/>
      <c r="BD143" s="157"/>
      <c r="BE143" s="157"/>
      <c r="BF143" s="157"/>
      <c r="BG143" s="157"/>
      <c r="BH143" s="133"/>
      <c r="BI143" s="133"/>
      <c r="BJ143" s="133"/>
    </row>
    <row r="144" spans="1:62" ht="12.75" customHeight="1">
      <c r="A144" s="735" t="s">
        <v>513</v>
      </c>
      <c r="B144" s="707"/>
      <c r="C144" s="707"/>
      <c r="D144" s="707"/>
      <c r="E144" s="707"/>
      <c r="F144" s="707"/>
      <c r="G144" s="707"/>
      <c r="H144" s="707"/>
      <c r="I144" s="707"/>
      <c r="J144" s="707"/>
      <c r="K144" s="707"/>
      <c r="L144" s="707"/>
      <c r="M144" s="707"/>
      <c r="N144" s="707"/>
      <c r="O144" s="707"/>
      <c r="P144" s="707"/>
      <c r="Q144" s="707"/>
      <c r="R144" s="707"/>
      <c r="S144" s="707"/>
      <c r="T144" s="707"/>
      <c r="U144" s="707"/>
      <c r="V144" s="707"/>
      <c r="W144" s="707"/>
      <c r="X144" s="707"/>
      <c r="Y144" s="707"/>
      <c r="Z144" s="707"/>
      <c r="AA144" s="707"/>
      <c r="AB144" s="707"/>
      <c r="AC144" s="707"/>
      <c r="AD144" s="707"/>
      <c r="AE144" s="707"/>
      <c r="AF144" s="707"/>
      <c r="AG144" s="707"/>
      <c r="AH144" s="707"/>
      <c r="AI144" s="707"/>
      <c r="AJ144" s="176"/>
      <c r="AK144" s="176"/>
      <c r="AL144" s="176"/>
      <c r="AM144" s="176"/>
      <c r="AN144" s="176"/>
      <c r="AO144" s="176"/>
      <c r="AP144" s="176"/>
      <c r="AQ144" s="188"/>
      <c r="AR144" s="188"/>
      <c r="AS144" s="188"/>
      <c r="AT144" s="176"/>
      <c r="AU144" s="176"/>
      <c r="AV144" s="176"/>
      <c r="AW144" s="176"/>
      <c r="AX144" s="176"/>
      <c r="AY144" s="176"/>
      <c r="AZ144" s="133"/>
      <c r="BA144" s="133"/>
      <c r="BB144" s="133"/>
      <c r="BC144" s="133"/>
      <c r="BD144" s="133"/>
      <c r="BE144" s="133"/>
      <c r="BF144" s="133"/>
      <c r="BG144" s="133"/>
      <c r="BH144" s="133"/>
      <c r="BI144" s="133"/>
      <c r="BJ144" s="133"/>
    </row>
    <row r="145" spans="1:62" ht="4.5" customHeight="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  <c r="AF145" s="175"/>
      <c r="AG145" s="175"/>
      <c r="AH145" s="175"/>
      <c r="AI145" s="175"/>
      <c r="AJ145" s="176"/>
      <c r="AK145" s="176"/>
      <c r="AL145" s="176"/>
      <c r="AM145" s="176"/>
      <c r="AN145" s="176"/>
      <c r="AO145" s="176"/>
      <c r="AP145" s="176"/>
      <c r="AQ145" s="173"/>
      <c r="AR145" s="173"/>
      <c r="AS145" s="173"/>
      <c r="AT145" s="176"/>
      <c r="AU145" s="176"/>
      <c r="AV145" s="176"/>
      <c r="AW145" s="176"/>
      <c r="AX145" s="176"/>
      <c r="AY145" s="176"/>
      <c r="AZ145" s="133"/>
      <c r="BA145" s="133"/>
      <c r="BB145" s="133"/>
      <c r="BC145" s="133"/>
      <c r="BD145" s="133"/>
      <c r="BE145" s="133"/>
      <c r="BF145" s="133"/>
      <c r="BG145" s="133"/>
      <c r="BH145" s="133"/>
      <c r="BI145" s="133"/>
      <c r="BJ145" s="133"/>
    </row>
    <row r="146" spans="1:62" ht="12.75" customHeight="1">
      <c r="A146" s="722" t="s">
        <v>514</v>
      </c>
      <c r="B146" s="707"/>
      <c r="C146" s="707"/>
      <c r="D146" s="707"/>
      <c r="E146" s="707"/>
      <c r="F146" s="707"/>
      <c r="G146" s="707"/>
      <c r="H146" s="707"/>
      <c r="I146" s="707"/>
      <c r="J146" s="707"/>
      <c r="K146" s="829" t="s">
        <v>515</v>
      </c>
      <c r="L146" s="755" t="s">
        <v>262</v>
      </c>
      <c r="M146" s="729" t="s">
        <v>365</v>
      </c>
      <c r="N146" s="760">
        <v>1</v>
      </c>
      <c r="O146" s="724"/>
      <c r="P146" s="724"/>
      <c r="Q146" s="724"/>
      <c r="R146" s="724"/>
      <c r="S146" s="133"/>
      <c r="T146" s="133"/>
      <c r="U146" s="829" t="s">
        <v>515</v>
      </c>
      <c r="V146" s="755" t="s">
        <v>262</v>
      </c>
      <c r="W146" s="722">
        <f>AI131/SIN(AI132*PI()/180*0.5)</f>
        <v>0.5847608800326175</v>
      </c>
      <c r="X146" s="707"/>
      <c r="Y146" s="707"/>
      <c r="Z146" s="707"/>
      <c r="AA146" s="133"/>
      <c r="AB146" s="757" t="s">
        <v>516</v>
      </c>
      <c r="AC146" s="707"/>
      <c r="AD146" s="707"/>
      <c r="AE146" s="721" t="s">
        <v>262</v>
      </c>
      <c r="AF146" s="733">
        <f>EXP(W146*(AI133*PI()/180))</f>
        <v>6.2781822303676833</v>
      </c>
      <c r="AG146" s="707"/>
      <c r="AH146" s="707"/>
      <c r="AI146" s="128"/>
      <c r="AJ146" s="128"/>
      <c r="AK146" s="128"/>
      <c r="AL146" s="128"/>
      <c r="AM146" s="128"/>
      <c r="AN146" s="128"/>
      <c r="AO146" s="128"/>
      <c r="AP146" s="128"/>
      <c r="AQ146" s="197"/>
      <c r="AR146" s="180"/>
      <c r="AS146" s="171"/>
      <c r="AT146" s="171"/>
      <c r="AU146" s="171"/>
      <c r="AV146" s="146"/>
      <c r="AW146" s="146"/>
      <c r="AX146" s="146"/>
      <c r="AY146" s="146"/>
      <c r="AZ146" s="146"/>
      <c r="BA146" s="146"/>
      <c r="BB146" s="146"/>
      <c r="BC146" s="128"/>
      <c r="BD146" s="128"/>
      <c r="BE146" s="128"/>
      <c r="BF146" s="128"/>
      <c r="BG146" s="128"/>
      <c r="BH146" s="128"/>
      <c r="BI146" s="128"/>
      <c r="BJ146" s="128"/>
    </row>
    <row r="147" spans="1:62" ht="12.75" customHeight="1">
      <c r="A147" s="707"/>
      <c r="B147" s="707"/>
      <c r="C147" s="707"/>
      <c r="D147" s="707"/>
      <c r="E147" s="707"/>
      <c r="F147" s="707"/>
      <c r="G147" s="707"/>
      <c r="H147" s="707"/>
      <c r="I147" s="707"/>
      <c r="J147" s="707"/>
      <c r="K147" s="707"/>
      <c r="L147" s="707"/>
      <c r="M147" s="707"/>
      <c r="N147" s="198" t="s">
        <v>517</v>
      </c>
      <c r="O147" s="133"/>
      <c r="P147" s="128" t="s">
        <v>518</v>
      </c>
      <c r="Q147" s="133"/>
      <c r="R147" s="133"/>
      <c r="S147" s="133"/>
      <c r="T147" s="133"/>
      <c r="U147" s="707"/>
      <c r="V147" s="707"/>
      <c r="W147" s="707"/>
      <c r="X147" s="707"/>
      <c r="Y147" s="707"/>
      <c r="Z147" s="707"/>
      <c r="AA147" s="133"/>
      <c r="AB147" s="707"/>
      <c r="AC147" s="707"/>
      <c r="AD147" s="707"/>
      <c r="AE147" s="707"/>
      <c r="AF147" s="707"/>
      <c r="AG147" s="707"/>
      <c r="AH147" s="707"/>
      <c r="AI147" s="128"/>
      <c r="AJ147" s="128"/>
      <c r="AK147" s="128"/>
      <c r="AL147" s="128"/>
      <c r="AM147" s="128"/>
      <c r="AN147" s="128"/>
      <c r="AO147" s="128"/>
      <c r="AP147" s="128"/>
      <c r="AQ147" s="197"/>
      <c r="AR147" s="180"/>
      <c r="AS147" s="171"/>
      <c r="AT147" s="171"/>
      <c r="AU147" s="171"/>
      <c r="AV147" s="146"/>
      <c r="AW147" s="146"/>
      <c r="AX147" s="146"/>
      <c r="AY147" s="146"/>
      <c r="AZ147" s="146"/>
      <c r="BA147" s="146"/>
      <c r="BB147" s="146"/>
      <c r="BC147" s="128"/>
      <c r="BD147" s="128"/>
      <c r="BE147" s="128"/>
      <c r="BF147" s="128"/>
      <c r="BG147" s="128"/>
      <c r="BH147" s="128"/>
      <c r="BI147" s="128"/>
      <c r="BJ147" s="128"/>
    </row>
    <row r="148" spans="1:62" ht="6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72"/>
      <c r="AR148" s="133"/>
      <c r="AS148" s="133"/>
      <c r="AT148" s="133"/>
      <c r="AU148" s="133"/>
      <c r="AV148" s="133"/>
      <c r="AW148" s="133"/>
      <c r="AX148" s="133"/>
      <c r="AY148" s="133"/>
      <c r="AZ148" s="133"/>
      <c r="BA148" s="133"/>
      <c r="BB148" s="133"/>
      <c r="BC148" s="133"/>
      <c r="BD148" s="133"/>
      <c r="BE148" s="133"/>
      <c r="BF148" s="133"/>
      <c r="BG148" s="133"/>
      <c r="BH148" s="133"/>
      <c r="BI148" s="133"/>
      <c r="BJ148" s="133"/>
    </row>
    <row r="149" spans="1:62" ht="12" customHeight="1">
      <c r="A149" s="128" t="s">
        <v>519</v>
      </c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737"/>
      <c r="AJ149" s="707"/>
      <c r="AK149" s="133"/>
      <c r="AL149" s="133"/>
      <c r="AM149" s="133"/>
      <c r="AN149" s="133"/>
      <c r="AO149" s="133"/>
      <c r="AP149" s="133"/>
      <c r="AQ149" s="128"/>
      <c r="AR149" s="133"/>
      <c r="AS149" s="133"/>
      <c r="AT149" s="133"/>
      <c r="AU149" s="133"/>
      <c r="AV149" s="133"/>
      <c r="AW149" s="133"/>
      <c r="AX149" s="133"/>
      <c r="AY149" s="133"/>
      <c r="AZ149" s="133"/>
      <c r="BA149" s="133"/>
      <c r="BB149" s="133"/>
      <c r="BC149" s="133"/>
      <c r="BD149" s="133"/>
      <c r="BE149" s="133"/>
      <c r="BF149" s="133"/>
      <c r="BG149" s="133"/>
      <c r="BH149" s="133"/>
      <c r="BI149" s="133"/>
      <c r="BJ149" s="133"/>
    </row>
    <row r="150" spans="1:62" ht="5.2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  <c r="AY150" s="133"/>
      <c r="AZ150" s="133"/>
      <c r="BA150" s="133"/>
      <c r="BB150" s="133"/>
      <c r="BC150" s="133"/>
      <c r="BD150" s="133"/>
      <c r="BE150" s="133"/>
      <c r="BF150" s="133"/>
      <c r="BG150" s="133"/>
      <c r="BH150" s="133"/>
      <c r="BI150" s="133"/>
      <c r="BJ150" s="133"/>
    </row>
    <row r="151" spans="1:62" ht="15.75" customHeight="1">
      <c r="A151" s="755" t="s">
        <v>520</v>
      </c>
      <c r="B151" s="707"/>
      <c r="C151" s="721" t="s">
        <v>262</v>
      </c>
      <c r="D151" s="721" t="s">
        <v>521</v>
      </c>
      <c r="E151" s="707"/>
      <c r="F151" s="707"/>
      <c r="G151" s="707"/>
      <c r="H151" s="721" t="s">
        <v>262</v>
      </c>
      <c r="I151" s="721" t="s">
        <v>522</v>
      </c>
      <c r="J151" s="707"/>
      <c r="K151" s="721" t="s">
        <v>357</v>
      </c>
      <c r="L151" s="199" t="s">
        <v>523</v>
      </c>
      <c r="M151" s="199"/>
      <c r="N151" s="199" t="s">
        <v>316</v>
      </c>
      <c r="O151" s="199" t="s">
        <v>524</v>
      </c>
      <c r="P151" s="199"/>
      <c r="Q151" s="133"/>
      <c r="R151" s="133"/>
      <c r="S151" s="133"/>
      <c r="T151" s="721" t="s">
        <v>520</v>
      </c>
      <c r="U151" s="707"/>
      <c r="V151" s="721" t="s">
        <v>262</v>
      </c>
      <c r="W151" s="721">
        <f>9.81*((AI134+AI135)/2)</f>
        <v>375.36689699999999</v>
      </c>
      <c r="X151" s="707"/>
      <c r="Y151" s="707"/>
      <c r="Z151" s="722" t="s">
        <v>374</v>
      </c>
      <c r="AA151" s="707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</row>
    <row r="152" spans="1:62" ht="12" customHeight="1">
      <c r="A152" s="707"/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79">
        <v>2</v>
      </c>
      <c r="M152" s="637"/>
      <c r="N152" s="637"/>
      <c r="O152" s="637"/>
      <c r="P152" s="637"/>
      <c r="Q152" s="133"/>
      <c r="R152" s="133"/>
      <c r="S152" s="133"/>
      <c r="T152" s="707"/>
      <c r="U152" s="707"/>
      <c r="V152" s="707"/>
      <c r="W152" s="707"/>
      <c r="X152" s="707"/>
      <c r="Y152" s="707"/>
      <c r="Z152" s="707"/>
      <c r="AA152" s="707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</row>
    <row r="153" spans="1:62" ht="6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</row>
    <row r="154" spans="1:62" ht="12" customHeight="1">
      <c r="A154" s="128" t="s">
        <v>525</v>
      </c>
      <c r="B154" s="200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</row>
    <row r="155" spans="1:62" ht="6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</row>
    <row r="156" spans="1:62" ht="15" customHeight="1">
      <c r="A156" s="130" t="s">
        <v>526</v>
      </c>
      <c r="B156" s="133"/>
      <c r="C156" s="133"/>
      <c r="D156" s="133"/>
      <c r="E156" s="133"/>
      <c r="F156" s="133"/>
      <c r="G156" s="133"/>
      <c r="H156" s="133"/>
      <c r="I156" s="133"/>
      <c r="J156" s="737">
        <f>W151*AF146</f>
        <v>2356.6217826136563</v>
      </c>
      <c r="K156" s="707"/>
      <c r="L156" s="707"/>
      <c r="M156" s="707"/>
      <c r="N156" s="128" t="s">
        <v>374</v>
      </c>
      <c r="O156" s="128"/>
      <c r="P156" s="133"/>
      <c r="Q156" s="731" t="s">
        <v>527</v>
      </c>
      <c r="R156" s="707"/>
      <c r="S156" s="707"/>
      <c r="T156" s="128" t="s">
        <v>262</v>
      </c>
      <c r="U156" s="731">
        <f>J156</f>
        <v>2356.6217826136563</v>
      </c>
      <c r="V156" s="707"/>
      <c r="W156" s="707"/>
      <c r="X156" s="707"/>
      <c r="Y156" s="128" t="s">
        <v>374</v>
      </c>
      <c r="Z156" s="189" t="s">
        <v>383</v>
      </c>
      <c r="AA156" s="764">
        <f>IF(300&lt;=W151*2,W151*2,300)</f>
        <v>750.73379399999999</v>
      </c>
      <c r="AB156" s="707"/>
      <c r="AC156" s="707"/>
      <c r="AD156" s="707"/>
      <c r="AE156" s="128" t="s">
        <v>374</v>
      </c>
      <c r="AF156" s="128" t="s">
        <v>384</v>
      </c>
      <c r="AG156" s="128"/>
      <c r="AH156" s="128"/>
      <c r="AI156" s="128"/>
      <c r="AJ156" s="128"/>
      <c r="AK156" s="128"/>
      <c r="AL156" s="133"/>
      <c r="AM156" s="725" t="str">
        <f>IF(U156&gt;=AA156,"UYGUNDUR.","UYGUN DEĞİLDİR.")</f>
        <v>UYGUNDUR.</v>
      </c>
      <c r="AN156" s="710"/>
      <c r="AO156" s="710"/>
      <c r="AP156" s="710"/>
      <c r="AQ156" s="710"/>
      <c r="AR156" s="710"/>
      <c r="AS156" s="710"/>
      <c r="AT156" s="710"/>
      <c r="AU156" s="710"/>
      <c r="AV156" s="583"/>
      <c r="AW156" s="133"/>
      <c r="AX156" s="133"/>
      <c r="AY156" s="133"/>
      <c r="AZ156" s="834" t="s">
        <v>528</v>
      </c>
      <c r="BA156" s="707"/>
      <c r="BB156" s="707"/>
      <c r="BC156" s="707"/>
      <c r="BD156" s="133"/>
      <c r="BE156" s="133"/>
      <c r="BF156" s="133"/>
      <c r="BG156" s="133"/>
      <c r="BH156" s="133"/>
      <c r="BI156" s="133"/>
      <c r="BJ156" s="133"/>
    </row>
    <row r="157" spans="1:62" ht="7.5" customHeight="1">
      <c r="A157" s="133"/>
      <c r="B157" s="151"/>
      <c r="C157" s="151"/>
      <c r="D157" s="151"/>
      <c r="E157" s="151"/>
      <c r="F157" s="151"/>
      <c r="G157" s="149"/>
      <c r="H157" s="151"/>
      <c r="I157" s="151"/>
      <c r="J157" s="133"/>
      <c r="K157" s="133"/>
      <c r="L157" s="133"/>
      <c r="M157" s="133"/>
      <c r="N157" s="151"/>
      <c r="O157" s="151"/>
      <c r="P157" s="151"/>
      <c r="Q157" s="151"/>
      <c r="R157" s="151"/>
      <c r="S157" s="151"/>
      <c r="T157" s="144"/>
      <c r="U157" s="144"/>
      <c r="V157" s="20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33"/>
      <c r="AS157" s="133"/>
      <c r="AT157" s="133"/>
      <c r="AU157" s="133"/>
      <c r="AV157" s="133"/>
      <c r="AW157" s="133"/>
      <c r="AX157" s="133"/>
      <c r="AY157" s="133"/>
      <c r="AZ157" s="707"/>
      <c r="BA157" s="707"/>
      <c r="BB157" s="707"/>
      <c r="BC157" s="707"/>
      <c r="BD157" s="133"/>
      <c r="BE157" s="133"/>
      <c r="BF157" s="133"/>
      <c r="BG157" s="133"/>
      <c r="BH157" s="133"/>
      <c r="BI157" s="133"/>
      <c r="BJ157" s="133"/>
    </row>
    <row r="158" spans="1:62" ht="7.5" customHeight="1">
      <c r="A158" s="133"/>
      <c r="B158" s="151"/>
      <c r="C158" s="151"/>
      <c r="D158" s="151"/>
      <c r="E158" s="151"/>
      <c r="F158" s="151"/>
      <c r="G158" s="149"/>
      <c r="H158" s="151"/>
      <c r="I158" s="151"/>
      <c r="J158" s="133"/>
      <c r="K158" s="133"/>
      <c r="L158" s="133"/>
      <c r="M158" s="133"/>
      <c r="N158" s="151"/>
      <c r="O158" s="151"/>
      <c r="P158" s="151"/>
      <c r="Q158" s="151"/>
      <c r="R158" s="151"/>
      <c r="S158" s="151"/>
      <c r="T158" s="144"/>
      <c r="U158" s="144"/>
      <c r="V158" s="20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33"/>
      <c r="BG158" s="133"/>
      <c r="BH158" s="133"/>
      <c r="BI158" s="133"/>
      <c r="BJ158" s="133"/>
    </row>
    <row r="159" spans="1:62" ht="12.75" customHeight="1">
      <c r="A159" s="153" t="s">
        <v>529</v>
      </c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192"/>
      <c r="AO159" s="192"/>
      <c r="AP159" s="192"/>
      <c r="AQ159" s="192"/>
      <c r="AR159" s="192"/>
      <c r="AS159" s="192"/>
      <c r="AT159" s="192"/>
      <c r="AU159" s="192"/>
      <c r="AV159" s="192"/>
      <c r="AW159" s="192"/>
      <c r="AX159" s="192"/>
      <c r="AY159" s="176"/>
      <c r="AZ159" s="133"/>
      <c r="BA159" s="133"/>
      <c r="BB159" s="133"/>
      <c r="BC159" s="133"/>
      <c r="BD159" s="133"/>
      <c r="BE159" s="133"/>
      <c r="BF159" s="133"/>
      <c r="BG159" s="133"/>
      <c r="BH159" s="133"/>
      <c r="BI159" s="133"/>
      <c r="BJ159" s="133"/>
    </row>
    <row r="160" spans="1:62" ht="4.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33"/>
      <c r="BG160" s="133"/>
      <c r="BH160" s="133"/>
      <c r="BI160" s="133"/>
      <c r="BJ160" s="133"/>
    </row>
    <row r="161" spans="1:62" ht="12" customHeight="1">
      <c r="A161" s="133"/>
      <c r="B161" s="760" t="s">
        <v>509</v>
      </c>
      <c r="C161" s="724"/>
      <c r="D161" s="724"/>
      <c r="E161" s="724"/>
      <c r="F161" s="721" t="s">
        <v>262</v>
      </c>
      <c r="G161" s="734">
        <f>AI136/U156</f>
        <v>9.8021668858464448</v>
      </c>
      <c r="H161" s="707"/>
      <c r="I161" s="707"/>
      <c r="J161" s="774" t="s">
        <v>383</v>
      </c>
      <c r="K161" s="722">
        <v>8</v>
      </c>
      <c r="L161" s="707"/>
      <c r="M161" s="721" t="s">
        <v>384</v>
      </c>
      <c r="N161" s="707"/>
      <c r="O161" s="707"/>
      <c r="P161" s="707"/>
      <c r="Q161" s="707"/>
      <c r="R161" s="707"/>
      <c r="S161" s="707"/>
      <c r="T161" s="133"/>
      <c r="U161" s="725" t="str">
        <f>IF(G161&gt;=K161,"UYGUNDUR.","UYGUN DEĞİLDİR.")</f>
        <v>UYGUNDUR.</v>
      </c>
      <c r="V161" s="637"/>
      <c r="W161" s="637"/>
      <c r="X161" s="637"/>
      <c r="Y161" s="637"/>
      <c r="Z161" s="637"/>
      <c r="AA161" s="637"/>
      <c r="AB161" s="637"/>
      <c r="AC161" s="637"/>
      <c r="AD161" s="690"/>
      <c r="AE161" s="131"/>
      <c r="AF161" s="131"/>
      <c r="AG161" s="131"/>
      <c r="AH161" s="131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  <c r="BC161" s="133"/>
      <c r="BD161" s="133"/>
      <c r="BE161" s="133"/>
      <c r="BF161" s="133"/>
      <c r="BG161" s="133"/>
      <c r="BH161" s="133"/>
      <c r="BI161" s="133"/>
      <c r="BJ161" s="133"/>
    </row>
    <row r="162" spans="1:62" ht="12.75" customHeight="1">
      <c r="A162" s="133"/>
      <c r="B162" s="737" t="s">
        <v>527</v>
      </c>
      <c r="C162" s="707"/>
      <c r="D162" s="707"/>
      <c r="E162" s="707"/>
      <c r="F162" s="707"/>
      <c r="G162" s="707"/>
      <c r="H162" s="707"/>
      <c r="I162" s="707"/>
      <c r="J162" s="707"/>
      <c r="K162" s="707"/>
      <c r="L162" s="707"/>
      <c r="M162" s="707"/>
      <c r="N162" s="707"/>
      <c r="O162" s="707"/>
      <c r="P162" s="707"/>
      <c r="Q162" s="707"/>
      <c r="R162" s="707"/>
      <c r="S162" s="707"/>
      <c r="T162" s="133"/>
      <c r="U162" s="726"/>
      <c r="V162" s="724"/>
      <c r="W162" s="724"/>
      <c r="X162" s="724"/>
      <c r="Y162" s="724"/>
      <c r="Z162" s="724"/>
      <c r="AA162" s="724"/>
      <c r="AB162" s="724"/>
      <c r="AC162" s="724"/>
      <c r="AD162" s="727"/>
      <c r="AE162" s="131"/>
      <c r="AF162" s="131"/>
      <c r="AG162" s="131"/>
      <c r="AH162" s="131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  <c r="BC162" s="133"/>
      <c r="BD162" s="133"/>
      <c r="BE162" s="133"/>
      <c r="BF162" s="133"/>
      <c r="BG162" s="133"/>
      <c r="BH162" s="133"/>
      <c r="BI162" s="133"/>
      <c r="BJ162" s="133"/>
    </row>
    <row r="163" spans="1:62" ht="6" customHeight="1">
      <c r="A163" s="133"/>
      <c r="B163" s="149"/>
      <c r="C163" s="149"/>
      <c r="D163" s="149"/>
      <c r="E163" s="149"/>
      <c r="F163" s="149"/>
      <c r="G163" s="151"/>
      <c r="H163" s="151"/>
      <c r="I163" s="151"/>
      <c r="J163" s="146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33"/>
      <c r="BG163" s="133"/>
      <c r="BH163" s="133"/>
      <c r="BI163" s="133"/>
      <c r="BJ163" s="133"/>
    </row>
    <row r="164" spans="1:62" ht="12.75" customHeight="1">
      <c r="A164" s="792" t="s">
        <v>530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707"/>
      <c r="AB164" s="707"/>
      <c r="AC164" s="707"/>
      <c r="AD164" s="707"/>
      <c r="AE164" s="707"/>
      <c r="AF164" s="707"/>
      <c r="AG164" s="707"/>
      <c r="AH164" s="140"/>
      <c r="AI164" s="140"/>
      <c r="AJ164" s="140"/>
      <c r="AK164" s="140"/>
      <c r="AL164" s="140"/>
      <c r="AM164" s="140"/>
      <c r="AN164" s="14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28"/>
      <c r="AY164" s="130"/>
      <c r="AZ164" s="130"/>
      <c r="BA164" s="130"/>
      <c r="BB164" s="130"/>
      <c r="BC164" s="130"/>
      <c r="BD164" s="130"/>
      <c r="BE164" s="130"/>
      <c r="BF164" s="128"/>
      <c r="BG164" s="128"/>
      <c r="BH164" s="128"/>
      <c r="BI164" s="128"/>
      <c r="BJ164" s="128"/>
    </row>
    <row r="165" spans="1:62" ht="4.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28"/>
      <c r="AY165" s="130"/>
      <c r="AZ165" s="130"/>
      <c r="BA165" s="130"/>
      <c r="BB165" s="130"/>
      <c r="BC165" s="130"/>
      <c r="BD165" s="130"/>
      <c r="BE165" s="130"/>
      <c r="BF165" s="128"/>
      <c r="BG165" s="128"/>
      <c r="BH165" s="128"/>
      <c r="BI165" s="128"/>
      <c r="BJ165" s="128"/>
    </row>
    <row r="166" spans="1:62" ht="12" customHeight="1">
      <c r="A166" s="144" t="s">
        <v>531</v>
      </c>
      <c r="B166" s="128"/>
      <c r="C166" s="144" t="s">
        <v>532</v>
      </c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748">
        <f>IF('Veri Girişi'!C77="Arka",'Veri Girişi'!F108,'Veri Girişi'!F109)</f>
        <v>1182</v>
      </c>
      <c r="AE166" s="710"/>
      <c r="AF166" s="710"/>
      <c r="AG166" s="583"/>
      <c r="AH166" s="144" t="s">
        <v>122</v>
      </c>
      <c r="AI166" s="144"/>
      <c r="AJ166" s="144"/>
      <c r="AK166" s="150"/>
      <c r="AL166" s="150"/>
      <c r="AM166" s="150"/>
      <c r="AN166" s="150"/>
      <c r="AO166" s="150"/>
      <c r="AP166" s="150"/>
      <c r="AQ166" s="150"/>
      <c r="AR166" s="150"/>
      <c r="AS166" s="150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33"/>
      <c r="BI166" s="133"/>
      <c r="BJ166" s="133"/>
    </row>
    <row r="167" spans="1:62" ht="12" customHeight="1">
      <c r="A167" s="144" t="s">
        <v>533</v>
      </c>
      <c r="B167" s="128"/>
      <c r="C167" s="144" t="s">
        <v>534</v>
      </c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748">
        <f>'Veri Girişi'!F97</f>
        <v>230</v>
      </c>
      <c r="AE167" s="710"/>
      <c r="AF167" s="710"/>
      <c r="AG167" s="583"/>
      <c r="AH167" s="144" t="s">
        <v>122</v>
      </c>
      <c r="AI167" s="144"/>
      <c r="AJ167" s="144"/>
      <c r="AK167" s="150"/>
      <c r="AL167" s="150"/>
      <c r="AM167" s="150"/>
      <c r="AN167" s="150"/>
      <c r="AO167" s="150"/>
      <c r="AP167" s="150"/>
      <c r="AQ167" s="150"/>
      <c r="AR167" s="150"/>
      <c r="AS167" s="150"/>
      <c r="AT167" s="150"/>
      <c r="AU167" s="150"/>
      <c r="AV167" s="150"/>
      <c r="AW167" s="150"/>
      <c r="AX167" s="150"/>
      <c r="AY167" s="150"/>
      <c r="AZ167" s="150"/>
      <c r="BA167" s="150"/>
      <c r="BB167" s="150"/>
      <c r="BC167" s="150"/>
      <c r="BD167" s="150"/>
      <c r="BE167" s="150"/>
      <c r="BF167" s="150"/>
      <c r="BG167" s="150"/>
      <c r="BH167" s="133"/>
      <c r="BI167" s="133"/>
      <c r="BJ167" s="133"/>
    </row>
    <row r="168" spans="1:62" ht="12" customHeight="1">
      <c r="A168" s="144" t="s">
        <v>535</v>
      </c>
      <c r="B168" s="128"/>
      <c r="C168" s="144" t="s">
        <v>536</v>
      </c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748">
        <f>'Veri Girişi'!F98</f>
        <v>172</v>
      </c>
      <c r="AE168" s="710"/>
      <c r="AF168" s="710"/>
      <c r="AG168" s="583"/>
      <c r="AH168" s="144" t="s">
        <v>122</v>
      </c>
      <c r="AI168" s="144"/>
      <c r="AJ168" s="144"/>
      <c r="AK168" s="150"/>
      <c r="AL168" s="150"/>
      <c r="AM168" s="150"/>
      <c r="AN168" s="150"/>
      <c r="AO168" s="150"/>
      <c r="AP168" s="150"/>
      <c r="AQ168" s="150"/>
      <c r="AR168" s="150"/>
      <c r="AS168" s="150"/>
      <c r="AT168" s="150"/>
      <c r="AU168" s="150"/>
      <c r="AV168" s="150"/>
      <c r="AW168" s="150"/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33"/>
      <c r="BI168" s="133"/>
      <c r="BJ168" s="133"/>
    </row>
    <row r="169" spans="1:62" ht="12" customHeight="1">
      <c r="A169" s="144" t="s">
        <v>537</v>
      </c>
      <c r="B169" s="128"/>
      <c r="C169" s="144" t="s">
        <v>538</v>
      </c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748">
        <f>'Veri Girişi'!F99/2</f>
        <v>120</v>
      </c>
      <c r="AE169" s="710"/>
      <c r="AF169" s="710"/>
      <c r="AG169" s="583"/>
      <c r="AH169" s="144" t="s">
        <v>122</v>
      </c>
      <c r="AI169" s="144"/>
      <c r="AJ169" s="144"/>
      <c r="AK169" s="150"/>
      <c r="AL169" s="150"/>
      <c r="AM169" s="150"/>
      <c r="AN169" s="150"/>
      <c r="AO169" s="150"/>
      <c r="AP169" s="150"/>
      <c r="AQ169" s="150"/>
      <c r="AR169" s="150"/>
      <c r="AS169" s="150"/>
      <c r="AT169" s="150"/>
      <c r="AU169" s="150"/>
      <c r="AV169" s="150"/>
      <c r="AW169" s="150"/>
      <c r="AX169" s="150"/>
      <c r="AY169" s="150"/>
      <c r="AZ169" s="150"/>
      <c r="BA169" s="150"/>
      <c r="BB169" s="150"/>
      <c r="BC169" s="150"/>
      <c r="BD169" s="150"/>
      <c r="BE169" s="150"/>
      <c r="BF169" s="150"/>
      <c r="BG169" s="150"/>
      <c r="BH169" s="133"/>
      <c r="BI169" s="133"/>
      <c r="BJ169" s="133"/>
    </row>
    <row r="170" spans="1:62" ht="12" customHeight="1">
      <c r="A170" s="144" t="s">
        <v>539</v>
      </c>
      <c r="B170" s="128"/>
      <c r="C170" s="144" t="s">
        <v>540</v>
      </c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748">
        <f>'Veri Girişi'!F101</f>
        <v>1100</v>
      </c>
      <c r="AE170" s="710"/>
      <c r="AF170" s="710"/>
      <c r="AG170" s="583"/>
      <c r="AH170" s="144" t="s">
        <v>122</v>
      </c>
      <c r="AI170" s="164"/>
      <c r="AJ170" s="164"/>
      <c r="AK170" s="150"/>
      <c r="AL170" s="150"/>
      <c r="AM170" s="150"/>
      <c r="AN170" s="150"/>
      <c r="AO170" s="150"/>
      <c r="AP170" s="150"/>
      <c r="AQ170" s="150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50"/>
      <c r="BC170" s="150"/>
      <c r="BD170" s="150"/>
      <c r="BE170" s="150"/>
      <c r="BF170" s="150"/>
      <c r="BG170" s="150"/>
      <c r="BH170" s="133"/>
      <c r="BI170" s="133"/>
      <c r="BJ170" s="133"/>
    </row>
    <row r="171" spans="1:62" ht="6" customHeight="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9"/>
      <c r="AB171" s="159"/>
      <c r="AC171" s="159"/>
      <c r="AD171" s="159"/>
      <c r="AE171" s="159"/>
      <c r="AF171" s="159"/>
      <c r="AG171" s="159"/>
      <c r="AH171" s="150"/>
      <c r="AI171" s="150"/>
      <c r="AJ171" s="150"/>
      <c r="AK171" s="150"/>
      <c r="AL171" s="150"/>
      <c r="AM171" s="150"/>
      <c r="AN171" s="150"/>
      <c r="AO171" s="150"/>
      <c r="AP171" s="150"/>
      <c r="AQ171" s="150"/>
      <c r="AR171" s="747"/>
      <c r="AS171" s="707"/>
      <c r="AT171" s="707"/>
      <c r="AU171" s="707"/>
      <c r="AV171" s="707"/>
      <c r="AW171" s="707"/>
      <c r="AX171" s="707"/>
      <c r="AY171" s="707"/>
      <c r="AZ171" s="707"/>
      <c r="BA171" s="707"/>
      <c r="BB171" s="150"/>
      <c r="BC171" s="150"/>
      <c r="BD171" s="150"/>
      <c r="BE171" s="150"/>
      <c r="BF171" s="150"/>
      <c r="BG171" s="150"/>
      <c r="BH171" s="133"/>
      <c r="BI171" s="133"/>
      <c r="BJ171" s="133"/>
    </row>
    <row r="172" spans="1:62" ht="12.75" customHeight="1">
      <c r="A172" s="153" t="s">
        <v>541</v>
      </c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50"/>
      <c r="AA172" s="159"/>
      <c r="AB172" s="159"/>
      <c r="AC172" s="159"/>
      <c r="AD172" s="159"/>
      <c r="AE172" s="159"/>
      <c r="AF172" s="159"/>
      <c r="AG172" s="159"/>
      <c r="AH172" s="150"/>
      <c r="AI172" s="150"/>
      <c r="AJ172" s="150"/>
      <c r="AK172" s="150"/>
      <c r="AL172" s="150"/>
      <c r="AM172" s="150"/>
      <c r="AN172" s="150"/>
      <c r="AO172" s="150"/>
      <c r="AP172" s="150"/>
      <c r="AQ172" s="150"/>
      <c r="AR172" s="747"/>
      <c r="AS172" s="707"/>
      <c r="AT172" s="707"/>
      <c r="AU172" s="707"/>
      <c r="AV172" s="707"/>
      <c r="AW172" s="707"/>
      <c r="AX172" s="707"/>
      <c r="AY172" s="707"/>
      <c r="AZ172" s="707"/>
      <c r="BA172" s="707"/>
      <c r="BB172" s="150"/>
      <c r="BC172" s="150"/>
      <c r="BD172" s="150"/>
      <c r="BE172" s="150"/>
      <c r="BF172" s="150"/>
      <c r="BG172" s="150"/>
      <c r="BH172" s="133"/>
      <c r="BI172" s="133"/>
      <c r="BJ172" s="133"/>
    </row>
    <row r="173" spans="1:62" ht="12" customHeight="1">
      <c r="A173" s="144" t="s">
        <v>542</v>
      </c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788"/>
      <c r="AS173" s="707"/>
      <c r="AT173" s="707"/>
      <c r="AU173" s="707"/>
      <c r="AV173" s="707"/>
      <c r="AW173" s="707"/>
      <c r="AX173" s="707"/>
      <c r="AY173" s="707"/>
      <c r="AZ173" s="707"/>
      <c r="BA173" s="707"/>
      <c r="BB173" s="157"/>
      <c r="BC173" s="157"/>
      <c r="BD173" s="157"/>
      <c r="BE173" s="157"/>
      <c r="BF173" s="157"/>
      <c r="BG173" s="157"/>
      <c r="BH173" s="133"/>
      <c r="BI173" s="133"/>
      <c r="BJ173" s="133"/>
    </row>
    <row r="174" spans="1:62" ht="15.75" customHeight="1">
      <c r="A174" s="157"/>
      <c r="B174" s="130" t="s">
        <v>543</v>
      </c>
      <c r="C174" s="130"/>
      <c r="D174" s="130"/>
      <c r="E174" s="130"/>
      <c r="F174" s="130"/>
      <c r="G174" s="130"/>
      <c r="H174" s="130"/>
      <c r="I174" s="130"/>
      <c r="J174" s="737">
        <f>AD166</f>
        <v>1182</v>
      </c>
      <c r="K174" s="707"/>
      <c r="L174" s="707"/>
      <c r="M174" s="707"/>
      <c r="N174" s="130" t="s">
        <v>317</v>
      </c>
      <c r="O174" s="130">
        <v>2</v>
      </c>
      <c r="P174" s="130" t="s">
        <v>357</v>
      </c>
      <c r="Q174" s="737">
        <f>AD169</f>
        <v>120</v>
      </c>
      <c r="R174" s="707"/>
      <c r="S174" s="707"/>
      <c r="T174" s="130" t="s">
        <v>262</v>
      </c>
      <c r="U174" s="737">
        <f>AD166-2*AD169</f>
        <v>942</v>
      </c>
      <c r="V174" s="707"/>
      <c r="W174" s="707"/>
      <c r="X174" s="130" t="s">
        <v>122</v>
      </c>
      <c r="Y174" s="130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50"/>
      <c r="AX174" s="150"/>
      <c r="AY174" s="150"/>
      <c r="AZ174" s="150"/>
      <c r="BA174" s="150"/>
      <c r="BB174" s="150"/>
      <c r="BC174" s="150"/>
      <c r="BD174" s="150"/>
      <c r="BE174" s="150"/>
      <c r="BF174" s="150"/>
      <c r="BG174" s="150"/>
      <c r="BH174" s="133"/>
      <c r="BI174" s="133"/>
      <c r="BJ174" s="133"/>
    </row>
    <row r="175" spans="1:62" ht="3.75" customHeight="1">
      <c r="A175" s="150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50"/>
      <c r="AX175" s="150"/>
      <c r="AY175" s="150"/>
      <c r="AZ175" s="150"/>
      <c r="BA175" s="150"/>
      <c r="BB175" s="150"/>
      <c r="BC175" s="150"/>
      <c r="BD175" s="150"/>
      <c r="BE175" s="150"/>
      <c r="BF175" s="150"/>
      <c r="BG175" s="150"/>
      <c r="BH175" s="133"/>
      <c r="BI175" s="133"/>
      <c r="BJ175" s="133"/>
    </row>
    <row r="176" spans="1:62" ht="12.75" customHeight="1">
      <c r="A176" s="144" t="s">
        <v>544</v>
      </c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33"/>
      <c r="BI176" s="133"/>
      <c r="BJ176" s="133"/>
    </row>
    <row r="177" spans="1:62" ht="4.5" customHeight="1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50"/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33"/>
      <c r="BI177" s="133"/>
      <c r="BJ177" s="133"/>
    </row>
    <row r="178" spans="1:62" ht="12" customHeight="1">
      <c r="A178" s="157"/>
      <c r="B178" s="130" t="s">
        <v>261</v>
      </c>
      <c r="C178" s="130" t="s">
        <v>262</v>
      </c>
      <c r="D178" s="130" t="s">
        <v>545</v>
      </c>
      <c r="E178" s="130"/>
      <c r="F178" s="130"/>
      <c r="G178" s="130"/>
      <c r="H178" s="130"/>
      <c r="I178" s="130"/>
      <c r="J178" s="130"/>
      <c r="K178" s="128"/>
      <c r="L178" s="130" t="s">
        <v>261</v>
      </c>
      <c r="M178" s="130" t="s">
        <v>262</v>
      </c>
      <c r="N178" s="737">
        <f>AD170</f>
        <v>1100</v>
      </c>
      <c r="O178" s="707"/>
      <c r="P178" s="707"/>
      <c r="Q178" s="130" t="s">
        <v>317</v>
      </c>
      <c r="R178" s="737">
        <f>AD167</f>
        <v>230</v>
      </c>
      <c r="S178" s="707"/>
      <c r="T178" s="707"/>
      <c r="U178" s="130" t="s">
        <v>316</v>
      </c>
      <c r="V178" s="737">
        <f>AD168</f>
        <v>172</v>
      </c>
      <c r="W178" s="707"/>
      <c r="X178" s="707"/>
      <c r="Y178" s="130" t="s">
        <v>262</v>
      </c>
      <c r="Z178" s="737">
        <f>N178-R178+V178</f>
        <v>1042</v>
      </c>
      <c r="AA178" s="707"/>
      <c r="AB178" s="707"/>
      <c r="AC178" s="130" t="s">
        <v>122</v>
      </c>
      <c r="AD178" s="128"/>
      <c r="AE178" s="133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57"/>
      <c r="BG178" s="157"/>
      <c r="BH178" s="133"/>
      <c r="BI178" s="133"/>
      <c r="BJ178" s="133"/>
    </row>
    <row r="179" spans="1:62" ht="5.25" customHeight="1">
      <c r="A179" s="150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50"/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33"/>
      <c r="BI179" s="133"/>
      <c r="BJ179" s="133"/>
    </row>
    <row r="180" spans="1:62" ht="12.75" customHeight="1">
      <c r="A180" s="144" t="s">
        <v>546</v>
      </c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9"/>
      <c r="AB180" s="159"/>
      <c r="AC180" s="159"/>
      <c r="AD180" s="159"/>
      <c r="AE180" s="159"/>
      <c r="AF180" s="159"/>
      <c r="AG180" s="159"/>
      <c r="AH180" s="150"/>
      <c r="AI180" s="150"/>
      <c r="AJ180" s="150"/>
      <c r="AK180" s="150"/>
      <c r="AL180" s="150"/>
      <c r="AM180" s="150"/>
      <c r="AN180" s="150"/>
      <c r="AO180" s="150"/>
      <c r="AP180" s="150"/>
      <c r="AQ180" s="150"/>
      <c r="AR180" s="150"/>
      <c r="AS180" s="150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33"/>
      <c r="BI180" s="133"/>
      <c r="BJ180" s="133"/>
    </row>
    <row r="181" spans="1:62" ht="4.5" customHeight="1">
      <c r="A181" s="153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9"/>
      <c r="AB181" s="159"/>
      <c r="AC181" s="159"/>
      <c r="AD181" s="159"/>
      <c r="AE181" s="159"/>
      <c r="AF181" s="159"/>
      <c r="AG181" s="159"/>
      <c r="AH181" s="150"/>
      <c r="AI181" s="150"/>
      <c r="AJ181" s="150"/>
      <c r="AK181" s="150"/>
      <c r="AL181" s="150"/>
      <c r="AM181" s="150"/>
      <c r="AN181" s="150"/>
      <c r="AO181" s="150"/>
      <c r="AP181" s="150"/>
      <c r="AQ181" s="150"/>
      <c r="AR181" s="150"/>
      <c r="AS181" s="150"/>
      <c r="AT181" s="150"/>
      <c r="AU181" s="150"/>
      <c r="AV181" s="150"/>
      <c r="AW181" s="150"/>
      <c r="AX181" s="150"/>
      <c r="AY181" s="150"/>
      <c r="AZ181" s="150"/>
      <c r="BA181" s="150"/>
      <c r="BB181" s="150"/>
      <c r="BC181" s="150"/>
      <c r="BD181" s="150"/>
      <c r="BE181" s="150"/>
      <c r="BF181" s="150"/>
      <c r="BG181" s="150"/>
      <c r="BH181" s="133"/>
      <c r="BI181" s="133"/>
      <c r="BJ181" s="133"/>
    </row>
    <row r="182" spans="1:62" ht="12.75" customHeight="1">
      <c r="A182" s="721" t="s">
        <v>547</v>
      </c>
      <c r="B182" s="707"/>
      <c r="C182" s="150" t="s">
        <v>548</v>
      </c>
      <c r="D182" s="144" t="s">
        <v>262</v>
      </c>
      <c r="E182" s="144" t="s">
        <v>549</v>
      </c>
      <c r="F182" s="128"/>
      <c r="G182" s="144"/>
      <c r="H182" s="144"/>
      <c r="I182" s="133"/>
      <c r="J182" s="133"/>
      <c r="K182" s="144"/>
      <c r="L182" s="721" t="s">
        <v>547</v>
      </c>
      <c r="M182" s="707"/>
      <c r="N182" s="150" t="s">
        <v>548</v>
      </c>
      <c r="O182" s="144" t="s">
        <v>262</v>
      </c>
      <c r="P182" s="721">
        <f>U174</f>
        <v>942</v>
      </c>
      <c r="Q182" s="707"/>
      <c r="R182" s="707"/>
      <c r="S182" s="144" t="s">
        <v>436</v>
      </c>
      <c r="T182" s="721">
        <f>Z178</f>
        <v>1042</v>
      </c>
      <c r="U182" s="707"/>
      <c r="V182" s="707"/>
      <c r="W182" s="128"/>
      <c r="X182" s="144"/>
      <c r="Y182" s="150" t="s">
        <v>548</v>
      </c>
      <c r="Z182" s="144" t="s">
        <v>262</v>
      </c>
      <c r="AA182" s="144" t="s">
        <v>550</v>
      </c>
      <c r="AB182" s="144"/>
      <c r="AC182" s="144"/>
      <c r="AD182" s="144"/>
      <c r="AE182" s="144" t="s">
        <v>413</v>
      </c>
      <c r="AF182" s="721">
        <f>P182</f>
        <v>942</v>
      </c>
      <c r="AG182" s="707"/>
      <c r="AH182" s="707"/>
      <c r="AI182" s="144" t="s">
        <v>436</v>
      </c>
      <c r="AJ182" s="721">
        <f>T182</f>
        <v>1042</v>
      </c>
      <c r="AK182" s="707"/>
      <c r="AL182" s="707"/>
      <c r="AM182" s="144" t="s">
        <v>414</v>
      </c>
      <c r="AN182" s="144"/>
      <c r="AO182" s="144"/>
      <c r="AP182" s="150" t="s">
        <v>548</v>
      </c>
      <c r="AQ182" s="144" t="s">
        <v>262</v>
      </c>
      <c r="AR182" s="795">
        <f>ATAN2(AJ182,AF182)</f>
        <v>0.73503755553027672</v>
      </c>
      <c r="AS182" s="707"/>
      <c r="AT182" s="707"/>
      <c r="AU182" s="146" t="s">
        <v>551</v>
      </c>
      <c r="AV182" s="146"/>
      <c r="AW182" s="146"/>
      <c r="AX182" s="146"/>
      <c r="AY182" s="146"/>
      <c r="AZ182" s="128"/>
      <c r="BA182" s="128"/>
      <c r="BB182" s="128"/>
      <c r="BC182" s="128"/>
      <c r="BD182" s="128"/>
      <c r="BE182" s="128"/>
      <c r="BF182" s="150"/>
      <c r="BG182" s="150"/>
      <c r="BH182" s="150"/>
      <c r="BI182" s="150"/>
      <c r="BJ182" s="150"/>
    </row>
    <row r="183" spans="1:62" ht="4.5" customHeight="1">
      <c r="A183" s="150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  <c r="AN183" s="144"/>
      <c r="AO183" s="144"/>
      <c r="AP183" s="128"/>
      <c r="AQ183" s="128"/>
      <c r="AR183" s="128"/>
      <c r="AS183" s="128"/>
      <c r="AT183" s="128"/>
      <c r="AU183" s="128"/>
      <c r="AV183" s="144"/>
      <c r="AW183" s="150"/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</row>
    <row r="184" spans="1:62" ht="12" customHeight="1">
      <c r="A184" s="157" t="s">
        <v>548</v>
      </c>
      <c r="B184" s="130" t="s">
        <v>262</v>
      </c>
      <c r="C184" s="731">
        <f>AR182*180/PI()</f>
        <v>42.114549715497745</v>
      </c>
      <c r="D184" s="707"/>
      <c r="E184" s="128" t="s">
        <v>162</v>
      </c>
      <c r="F184" s="128"/>
      <c r="G184" s="128" t="s">
        <v>432</v>
      </c>
      <c r="H184" s="128"/>
      <c r="I184" s="128"/>
      <c r="J184" s="202" t="s">
        <v>552</v>
      </c>
      <c r="K184" s="130" t="s">
        <v>262</v>
      </c>
      <c r="L184" s="737">
        <v>180</v>
      </c>
      <c r="M184" s="707"/>
      <c r="N184" s="707"/>
      <c r="O184" s="130" t="s">
        <v>317</v>
      </c>
      <c r="P184" s="737">
        <f>C184</f>
        <v>42.114549715497745</v>
      </c>
      <c r="Q184" s="707"/>
      <c r="R184" s="137" t="s">
        <v>262</v>
      </c>
      <c r="S184" s="731">
        <f>L184-P184</f>
        <v>137.88545028450227</v>
      </c>
      <c r="T184" s="707"/>
      <c r="U184" s="707"/>
      <c r="V184" s="130" t="s">
        <v>162</v>
      </c>
      <c r="W184" s="133"/>
      <c r="X184" s="128"/>
      <c r="Y184" s="202" t="s">
        <v>552</v>
      </c>
      <c r="Z184" s="130" t="s">
        <v>262</v>
      </c>
      <c r="AA184" s="764">
        <f>S184*PI()/180</f>
        <v>2.4065550980595165</v>
      </c>
      <c r="AB184" s="707"/>
      <c r="AC184" s="707"/>
      <c r="AD184" s="146" t="s">
        <v>551</v>
      </c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96"/>
      <c r="AR184" s="196"/>
      <c r="AS184" s="196"/>
      <c r="AT184" s="196"/>
      <c r="AU184" s="196"/>
      <c r="AV184" s="196"/>
      <c r="AW184" s="133"/>
      <c r="AX184" s="133"/>
      <c r="AY184" s="133"/>
      <c r="AZ184" s="155"/>
      <c r="BA184" s="155"/>
      <c r="BB184" s="155"/>
      <c r="BC184" s="155"/>
      <c r="BD184" s="155"/>
      <c r="BE184" s="155"/>
      <c r="BF184" s="155"/>
      <c r="BG184" s="155"/>
      <c r="BH184" s="155"/>
      <c r="BI184" s="155"/>
      <c r="BJ184" s="155"/>
    </row>
    <row r="185" spans="1:62" ht="6" customHeight="1">
      <c r="A185" s="150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50"/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</row>
    <row r="186" spans="1:62" ht="12" customHeight="1">
      <c r="A186" s="153" t="s">
        <v>553</v>
      </c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203"/>
      <c r="R186" s="203"/>
      <c r="S186" s="203"/>
      <c r="T186" s="150"/>
      <c r="U186" s="150"/>
      <c r="V186" s="150"/>
      <c r="W186" s="150"/>
      <c r="X186" s="150"/>
      <c r="Y186" s="150"/>
      <c r="Z186" s="150"/>
      <c r="AA186" s="150"/>
      <c r="AB186" s="150"/>
      <c r="AC186" s="150"/>
      <c r="AD186" s="150"/>
      <c r="AE186" s="150"/>
      <c r="AF186" s="150"/>
      <c r="AG186" s="150"/>
      <c r="AH186" s="150"/>
      <c r="AI186" s="150"/>
      <c r="AJ186" s="150"/>
      <c r="AK186" s="150"/>
      <c r="AL186" s="150"/>
      <c r="AM186" s="150"/>
      <c r="AN186" s="150"/>
      <c r="AO186" s="150"/>
      <c r="AP186" s="150"/>
      <c r="AQ186" s="150"/>
      <c r="AR186" s="150"/>
      <c r="AS186" s="150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33"/>
    </row>
    <row r="187" spans="1:62" ht="5.25" customHeight="1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  <c r="AC187" s="150"/>
      <c r="AD187" s="150"/>
      <c r="AE187" s="150"/>
      <c r="AF187" s="150"/>
      <c r="AG187" s="150"/>
      <c r="AH187" s="150"/>
      <c r="AI187" s="150"/>
      <c r="AJ187" s="150"/>
      <c r="AK187" s="150"/>
      <c r="AL187" s="150"/>
      <c r="AM187" s="150"/>
      <c r="AN187" s="150"/>
      <c r="AO187" s="150"/>
      <c r="AP187" s="150"/>
      <c r="AQ187" s="150"/>
      <c r="AR187" s="150"/>
      <c r="AS187" s="150"/>
      <c r="AT187" s="150"/>
      <c r="AU187" s="150"/>
      <c r="AV187" s="150"/>
      <c r="AW187" s="150"/>
      <c r="AX187" s="150"/>
      <c r="AY187" s="150"/>
      <c r="AZ187" s="150"/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33"/>
    </row>
    <row r="188" spans="1:62" ht="12" customHeight="1">
      <c r="A188" s="144" t="s">
        <v>554</v>
      </c>
      <c r="B188" s="150"/>
      <c r="C188" s="150"/>
      <c r="D188" s="150"/>
      <c r="E188" s="150"/>
      <c r="F188" s="150"/>
      <c r="G188" s="150"/>
      <c r="H188" s="150"/>
      <c r="I188" s="133"/>
      <c r="J188" s="133"/>
      <c r="K188" s="133"/>
      <c r="L188" s="133"/>
      <c r="M188" s="133"/>
      <c r="N188" s="150"/>
      <c r="O188" s="150"/>
      <c r="P188" s="150"/>
      <c r="Q188" s="150"/>
      <c r="R188" s="150" t="s">
        <v>308</v>
      </c>
      <c r="S188" s="150"/>
      <c r="T188" s="204" t="s">
        <v>501</v>
      </c>
      <c r="U188" s="144" t="s">
        <v>262</v>
      </c>
      <c r="V188" s="722">
        <v>0.1</v>
      </c>
      <c r="W188" s="707"/>
      <c r="X188" s="707"/>
      <c r="Y188" s="150"/>
      <c r="Z188" s="150"/>
      <c r="AA188" s="150"/>
      <c r="AB188" s="133"/>
      <c r="AC188" s="150"/>
      <c r="AD188" s="150"/>
      <c r="AE188" s="150"/>
      <c r="AF188" s="150"/>
      <c r="AG188" s="150"/>
      <c r="AH188" s="150"/>
      <c r="AI188" s="150"/>
      <c r="AJ188" s="150"/>
      <c r="AK188" s="150"/>
      <c r="AL188" s="150"/>
      <c r="AM188" s="150"/>
      <c r="AN188" s="150"/>
      <c r="AO188" s="150"/>
      <c r="AP188" s="150"/>
      <c r="AQ188" s="150"/>
      <c r="AR188" s="133"/>
      <c r="AS188" s="150"/>
      <c r="AT188" s="150"/>
      <c r="AU188" s="150"/>
      <c r="AV188" s="150"/>
      <c r="AW188" s="150"/>
      <c r="AX188" s="150"/>
      <c r="AY188" s="150"/>
      <c r="AZ188" s="150"/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33"/>
    </row>
    <row r="189" spans="1:62" ht="5.25" customHeight="1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  <c r="AC189" s="150"/>
      <c r="AD189" s="150"/>
      <c r="AE189" s="150"/>
      <c r="AF189" s="150"/>
      <c r="AG189" s="150"/>
      <c r="AH189" s="150"/>
      <c r="AI189" s="150"/>
      <c r="AJ189" s="150"/>
      <c r="AK189" s="150"/>
      <c r="AL189" s="150"/>
      <c r="AM189" s="150"/>
      <c r="AN189" s="150"/>
      <c r="AO189" s="150"/>
      <c r="AP189" s="150"/>
      <c r="AQ189" s="150"/>
      <c r="AR189" s="150"/>
      <c r="AS189" s="150"/>
      <c r="AT189" s="150"/>
      <c r="AU189" s="150"/>
      <c r="AV189" s="150"/>
      <c r="AW189" s="150"/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33"/>
    </row>
    <row r="190" spans="1:62" ht="12" customHeight="1">
      <c r="A190" s="130" t="s">
        <v>555</v>
      </c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 t="s">
        <v>308</v>
      </c>
      <c r="S190" s="130"/>
      <c r="T190" s="190" t="s">
        <v>501</v>
      </c>
      <c r="U190" s="130" t="s">
        <v>262</v>
      </c>
      <c r="V190" s="130" t="s">
        <v>556</v>
      </c>
      <c r="W190" s="130"/>
      <c r="X190" s="130"/>
      <c r="Y190" s="130"/>
      <c r="Z190" s="130"/>
      <c r="AA190" s="130"/>
      <c r="AB190" s="130"/>
      <c r="AC190" s="130"/>
      <c r="AD190" s="130"/>
      <c r="AE190" s="737">
        <v>0.1</v>
      </c>
      <c r="AF190" s="707"/>
      <c r="AG190" s="130" t="s">
        <v>557</v>
      </c>
      <c r="AH190" s="130" t="s">
        <v>413</v>
      </c>
      <c r="AI190" s="130">
        <v>1</v>
      </c>
      <c r="AJ190" s="130" t="s">
        <v>316</v>
      </c>
      <c r="AK190" s="764">
        <f>'Veri Girişi'!C61</f>
        <v>1</v>
      </c>
      <c r="AL190" s="707"/>
      <c r="AM190" s="707"/>
      <c r="AN190" s="130" t="s">
        <v>436</v>
      </c>
      <c r="AO190" s="728">
        <v>10</v>
      </c>
      <c r="AP190" s="707"/>
      <c r="AQ190" s="130" t="s">
        <v>414</v>
      </c>
      <c r="AR190" s="130" t="s">
        <v>262</v>
      </c>
      <c r="AS190" s="764">
        <f>(AE190/(AI190+(AK190/AO190)))</f>
        <v>9.0909090909090912E-2</v>
      </c>
      <c r="AT190" s="707"/>
      <c r="AU190" s="707"/>
      <c r="AV190" s="128"/>
      <c r="AW190" s="128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28"/>
    </row>
    <row r="191" spans="1:62" ht="5.25" customHeight="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  <c r="BA191" s="144"/>
      <c r="BB191" s="144"/>
      <c r="BC191" s="144"/>
      <c r="BD191" s="144"/>
      <c r="BE191" s="144"/>
      <c r="BF191" s="144"/>
      <c r="BG191" s="144"/>
      <c r="BH191" s="144"/>
      <c r="BI191" s="144"/>
      <c r="BJ191" s="128"/>
    </row>
    <row r="192" spans="1:62" ht="12" customHeight="1">
      <c r="A192" s="144" t="s">
        <v>558</v>
      </c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 t="s">
        <v>308</v>
      </c>
      <c r="S192" s="128"/>
      <c r="T192" s="204" t="s">
        <v>501</v>
      </c>
      <c r="U192" s="144" t="s">
        <v>262</v>
      </c>
      <c r="V192" s="722">
        <v>0.2</v>
      </c>
      <c r="W192" s="707"/>
      <c r="X192" s="707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  <c r="AZ192" s="144"/>
      <c r="BA192" s="144"/>
      <c r="BB192" s="144"/>
      <c r="BC192" s="144"/>
      <c r="BD192" s="144"/>
      <c r="BE192" s="144"/>
      <c r="BF192" s="144"/>
      <c r="BG192" s="144"/>
      <c r="BH192" s="144"/>
      <c r="BI192" s="144"/>
      <c r="BJ192" s="128"/>
    </row>
    <row r="193" spans="1:62" ht="3.75" customHeight="1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  <c r="BA193" s="144"/>
      <c r="BB193" s="144"/>
      <c r="BC193" s="144"/>
      <c r="BD193" s="144"/>
      <c r="BE193" s="144"/>
      <c r="BF193" s="144"/>
      <c r="BG193" s="144"/>
      <c r="BH193" s="144"/>
      <c r="BI193" s="144"/>
      <c r="BJ193" s="128"/>
    </row>
    <row r="194" spans="1:62" ht="12.75" customHeight="1">
      <c r="A194" s="153" t="s">
        <v>559</v>
      </c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  <c r="AZ194" s="144"/>
      <c r="BA194" s="144"/>
      <c r="BB194" s="144"/>
      <c r="BC194" s="144"/>
      <c r="BD194" s="144"/>
      <c r="BE194" s="144"/>
      <c r="BF194" s="144"/>
      <c r="BG194" s="144"/>
      <c r="BH194" s="144"/>
      <c r="BI194" s="144"/>
      <c r="BJ194" s="128"/>
    </row>
    <row r="195" spans="1:62" ht="3.75" customHeight="1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  <c r="AZ195" s="144"/>
      <c r="BA195" s="144"/>
      <c r="BB195" s="144"/>
      <c r="BC195" s="144"/>
      <c r="BD195" s="144"/>
      <c r="BE195" s="144"/>
      <c r="BF195" s="144"/>
      <c r="BG195" s="144"/>
      <c r="BH195" s="144"/>
      <c r="BI195" s="144"/>
      <c r="BJ195" s="128"/>
    </row>
    <row r="196" spans="1:62" ht="12" customHeight="1">
      <c r="A196" s="144" t="s">
        <v>560</v>
      </c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  <c r="BA196" s="144"/>
      <c r="BB196" s="144"/>
      <c r="BC196" s="144"/>
      <c r="BD196" s="144"/>
      <c r="BE196" s="144"/>
      <c r="BF196" s="144"/>
      <c r="BG196" s="144"/>
      <c r="BH196" s="144"/>
      <c r="BI196" s="144"/>
      <c r="BJ196" s="128"/>
    </row>
    <row r="197" spans="1:62" ht="5.25" customHeight="1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  <c r="AZ197" s="144"/>
      <c r="BA197" s="144"/>
      <c r="BB197" s="144"/>
      <c r="BC197" s="144"/>
      <c r="BD197" s="144"/>
      <c r="BE197" s="144"/>
      <c r="BF197" s="144"/>
      <c r="BG197" s="144"/>
      <c r="BH197" s="144"/>
      <c r="BI197" s="144"/>
      <c r="BJ197" s="128"/>
    </row>
    <row r="198" spans="1:62" ht="12" customHeight="1">
      <c r="A198" s="190" t="s">
        <v>561</v>
      </c>
      <c r="B198" s="130"/>
      <c r="C198" s="130" t="s">
        <v>413</v>
      </c>
      <c r="D198" s="190" t="s">
        <v>501</v>
      </c>
      <c r="E198" s="130" t="s">
        <v>436</v>
      </c>
      <c r="F198" s="130" t="s">
        <v>562</v>
      </c>
      <c r="G198" s="130"/>
      <c r="H198" s="130" t="s">
        <v>413</v>
      </c>
      <c r="I198" s="130" t="s">
        <v>563</v>
      </c>
      <c r="J198" s="130" t="s">
        <v>436</v>
      </c>
      <c r="K198" s="130">
        <v>2</v>
      </c>
      <c r="L198" s="130" t="s">
        <v>414</v>
      </c>
      <c r="M198" s="130" t="s">
        <v>262</v>
      </c>
      <c r="N198" s="130" t="s">
        <v>413</v>
      </c>
      <c r="O198" s="737">
        <f>V188</f>
        <v>0.1</v>
      </c>
      <c r="P198" s="707"/>
      <c r="Q198" s="130" t="s">
        <v>436</v>
      </c>
      <c r="R198" s="130" t="s">
        <v>562</v>
      </c>
      <c r="S198" s="128"/>
      <c r="T198" s="130" t="s">
        <v>413</v>
      </c>
      <c r="U198" s="737">
        <f>AH102</f>
        <v>38</v>
      </c>
      <c r="V198" s="707"/>
      <c r="W198" s="130" t="s">
        <v>436</v>
      </c>
      <c r="X198" s="130">
        <v>2</v>
      </c>
      <c r="Y198" s="130" t="s">
        <v>414</v>
      </c>
      <c r="Z198" s="128" t="s">
        <v>262</v>
      </c>
      <c r="AA198" s="130" t="s">
        <v>413</v>
      </c>
      <c r="AB198" s="737">
        <f>V188</f>
        <v>0.1</v>
      </c>
      <c r="AC198" s="707"/>
      <c r="AD198" s="130" t="s">
        <v>436</v>
      </c>
      <c r="AE198" s="764">
        <f>SIN(U198/180*PI()/2)</f>
        <v>0.3255681544571567</v>
      </c>
      <c r="AF198" s="707"/>
      <c r="AG198" s="707"/>
      <c r="AH198" s="130" t="s">
        <v>414</v>
      </c>
      <c r="AI198" s="128" t="s">
        <v>262</v>
      </c>
      <c r="AJ198" s="746">
        <f>V188/AE198</f>
        <v>0.30715534867572425</v>
      </c>
      <c r="AK198" s="707"/>
      <c r="AL198" s="707"/>
      <c r="AM198" s="130"/>
      <c r="AN198" s="128"/>
      <c r="AO198" s="128"/>
      <c r="AP198" s="128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28"/>
    </row>
    <row r="199" spans="1:62" ht="4.5" customHeight="1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  <c r="AZ199" s="144"/>
      <c r="BA199" s="144"/>
      <c r="BB199" s="144"/>
      <c r="BC199" s="144"/>
      <c r="BD199" s="144"/>
      <c r="BE199" s="144"/>
      <c r="BF199" s="144"/>
      <c r="BG199" s="144"/>
      <c r="BH199" s="144"/>
      <c r="BI199" s="144"/>
      <c r="BJ199" s="128"/>
    </row>
    <row r="200" spans="1:62" ht="12.75" customHeight="1">
      <c r="A200" s="144" t="s">
        <v>564</v>
      </c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  <c r="AZ200" s="144"/>
      <c r="BA200" s="144"/>
      <c r="BB200" s="144"/>
      <c r="BC200" s="144"/>
      <c r="BD200" s="144"/>
      <c r="BE200" s="144"/>
      <c r="BF200" s="144"/>
      <c r="BG200" s="144"/>
      <c r="BH200" s="144"/>
      <c r="BI200" s="144"/>
      <c r="BJ200" s="128"/>
    </row>
    <row r="201" spans="1:62" ht="4.5" customHeight="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  <c r="BB201" s="144"/>
      <c r="BC201" s="144"/>
      <c r="BD201" s="144"/>
      <c r="BE201" s="144"/>
      <c r="BF201" s="144"/>
      <c r="BG201" s="144"/>
      <c r="BH201" s="144"/>
      <c r="BI201" s="144"/>
      <c r="BJ201" s="128"/>
    </row>
    <row r="202" spans="1:62" ht="12" customHeight="1">
      <c r="A202" s="190" t="s">
        <v>561</v>
      </c>
      <c r="B202" s="130"/>
      <c r="C202" s="130" t="s">
        <v>413</v>
      </c>
      <c r="D202" s="190" t="s">
        <v>501</v>
      </c>
      <c r="E202" s="130" t="s">
        <v>436</v>
      </c>
      <c r="F202" s="130" t="s">
        <v>562</v>
      </c>
      <c r="G202" s="130"/>
      <c r="H202" s="130" t="s">
        <v>413</v>
      </c>
      <c r="I202" s="130" t="s">
        <v>563</v>
      </c>
      <c r="J202" s="130" t="s">
        <v>436</v>
      </c>
      <c r="K202" s="130">
        <v>2</v>
      </c>
      <c r="L202" s="130" t="s">
        <v>414</v>
      </c>
      <c r="M202" s="130" t="s">
        <v>262</v>
      </c>
      <c r="N202" s="130" t="s">
        <v>413</v>
      </c>
      <c r="O202" s="764">
        <f>AS190</f>
        <v>9.0909090909090912E-2</v>
      </c>
      <c r="P202" s="707"/>
      <c r="Q202" s="707"/>
      <c r="R202" s="130" t="s">
        <v>436</v>
      </c>
      <c r="S202" s="130" t="s">
        <v>562</v>
      </c>
      <c r="T202" s="128"/>
      <c r="U202" s="130" t="s">
        <v>413</v>
      </c>
      <c r="V202" s="737">
        <f>U198</f>
        <v>38</v>
      </c>
      <c r="W202" s="707"/>
      <c r="X202" s="130" t="s">
        <v>436</v>
      </c>
      <c r="Y202" s="130">
        <v>2</v>
      </c>
      <c r="Z202" s="130" t="s">
        <v>414</v>
      </c>
      <c r="AA202" s="128" t="s">
        <v>262</v>
      </c>
      <c r="AB202" s="130" t="s">
        <v>413</v>
      </c>
      <c r="AC202" s="764">
        <f>AS190</f>
        <v>9.0909090909090912E-2</v>
      </c>
      <c r="AD202" s="707"/>
      <c r="AE202" s="707"/>
      <c r="AF202" s="130" t="s">
        <v>436</v>
      </c>
      <c r="AG202" s="764">
        <f>SIN(V202/180/2*PI())</f>
        <v>0.3255681544571567</v>
      </c>
      <c r="AH202" s="707"/>
      <c r="AI202" s="707"/>
      <c r="AJ202" s="130" t="s">
        <v>414</v>
      </c>
      <c r="AK202" s="128" t="s">
        <v>262</v>
      </c>
      <c r="AL202" s="746">
        <f>AC202/AG202</f>
        <v>0.27923213515974926</v>
      </c>
      <c r="AM202" s="707"/>
      <c r="AN202" s="707"/>
      <c r="AO202" s="128"/>
      <c r="AP202" s="128"/>
      <c r="AQ202" s="130"/>
      <c r="AR202" s="130"/>
      <c r="AS202" s="130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28"/>
    </row>
    <row r="203" spans="1:62" ht="4.5" customHeight="1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144"/>
      <c r="BC203" s="144"/>
      <c r="BD203" s="144"/>
      <c r="BE203" s="144"/>
      <c r="BF203" s="144"/>
      <c r="BG203" s="144"/>
      <c r="BH203" s="144"/>
      <c r="BI203" s="144"/>
      <c r="BJ203" s="128"/>
    </row>
    <row r="204" spans="1:62" ht="12" customHeight="1">
      <c r="A204" s="144" t="s">
        <v>565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  <c r="BB204" s="144"/>
      <c r="BC204" s="144"/>
      <c r="BD204" s="144"/>
      <c r="BE204" s="144"/>
      <c r="BF204" s="144"/>
      <c r="BG204" s="144"/>
      <c r="BH204" s="144"/>
      <c r="BI204" s="144"/>
      <c r="BJ204" s="128"/>
    </row>
    <row r="205" spans="1:62" ht="4.5" customHeight="1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144"/>
      <c r="BC205" s="144"/>
      <c r="BD205" s="144"/>
      <c r="BE205" s="144"/>
      <c r="BF205" s="144"/>
      <c r="BG205" s="144"/>
      <c r="BH205" s="144"/>
      <c r="BI205" s="144"/>
      <c r="BJ205" s="128"/>
    </row>
    <row r="206" spans="1:62" ht="12" customHeight="1">
      <c r="A206" s="782" t="s">
        <v>561</v>
      </c>
      <c r="B206" s="707"/>
      <c r="C206" s="829" t="s">
        <v>501</v>
      </c>
      <c r="D206" s="721" t="s">
        <v>357</v>
      </c>
      <c r="E206" s="760" t="s">
        <v>566</v>
      </c>
      <c r="F206" s="724"/>
      <c r="G206" s="724"/>
      <c r="H206" s="724"/>
      <c r="I206" s="724"/>
      <c r="J206" s="724"/>
      <c r="K206" s="724"/>
      <c r="L206" s="724"/>
      <c r="M206" s="130"/>
      <c r="N206" s="130"/>
      <c r="O206" s="782" t="s">
        <v>561</v>
      </c>
      <c r="P206" s="707"/>
      <c r="Q206" s="721">
        <f>V188</f>
        <v>0.1</v>
      </c>
      <c r="R206" s="707"/>
      <c r="S206" s="721" t="s">
        <v>357</v>
      </c>
      <c r="T206" s="205">
        <v>4</v>
      </c>
      <c r="U206" s="205" t="s">
        <v>357</v>
      </c>
      <c r="V206" s="205" t="s">
        <v>413</v>
      </c>
      <c r="W206" s="205">
        <v>1</v>
      </c>
      <c r="X206" s="205" t="s">
        <v>317</v>
      </c>
      <c r="Y206" s="205" t="s">
        <v>562</v>
      </c>
      <c r="Z206" s="205"/>
      <c r="AA206" s="760">
        <f>AH103</f>
        <v>90</v>
      </c>
      <c r="AB206" s="724"/>
      <c r="AC206" s="205" t="s">
        <v>436</v>
      </c>
      <c r="AD206" s="205">
        <v>2</v>
      </c>
      <c r="AE206" s="205" t="s">
        <v>414</v>
      </c>
      <c r="AF206" s="130"/>
      <c r="AG206" s="130"/>
      <c r="AH206" s="130"/>
      <c r="AI206" s="782" t="s">
        <v>561</v>
      </c>
      <c r="AJ206" s="707"/>
      <c r="AK206" s="721">
        <f>V188</f>
        <v>0.1</v>
      </c>
      <c r="AL206" s="707"/>
      <c r="AM206" s="721" t="s">
        <v>357</v>
      </c>
      <c r="AN206" s="786">
        <f>T206*(W206-SIN(AA206/180*PI()/2))</f>
        <v>1.1715728752538102</v>
      </c>
      <c r="AO206" s="724"/>
      <c r="AP206" s="724"/>
      <c r="AQ206" s="130"/>
      <c r="AR206" s="130"/>
      <c r="AS206" s="782" t="s">
        <v>561</v>
      </c>
      <c r="AT206" s="707"/>
      <c r="AU206" s="733">
        <f>AK206*AN206/AN207</f>
        <v>0.20525235013903476</v>
      </c>
      <c r="AV206" s="707"/>
      <c r="AW206" s="707"/>
      <c r="AX206" s="707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28"/>
    </row>
    <row r="207" spans="1:62" ht="12" customHeight="1">
      <c r="A207" s="707"/>
      <c r="B207" s="707"/>
      <c r="C207" s="707"/>
      <c r="D207" s="707"/>
      <c r="E207" s="779" t="s">
        <v>567</v>
      </c>
      <c r="F207" s="637"/>
      <c r="G207" s="637"/>
      <c r="H207" s="637"/>
      <c r="I207" s="637"/>
      <c r="J207" s="637"/>
      <c r="K207" s="637"/>
      <c r="L207" s="637"/>
      <c r="M207" s="130"/>
      <c r="N207" s="130"/>
      <c r="O207" s="707"/>
      <c r="P207" s="707"/>
      <c r="Q207" s="707"/>
      <c r="R207" s="707"/>
      <c r="S207" s="707"/>
      <c r="T207" s="823">
        <f>PI()</f>
        <v>3.1415926535897931</v>
      </c>
      <c r="U207" s="637"/>
      <c r="V207" s="637"/>
      <c r="W207" s="130" t="s">
        <v>317</v>
      </c>
      <c r="X207" s="779">
        <f>AA206/180*PI()</f>
        <v>1.5707963267948966</v>
      </c>
      <c r="Y207" s="637"/>
      <c r="Z207" s="130" t="s">
        <v>317</v>
      </c>
      <c r="AA207" s="130" t="s">
        <v>562</v>
      </c>
      <c r="AB207" s="130"/>
      <c r="AC207" s="779">
        <f>AA206</f>
        <v>90</v>
      </c>
      <c r="AD207" s="637"/>
      <c r="AE207" s="128"/>
      <c r="AF207" s="130"/>
      <c r="AG207" s="130"/>
      <c r="AH207" s="130"/>
      <c r="AI207" s="707"/>
      <c r="AJ207" s="707"/>
      <c r="AK207" s="707"/>
      <c r="AL207" s="707"/>
      <c r="AM207" s="707"/>
      <c r="AN207" s="779">
        <f>T207-X207-SIN(AA206/180*PI())</f>
        <v>0.57079632679489656</v>
      </c>
      <c r="AO207" s="637"/>
      <c r="AP207" s="637"/>
      <c r="AQ207" s="130"/>
      <c r="AR207" s="130"/>
      <c r="AS207" s="707"/>
      <c r="AT207" s="707"/>
      <c r="AU207" s="707"/>
      <c r="AV207" s="707"/>
      <c r="AW207" s="707"/>
      <c r="AX207" s="707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28"/>
    </row>
    <row r="208" spans="1:62" ht="4.5" customHeight="1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  <c r="BB208" s="144"/>
      <c r="BC208" s="144"/>
      <c r="BD208" s="144"/>
      <c r="BE208" s="144"/>
      <c r="BF208" s="144"/>
      <c r="BG208" s="144"/>
      <c r="BH208" s="144"/>
      <c r="BI208" s="144"/>
      <c r="BJ208" s="128"/>
    </row>
    <row r="209" spans="1:62" ht="12" customHeight="1">
      <c r="A209" s="144" t="s">
        <v>568</v>
      </c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  <c r="BB209" s="144"/>
      <c r="BC209" s="144"/>
      <c r="BD209" s="144"/>
      <c r="BE209" s="144"/>
      <c r="BF209" s="144"/>
      <c r="BG209" s="144"/>
      <c r="BH209" s="144"/>
      <c r="BI209" s="144"/>
      <c r="BJ209" s="128"/>
    </row>
    <row r="210" spans="1:62" ht="4.5" customHeight="1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144"/>
      <c r="BC210" s="144"/>
      <c r="BD210" s="144"/>
      <c r="BE210" s="144"/>
      <c r="BF210" s="144"/>
      <c r="BG210" s="144"/>
      <c r="BH210" s="144"/>
      <c r="BI210" s="144"/>
      <c r="BJ210" s="128"/>
    </row>
    <row r="211" spans="1:62" ht="12" customHeight="1">
      <c r="A211" s="782" t="s">
        <v>561</v>
      </c>
      <c r="B211" s="707"/>
      <c r="C211" s="829" t="s">
        <v>501</v>
      </c>
      <c r="D211" s="721" t="s">
        <v>357</v>
      </c>
      <c r="E211" s="760" t="s">
        <v>566</v>
      </c>
      <c r="F211" s="724"/>
      <c r="G211" s="724"/>
      <c r="H211" s="724"/>
      <c r="I211" s="724"/>
      <c r="J211" s="724"/>
      <c r="K211" s="724"/>
      <c r="L211" s="724"/>
      <c r="M211" s="130"/>
      <c r="N211" s="130"/>
      <c r="O211" s="782" t="s">
        <v>561</v>
      </c>
      <c r="P211" s="707"/>
      <c r="Q211" s="734">
        <f>AS190</f>
        <v>9.0909090909090912E-2</v>
      </c>
      <c r="R211" s="707"/>
      <c r="S211" s="707"/>
      <c r="T211" s="721" t="s">
        <v>357</v>
      </c>
      <c r="U211" s="205">
        <v>4</v>
      </c>
      <c r="V211" s="205" t="s">
        <v>357</v>
      </c>
      <c r="W211" s="205" t="s">
        <v>413</v>
      </c>
      <c r="X211" s="205">
        <v>1</v>
      </c>
      <c r="Y211" s="205" t="s">
        <v>317</v>
      </c>
      <c r="Z211" s="205" t="s">
        <v>562</v>
      </c>
      <c r="AA211" s="205"/>
      <c r="AB211" s="760">
        <f>AH103</f>
        <v>90</v>
      </c>
      <c r="AC211" s="724"/>
      <c r="AD211" s="205" t="s">
        <v>436</v>
      </c>
      <c r="AE211" s="205">
        <v>2</v>
      </c>
      <c r="AF211" s="205" t="s">
        <v>414</v>
      </c>
      <c r="AG211" s="130"/>
      <c r="AH211" s="130"/>
      <c r="AI211" s="782" t="s">
        <v>561</v>
      </c>
      <c r="AJ211" s="707"/>
      <c r="AK211" s="734">
        <f>AS190</f>
        <v>9.0909090909090912E-2</v>
      </c>
      <c r="AL211" s="707"/>
      <c r="AM211" s="707"/>
      <c r="AN211" s="721" t="s">
        <v>357</v>
      </c>
      <c r="AO211" s="786">
        <f>U211*(X211-SIN(AB211/180*PI()/2))</f>
        <v>1.1715728752538102</v>
      </c>
      <c r="AP211" s="724"/>
      <c r="AQ211" s="724"/>
      <c r="AR211" s="130"/>
      <c r="AS211" s="130"/>
      <c r="AT211" s="782" t="s">
        <v>561</v>
      </c>
      <c r="AU211" s="707"/>
      <c r="AV211" s="733">
        <f>AK211*AO211/AO212</f>
        <v>0.1865930455809407</v>
      </c>
      <c r="AW211" s="707"/>
      <c r="AX211" s="707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28"/>
    </row>
    <row r="212" spans="1:62" ht="12" customHeight="1">
      <c r="A212" s="707"/>
      <c r="B212" s="707"/>
      <c r="C212" s="707"/>
      <c r="D212" s="707"/>
      <c r="E212" s="779" t="s">
        <v>567</v>
      </c>
      <c r="F212" s="637"/>
      <c r="G212" s="637"/>
      <c r="H212" s="637"/>
      <c r="I212" s="637"/>
      <c r="J212" s="637"/>
      <c r="K212" s="637"/>
      <c r="L212" s="637"/>
      <c r="M212" s="130"/>
      <c r="N212" s="130"/>
      <c r="O212" s="707"/>
      <c r="P212" s="707"/>
      <c r="Q212" s="707"/>
      <c r="R212" s="707"/>
      <c r="S212" s="707"/>
      <c r="T212" s="707"/>
      <c r="U212" s="823">
        <f>PI()</f>
        <v>3.1415926535897931</v>
      </c>
      <c r="V212" s="637"/>
      <c r="W212" s="637"/>
      <c r="X212" s="130" t="s">
        <v>317</v>
      </c>
      <c r="Y212" s="779">
        <f>AB211/180*PI()</f>
        <v>1.5707963267948966</v>
      </c>
      <c r="Z212" s="637"/>
      <c r="AA212" s="130" t="s">
        <v>317</v>
      </c>
      <c r="AB212" s="130" t="s">
        <v>562</v>
      </c>
      <c r="AC212" s="130"/>
      <c r="AD212" s="779">
        <f>AB211</f>
        <v>90</v>
      </c>
      <c r="AE212" s="637"/>
      <c r="AF212" s="128"/>
      <c r="AG212" s="130"/>
      <c r="AH212" s="130"/>
      <c r="AI212" s="707"/>
      <c r="AJ212" s="707"/>
      <c r="AK212" s="707"/>
      <c r="AL212" s="707"/>
      <c r="AM212" s="707"/>
      <c r="AN212" s="707"/>
      <c r="AO212" s="779">
        <f>U212-Y212-SIN(AB211/180*PI())</f>
        <v>0.57079632679489656</v>
      </c>
      <c r="AP212" s="637"/>
      <c r="AQ212" s="637"/>
      <c r="AR212" s="130"/>
      <c r="AS212" s="130"/>
      <c r="AT212" s="707"/>
      <c r="AU212" s="707"/>
      <c r="AV212" s="707"/>
      <c r="AW212" s="707"/>
      <c r="AX212" s="707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28"/>
    </row>
    <row r="213" spans="1:62" ht="4.5" customHeight="1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  <c r="BB213" s="144"/>
      <c r="BC213" s="144"/>
      <c r="BD213" s="144"/>
      <c r="BE213" s="144"/>
      <c r="BF213" s="144"/>
      <c r="BG213" s="144"/>
      <c r="BH213" s="144"/>
      <c r="BI213" s="144"/>
      <c r="BJ213" s="128"/>
    </row>
    <row r="214" spans="1:62" ht="12" customHeight="1">
      <c r="A214" s="144" t="s">
        <v>569</v>
      </c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  <c r="BB214" s="144"/>
      <c r="BC214" s="144"/>
      <c r="BD214" s="144"/>
      <c r="BE214" s="144"/>
      <c r="BF214" s="144"/>
      <c r="BG214" s="144"/>
      <c r="BH214" s="144"/>
      <c r="BI214" s="144"/>
      <c r="BJ214" s="128"/>
    </row>
    <row r="215" spans="1:62" ht="3.75" customHeight="1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  <c r="BB215" s="144"/>
      <c r="BC215" s="144"/>
      <c r="BD215" s="144"/>
      <c r="BE215" s="144"/>
      <c r="BF215" s="144"/>
      <c r="BG215" s="144"/>
      <c r="BH215" s="144"/>
      <c r="BI215" s="144"/>
      <c r="BJ215" s="128"/>
    </row>
    <row r="216" spans="1:62" ht="12" customHeight="1">
      <c r="A216" s="190" t="s">
        <v>570</v>
      </c>
      <c r="B216" s="130"/>
      <c r="C216" s="190" t="s">
        <v>501</v>
      </c>
      <c r="D216" s="130" t="s">
        <v>357</v>
      </c>
      <c r="E216" s="130" t="s">
        <v>413</v>
      </c>
      <c r="F216" s="130">
        <v>1</v>
      </c>
      <c r="G216" s="130" t="s">
        <v>436</v>
      </c>
      <c r="H216" s="130" t="s">
        <v>562</v>
      </c>
      <c r="I216" s="130"/>
      <c r="J216" s="130" t="s">
        <v>413</v>
      </c>
      <c r="K216" s="130" t="s">
        <v>563</v>
      </c>
      <c r="L216" s="130" t="s">
        <v>436</v>
      </c>
      <c r="M216" s="130">
        <v>2</v>
      </c>
      <c r="N216" s="130" t="s">
        <v>414</v>
      </c>
      <c r="O216" s="130" t="s">
        <v>262</v>
      </c>
      <c r="P216" s="737">
        <f>V192</f>
        <v>0.2</v>
      </c>
      <c r="Q216" s="707"/>
      <c r="R216" s="128" t="s">
        <v>357</v>
      </c>
      <c r="S216" s="130" t="s">
        <v>413</v>
      </c>
      <c r="T216" s="130">
        <v>1</v>
      </c>
      <c r="U216" s="130" t="s">
        <v>436</v>
      </c>
      <c r="V216" s="130" t="s">
        <v>562</v>
      </c>
      <c r="W216" s="130"/>
      <c r="X216" s="130" t="s">
        <v>413</v>
      </c>
      <c r="Y216" s="737">
        <v>38</v>
      </c>
      <c r="Z216" s="707"/>
      <c r="AA216" s="130" t="s">
        <v>436</v>
      </c>
      <c r="AB216" s="130">
        <v>2</v>
      </c>
      <c r="AC216" s="130" t="s">
        <v>414</v>
      </c>
      <c r="AD216" s="128" t="s">
        <v>262</v>
      </c>
      <c r="AE216" s="746">
        <f>1/SIN(Y216/M216/180*PI())*P216</f>
        <v>0.6143106973514485</v>
      </c>
      <c r="AF216" s="707"/>
      <c r="AG216" s="707"/>
      <c r="AH216" s="707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28"/>
    </row>
    <row r="217" spans="1:62" ht="4.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28"/>
      <c r="AY217" s="130"/>
      <c r="AZ217" s="130"/>
      <c r="BA217" s="130"/>
      <c r="BB217" s="130"/>
      <c r="BC217" s="130"/>
      <c r="BD217" s="130"/>
      <c r="BE217" s="130"/>
      <c r="BF217" s="128"/>
      <c r="BG217" s="128"/>
      <c r="BH217" s="128"/>
      <c r="BI217" s="128"/>
      <c r="BJ217" s="128"/>
    </row>
    <row r="218" spans="1:62" ht="12.75" customHeight="1">
      <c r="A218" s="153" t="s">
        <v>571</v>
      </c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28"/>
      <c r="AY218" s="130"/>
      <c r="AZ218" s="130"/>
      <c r="BA218" s="130"/>
      <c r="BB218" s="130"/>
      <c r="BC218" s="130"/>
      <c r="BD218" s="130"/>
      <c r="BE218" s="130"/>
      <c r="BF218" s="128"/>
      <c r="BG218" s="128"/>
      <c r="BH218" s="128"/>
      <c r="BI218" s="128"/>
      <c r="BJ218" s="128"/>
    </row>
    <row r="219" spans="1:62" ht="4.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28"/>
      <c r="AY219" s="130"/>
      <c r="AZ219" s="130"/>
      <c r="BA219" s="130"/>
      <c r="BB219" s="130"/>
      <c r="BC219" s="130"/>
      <c r="BD219" s="130"/>
      <c r="BE219" s="130"/>
      <c r="BF219" s="128"/>
      <c r="BG219" s="128"/>
      <c r="BH219" s="128"/>
      <c r="BI219" s="128"/>
      <c r="BJ219" s="128"/>
    </row>
    <row r="220" spans="1:62" ht="15" customHeight="1">
      <c r="A220" s="722" t="s">
        <v>572</v>
      </c>
      <c r="B220" s="707"/>
      <c r="C220" s="721" t="s">
        <v>262</v>
      </c>
      <c r="D220" s="751" t="s">
        <v>573</v>
      </c>
      <c r="E220" s="724"/>
      <c r="F220" s="724"/>
      <c r="G220" s="724"/>
      <c r="H220" s="724"/>
      <c r="I220" s="724"/>
      <c r="J220" s="724"/>
      <c r="K220" s="724"/>
      <c r="L220" s="724"/>
      <c r="M220" s="724"/>
      <c r="N220" s="724"/>
      <c r="O220" s="724"/>
      <c r="P220" s="724"/>
      <c r="Q220" s="735" t="s">
        <v>316</v>
      </c>
      <c r="R220" s="751" t="s">
        <v>574</v>
      </c>
      <c r="S220" s="724"/>
      <c r="T220" s="724"/>
      <c r="U220" s="724"/>
      <c r="V220" s="730" t="s">
        <v>575</v>
      </c>
      <c r="W220" s="707"/>
      <c r="X220" s="730" t="s">
        <v>576</v>
      </c>
      <c r="Y220" s="707"/>
      <c r="Z220" s="707"/>
      <c r="AA220" s="707"/>
      <c r="AB220" s="707"/>
      <c r="AC220" s="707"/>
      <c r="AD220" s="767" t="s">
        <v>577</v>
      </c>
      <c r="AE220" s="724"/>
      <c r="AF220" s="769" t="s">
        <v>578</v>
      </c>
      <c r="AG220" s="707"/>
      <c r="AH220" s="751" t="s">
        <v>579</v>
      </c>
      <c r="AI220" s="724"/>
      <c r="AJ220" s="724"/>
      <c r="AK220" s="724"/>
      <c r="AL220" s="730" t="s">
        <v>580</v>
      </c>
      <c r="AM220" s="707"/>
      <c r="AN220" s="730" t="s">
        <v>581</v>
      </c>
      <c r="AO220" s="751" t="s">
        <v>582</v>
      </c>
      <c r="AP220" s="724"/>
      <c r="AQ220" s="724"/>
      <c r="AR220" s="724"/>
      <c r="AS220" s="724"/>
      <c r="AT220" s="730" t="s">
        <v>581</v>
      </c>
      <c r="AU220" s="707"/>
      <c r="AV220" s="207"/>
      <c r="AW220" s="207"/>
      <c r="AX220" s="207"/>
      <c r="AY220" s="830"/>
      <c r="AZ220" s="208"/>
      <c r="BA220" s="208"/>
      <c r="BB220" s="208"/>
      <c r="BC220" s="208"/>
      <c r="BD220" s="208"/>
      <c r="BE220" s="208"/>
      <c r="BF220" s="128"/>
      <c r="BG220" s="128"/>
      <c r="BH220" s="128"/>
      <c r="BI220" s="128"/>
      <c r="BJ220" s="128"/>
    </row>
    <row r="221" spans="1:62" ht="15" customHeight="1">
      <c r="A221" s="707"/>
      <c r="B221" s="707"/>
      <c r="C221" s="707"/>
      <c r="D221" s="742" t="s">
        <v>468</v>
      </c>
      <c r="E221" s="637"/>
      <c r="F221" s="637"/>
      <c r="G221" s="637"/>
      <c r="H221" s="637"/>
      <c r="I221" s="637"/>
      <c r="J221" s="637"/>
      <c r="K221" s="637"/>
      <c r="L221" s="637"/>
      <c r="M221" s="637"/>
      <c r="N221" s="637"/>
      <c r="O221" s="637"/>
      <c r="P221" s="637"/>
      <c r="Q221" s="707"/>
      <c r="R221" s="730" t="s">
        <v>583</v>
      </c>
      <c r="S221" s="707"/>
      <c r="T221" s="707"/>
      <c r="U221" s="707"/>
      <c r="V221" s="707"/>
      <c r="W221" s="707"/>
      <c r="X221" s="707"/>
      <c r="Y221" s="707"/>
      <c r="Z221" s="707"/>
      <c r="AA221" s="707"/>
      <c r="AB221" s="707"/>
      <c r="AC221" s="707"/>
      <c r="AD221" s="730">
        <v>3</v>
      </c>
      <c r="AE221" s="707"/>
      <c r="AF221" s="707"/>
      <c r="AG221" s="707"/>
      <c r="AH221" s="742" t="s">
        <v>584</v>
      </c>
      <c r="AI221" s="637"/>
      <c r="AJ221" s="637"/>
      <c r="AK221" s="637"/>
      <c r="AL221" s="707"/>
      <c r="AM221" s="707"/>
      <c r="AN221" s="707"/>
      <c r="AO221" s="742" t="s">
        <v>468</v>
      </c>
      <c r="AP221" s="637"/>
      <c r="AQ221" s="637"/>
      <c r="AR221" s="637"/>
      <c r="AS221" s="637"/>
      <c r="AT221" s="707"/>
      <c r="AU221" s="707"/>
      <c r="AV221" s="207"/>
      <c r="AW221" s="207"/>
      <c r="AX221" s="207"/>
      <c r="AY221" s="707"/>
      <c r="AZ221" s="208"/>
      <c r="BA221" s="208"/>
      <c r="BB221" s="208"/>
      <c r="BC221" s="208"/>
      <c r="BD221" s="208"/>
      <c r="BE221" s="208"/>
      <c r="BF221" s="128"/>
      <c r="BG221" s="128"/>
      <c r="BH221" s="128"/>
      <c r="BI221" s="128"/>
      <c r="BJ221" s="128"/>
    </row>
    <row r="222" spans="1:62" ht="15" customHeight="1">
      <c r="A222" s="171"/>
      <c r="B222" s="171"/>
      <c r="C222" s="171"/>
      <c r="D222" s="730" t="s">
        <v>481</v>
      </c>
      <c r="E222" s="209"/>
      <c r="F222" s="751" t="s">
        <v>585</v>
      </c>
      <c r="G222" s="724"/>
      <c r="H222" s="724"/>
      <c r="I222" s="724"/>
      <c r="J222" s="724"/>
      <c r="K222" s="724"/>
      <c r="L222" s="730" t="s">
        <v>586</v>
      </c>
      <c r="M222" s="707"/>
      <c r="N222" s="707"/>
      <c r="O222" s="751" t="s">
        <v>587</v>
      </c>
      <c r="P222" s="724"/>
      <c r="Q222" s="724"/>
      <c r="R222" s="140"/>
      <c r="S222" s="128"/>
      <c r="T222" s="128"/>
      <c r="U222" s="128"/>
      <c r="V222" s="140"/>
      <c r="W222" s="140"/>
      <c r="X222" s="140"/>
      <c r="Y222" s="128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30"/>
      <c r="AP222" s="130"/>
      <c r="AQ222" s="130"/>
      <c r="AR222" s="130"/>
      <c r="AS222" s="130"/>
      <c r="AT222" s="130"/>
      <c r="AU222" s="130"/>
      <c r="AV222" s="208"/>
      <c r="AW222" s="208"/>
      <c r="AX222" s="207"/>
      <c r="AY222" s="208"/>
      <c r="AZ222" s="208"/>
      <c r="BA222" s="208"/>
      <c r="BB222" s="208"/>
      <c r="BC222" s="208"/>
      <c r="BD222" s="208"/>
      <c r="BE222" s="208"/>
      <c r="BF222" s="128"/>
      <c r="BG222" s="128"/>
      <c r="BH222" s="128"/>
      <c r="BI222" s="128"/>
      <c r="BJ222" s="128"/>
    </row>
    <row r="223" spans="1:62" ht="15" customHeight="1">
      <c r="A223" s="171"/>
      <c r="B223" s="171"/>
      <c r="C223" s="171"/>
      <c r="D223" s="707"/>
      <c r="E223" s="730" t="s">
        <v>468</v>
      </c>
      <c r="F223" s="707"/>
      <c r="G223" s="707"/>
      <c r="H223" s="707"/>
      <c r="I223" s="707"/>
      <c r="J223" s="707"/>
      <c r="K223" s="707"/>
      <c r="L223" s="707"/>
      <c r="M223" s="707"/>
      <c r="N223" s="707"/>
      <c r="O223" s="730" t="s">
        <v>468</v>
      </c>
      <c r="P223" s="707"/>
      <c r="Q223" s="707"/>
      <c r="R223" s="140"/>
      <c r="S223" s="128"/>
      <c r="T223" s="128"/>
      <c r="U223" s="128"/>
      <c r="V223" s="128"/>
      <c r="W223" s="128"/>
      <c r="X223" s="128"/>
      <c r="Y223" s="210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40"/>
      <c r="AL223" s="140"/>
      <c r="AM223" s="140"/>
      <c r="AN223" s="140"/>
      <c r="AO223" s="130"/>
      <c r="AP223" s="130"/>
      <c r="AQ223" s="130"/>
      <c r="AR223" s="130"/>
      <c r="AS223" s="130"/>
      <c r="AT223" s="130"/>
      <c r="AU223" s="130"/>
      <c r="AV223" s="208"/>
      <c r="AW223" s="208"/>
      <c r="AX223" s="207"/>
      <c r="AY223" s="208"/>
      <c r="AZ223" s="208"/>
      <c r="BA223" s="208"/>
      <c r="BB223" s="208"/>
      <c r="BC223" s="208"/>
      <c r="BD223" s="208"/>
      <c r="BE223" s="208"/>
      <c r="BF223" s="128"/>
      <c r="BG223" s="128"/>
      <c r="BH223" s="128"/>
      <c r="BI223" s="128"/>
      <c r="BJ223" s="128"/>
    </row>
    <row r="224" spans="1:62" ht="4.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40"/>
      <c r="AL224" s="140"/>
      <c r="AM224" s="140"/>
      <c r="AN224" s="140"/>
      <c r="AO224" s="130"/>
      <c r="AP224" s="130"/>
      <c r="AQ224" s="130"/>
      <c r="AR224" s="130"/>
      <c r="AS224" s="130"/>
      <c r="AT224" s="130"/>
      <c r="AU224" s="130"/>
      <c r="AV224" s="208"/>
      <c r="AW224" s="208"/>
      <c r="AX224" s="207"/>
      <c r="AY224" s="208"/>
      <c r="AZ224" s="208"/>
      <c r="BA224" s="208"/>
      <c r="BB224" s="208"/>
      <c r="BC224" s="208"/>
      <c r="BD224" s="208"/>
      <c r="BE224" s="208"/>
      <c r="BF224" s="128"/>
      <c r="BG224" s="128"/>
      <c r="BH224" s="128"/>
      <c r="BI224" s="128"/>
      <c r="BJ224" s="128"/>
    </row>
    <row r="225" spans="1:62" ht="15" customHeight="1">
      <c r="A225" s="722" t="s">
        <v>588</v>
      </c>
      <c r="B225" s="707"/>
      <c r="C225" s="721" t="s">
        <v>262</v>
      </c>
      <c r="D225" s="767" t="s">
        <v>589</v>
      </c>
      <c r="E225" s="724"/>
      <c r="F225" s="724"/>
      <c r="G225" s="724"/>
      <c r="H225" s="724"/>
      <c r="I225" s="724"/>
      <c r="J225" s="724"/>
      <c r="K225" s="724"/>
      <c r="L225" s="730" t="s">
        <v>316</v>
      </c>
      <c r="M225" s="751" t="s">
        <v>590</v>
      </c>
      <c r="N225" s="724"/>
      <c r="O225" s="724"/>
      <c r="P225" s="724"/>
      <c r="Q225" s="724"/>
      <c r="R225" s="730" t="s">
        <v>316</v>
      </c>
      <c r="S225" s="730" t="s">
        <v>591</v>
      </c>
      <c r="T225" s="707"/>
      <c r="U225" s="707"/>
      <c r="V225" s="707"/>
      <c r="W225" s="707"/>
      <c r="X225" s="707"/>
      <c r="Y225" s="751" t="s">
        <v>577</v>
      </c>
      <c r="Z225" s="724"/>
      <c r="AA225" s="724"/>
      <c r="AB225" s="730" t="s">
        <v>592</v>
      </c>
      <c r="AC225" s="707"/>
      <c r="AD225" s="707"/>
      <c r="AE225" s="751" t="s">
        <v>579</v>
      </c>
      <c r="AF225" s="724"/>
      <c r="AG225" s="724"/>
      <c r="AH225" s="724"/>
      <c r="AI225" s="730" t="s">
        <v>580</v>
      </c>
      <c r="AJ225" s="707"/>
      <c r="AK225" s="730" t="s">
        <v>581</v>
      </c>
      <c r="AL225" s="751" t="s">
        <v>593</v>
      </c>
      <c r="AM225" s="724"/>
      <c r="AN225" s="724"/>
      <c r="AO225" s="724"/>
      <c r="AP225" s="724"/>
      <c r="AQ225" s="730" t="s">
        <v>594</v>
      </c>
      <c r="AR225" s="707"/>
      <c r="AS225" s="171"/>
      <c r="AT225" s="171"/>
      <c r="AU225" s="171"/>
      <c r="AV225" s="211"/>
      <c r="AW225" s="211"/>
      <c r="AX225" s="211"/>
      <c r="AY225" s="211"/>
      <c r="AZ225" s="211"/>
      <c r="BA225" s="211"/>
      <c r="BB225" s="211"/>
      <c r="BC225" s="208"/>
      <c r="BD225" s="208"/>
      <c r="BE225" s="211"/>
      <c r="BF225" s="128"/>
      <c r="BG225" s="128"/>
      <c r="BH225" s="128"/>
      <c r="BI225" s="128"/>
      <c r="BJ225" s="128"/>
    </row>
    <row r="226" spans="1:62" ht="15" customHeight="1">
      <c r="A226" s="707"/>
      <c r="B226" s="707"/>
      <c r="C226" s="707"/>
      <c r="D226" s="730" t="s">
        <v>468</v>
      </c>
      <c r="E226" s="707"/>
      <c r="F226" s="707"/>
      <c r="G226" s="707"/>
      <c r="H226" s="707"/>
      <c r="I226" s="707"/>
      <c r="J226" s="707"/>
      <c r="K226" s="707"/>
      <c r="L226" s="707"/>
      <c r="M226" s="742" t="s">
        <v>583</v>
      </c>
      <c r="N226" s="637"/>
      <c r="O226" s="637"/>
      <c r="P226" s="637"/>
      <c r="Q226" s="637"/>
      <c r="R226" s="707"/>
      <c r="S226" s="707"/>
      <c r="T226" s="707"/>
      <c r="U226" s="707"/>
      <c r="V226" s="707"/>
      <c r="W226" s="707"/>
      <c r="X226" s="707"/>
      <c r="Y226" s="742">
        <v>3</v>
      </c>
      <c r="Z226" s="637"/>
      <c r="AA226" s="637"/>
      <c r="AB226" s="707"/>
      <c r="AC226" s="707"/>
      <c r="AD226" s="707"/>
      <c r="AE226" s="742" t="s">
        <v>584</v>
      </c>
      <c r="AF226" s="637"/>
      <c r="AG226" s="637"/>
      <c r="AH226" s="637"/>
      <c r="AI226" s="707"/>
      <c r="AJ226" s="707"/>
      <c r="AK226" s="707"/>
      <c r="AL226" s="742" t="s">
        <v>468</v>
      </c>
      <c r="AM226" s="637"/>
      <c r="AN226" s="637"/>
      <c r="AO226" s="637"/>
      <c r="AP226" s="637"/>
      <c r="AQ226" s="707"/>
      <c r="AR226" s="707"/>
      <c r="AS226" s="171"/>
      <c r="AT226" s="171"/>
      <c r="AU226" s="171"/>
      <c r="AV226" s="211"/>
      <c r="AW226" s="211"/>
      <c r="AX226" s="211"/>
      <c r="AY226" s="211"/>
      <c r="AZ226" s="211"/>
      <c r="BA226" s="211"/>
      <c r="BB226" s="211"/>
      <c r="BC226" s="208"/>
      <c r="BD226" s="208"/>
      <c r="BE226" s="211"/>
      <c r="BF226" s="128"/>
      <c r="BG226" s="128"/>
      <c r="BH226" s="128"/>
      <c r="BI226" s="128"/>
      <c r="BJ226" s="128"/>
    </row>
    <row r="227" spans="1:62" ht="12.75" customHeight="1">
      <c r="A227" s="128"/>
      <c r="B227" s="128"/>
      <c r="C227" s="171"/>
      <c r="D227" s="730" t="s">
        <v>481</v>
      </c>
      <c r="E227" s="209"/>
      <c r="F227" s="751" t="s">
        <v>585</v>
      </c>
      <c r="G227" s="724"/>
      <c r="H227" s="724"/>
      <c r="I227" s="724"/>
      <c r="J227" s="724"/>
      <c r="K227" s="724"/>
      <c r="L227" s="730" t="s">
        <v>586</v>
      </c>
      <c r="M227" s="707"/>
      <c r="N227" s="707"/>
      <c r="O227" s="751" t="s">
        <v>595</v>
      </c>
      <c r="P227" s="724"/>
      <c r="Q227" s="724"/>
      <c r="R227" s="140"/>
      <c r="S227" s="140"/>
      <c r="T227" s="140"/>
      <c r="U227" s="140"/>
      <c r="V227" s="140"/>
      <c r="W227" s="140"/>
      <c r="X227" s="140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40"/>
      <c r="AN227" s="140"/>
      <c r="AO227" s="130"/>
      <c r="AP227" s="130"/>
      <c r="AQ227" s="130"/>
      <c r="AR227" s="130"/>
      <c r="AS227" s="130"/>
      <c r="AT227" s="130"/>
      <c r="AU227" s="130"/>
      <c r="AV227" s="208"/>
      <c r="AW227" s="208"/>
      <c r="AX227" s="207"/>
      <c r="AY227" s="208"/>
      <c r="AZ227" s="208"/>
      <c r="BA227" s="208"/>
      <c r="BB227" s="208"/>
      <c r="BC227" s="208"/>
      <c r="BD227" s="208"/>
      <c r="BE227" s="208"/>
      <c r="BF227" s="128"/>
      <c r="BG227" s="128"/>
      <c r="BH227" s="128"/>
      <c r="BI227" s="128"/>
      <c r="BJ227" s="128"/>
    </row>
    <row r="228" spans="1:62" ht="12.75" customHeight="1">
      <c r="A228" s="128"/>
      <c r="B228" s="128"/>
      <c r="C228" s="171"/>
      <c r="D228" s="707"/>
      <c r="E228" s="730" t="s">
        <v>468</v>
      </c>
      <c r="F228" s="707"/>
      <c r="G228" s="707"/>
      <c r="H228" s="707"/>
      <c r="I228" s="707"/>
      <c r="J228" s="707"/>
      <c r="K228" s="707"/>
      <c r="L228" s="707"/>
      <c r="M228" s="707"/>
      <c r="N228" s="707"/>
      <c r="O228" s="730" t="s">
        <v>468</v>
      </c>
      <c r="P228" s="707"/>
      <c r="Q228" s="707"/>
      <c r="R228" s="140"/>
      <c r="S228" s="140"/>
      <c r="T228" s="140"/>
      <c r="U228" s="140"/>
      <c r="V228" s="140"/>
      <c r="W228" s="140"/>
      <c r="X228" s="140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207"/>
      <c r="AW228" s="207"/>
      <c r="AX228" s="207"/>
      <c r="AY228" s="208"/>
      <c r="AZ228" s="208"/>
      <c r="BA228" s="208"/>
      <c r="BB228" s="208"/>
      <c r="BC228" s="208"/>
      <c r="BD228" s="208"/>
      <c r="BE228" s="208"/>
      <c r="BF228" s="128"/>
      <c r="BG228" s="128"/>
      <c r="BH228" s="128"/>
      <c r="BI228" s="128"/>
      <c r="BJ228" s="128"/>
    </row>
    <row r="229" spans="1:62" ht="4.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30"/>
      <c r="AZ229" s="130"/>
      <c r="BA229" s="130"/>
      <c r="BB229" s="130"/>
      <c r="BC229" s="130"/>
      <c r="BD229" s="130"/>
      <c r="BE229" s="130"/>
      <c r="BF229" s="128"/>
      <c r="BG229" s="128"/>
      <c r="BH229" s="128"/>
      <c r="BI229" s="128"/>
      <c r="BJ229" s="128"/>
    </row>
    <row r="230" spans="1:62" ht="12.75" customHeight="1">
      <c r="A230" s="153" t="s">
        <v>596</v>
      </c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28"/>
      <c r="AY230" s="130"/>
      <c r="AZ230" s="130"/>
      <c r="BA230" s="130"/>
      <c r="BB230" s="130"/>
      <c r="BC230" s="130"/>
      <c r="BD230" s="130"/>
      <c r="BE230" s="130"/>
      <c r="BF230" s="128"/>
      <c r="BG230" s="128"/>
      <c r="BH230" s="128"/>
      <c r="BI230" s="128"/>
      <c r="BJ230" s="128"/>
    </row>
    <row r="231" spans="1:62" ht="4.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40"/>
      <c r="AL231" s="140"/>
      <c r="AM231" s="140"/>
      <c r="AN231" s="14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28"/>
      <c r="AY231" s="130"/>
      <c r="AZ231" s="130"/>
      <c r="BA231" s="130"/>
      <c r="BB231" s="130"/>
      <c r="BC231" s="130"/>
      <c r="BD231" s="130"/>
      <c r="BE231" s="130"/>
      <c r="BF231" s="128"/>
      <c r="BG231" s="128"/>
      <c r="BH231" s="128"/>
      <c r="BI231" s="128"/>
      <c r="BJ231" s="128"/>
    </row>
    <row r="232" spans="1:62" ht="15" customHeight="1">
      <c r="A232" s="722" t="s">
        <v>572</v>
      </c>
      <c r="B232" s="707"/>
      <c r="C232" s="721" t="s">
        <v>262</v>
      </c>
      <c r="D232" s="206" t="s">
        <v>413</v>
      </c>
      <c r="E232" s="732">
        <f>'Askı Tipleri'!M114</f>
        <v>700</v>
      </c>
      <c r="F232" s="724"/>
      <c r="G232" s="213" t="s">
        <v>316</v>
      </c>
      <c r="H232" s="732">
        <f>'Askı Tipleri'!M116</f>
        <v>1000</v>
      </c>
      <c r="I232" s="724"/>
      <c r="J232" s="214" t="s">
        <v>316</v>
      </c>
      <c r="K232" s="213">
        <f>'Askı Tipleri'!M123</f>
        <v>0</v>
      </c>
      <c r="L232" s="213" t="s">
        <v>316</v>
      </c>
      <c r="M232" s="213">
        <f>'Askı Tipleri'!M125</f>
        <v>0</v>
      </c>
      <c r="N232" s="209" t="s">
        <v>414</v>
      </c>
      <c r="O232" s="209" t="s">
        <v>418</v>
      </c>
      <c r="P232" s="206" t="s">
        <v>413</v>
      </c>
      <c r="Q232" s="723">
        <f>'Askı Tipleri'!M135</f>
        <v>9.81</v>
      </c>
      <c r="R232" s="724"/>
      <c r="S232" s="215" t="s">
        <v>316</v>
      </c>
      <c r="T232" s="213">
        <f>'Askı Tipleri'!M134</f>
        <v>0</v>
      </c>
      <c r="U232" s="209" t="s">
        <v>414</v>
      </c>
      <c r="V232" s="721" t="s">
        <v>316</v>
      </c>
      <c r="W232" s="762">
        <f>'Askı Tipleri'!M127</f>
        <v>0</v>
      </c>
      <c r="X232" s="724"/>
      <c r="Y232" s="724"/>
      <c r="Z232" s="721" t="s">
        <v>418</v>
      </c>
      <c r="AA232" s="734">
        <f>Q232</f>
        <v>9.81</v>
      </c>
      <c r="AB232" s="707"/>
      <c r="AC232" s="721" t="s">
        <v>316</v>
      </c>
      <c r="AD232" s="734">
        <f>'Askı Tipleri'!M119</f>
        <v>0</v>
      </c>
      <c r="AE232" s="707"/>
      <c r="AF232" s="707"/>
      <c r="AG232" s="730" t="s">
        <v>597</v>
      </c>
      <c r="AH232" s="752">
        <f>AA232</f>
        <v>9.81</v>
      </c>
      <c r="AI232" s="734" t="s">
        <v>598</v>
      </c>
      <c r="AJ232" s="781">
        <f>M232</f>
        <v>0</v>
      </c>
      <c r="AK232" s="217">
        <f>D233*D233</f>
        <v>4</v>
      </c>
      <c r="AL232" s="217" t="s">
        <v>316</v>
      </c>
      <c r="AM232" s="217">
        <v>2</v>
      </c>
      <c r="AN232" s="721" t="s">
        <v>592</v>
      </c>
      <c r="AO232" s="707"/>
      <c r="AP232" s="213">
        <f>'Askı Tipleri'!M138</f>
        <v>0</v>
      </c>
      <c r="AQ232" s="209" t="s">
        <v>418</v>
      </c>
      <c r="AR232" s="218">
        <f>'Askı Tipleri'!M109</f>
        <v>0</v>
      </c>
      <c r="AS232" s="721" t="s">
        <v>418</v>
      </c>
      <c r="AT232" s="781">
        <f>T232</f>
        <v>0</v>
      </c>
      <c r="AU232" s="781" t="s">
        <v>414</v>
      </c>
      <c r="AV232" s="730" t="s">
        <v>581</v>
      </c>
      <c r="AW232" s="756">
        <f>'Askı Tipleri'!M110</f>
        <v>0</v>
      </c>
      <c r="AX232" s="724"/>
      <c r="AY232" s="217" t="s">
        <v>418</v>
      </c>
      <c r="AZ232" s="219">
        <f>T232</f>
        <v>0</v>
      </c>
      <c r="BA232" s="769" t="s">
        <v>581</v>
      </c>
      <c r="BB232" s="721">
        <v>0</v>
      </c>
      <c r="BC232" s="769" t="s">
        <v>581</v>
      </c>
      <c r="BD232" s="749">
        <f>'Askı Tipleri'!M128</f>
        <v>0</v>
      </c>
      <c r="BE232" s="724"/>
      <c r="BF232" s="128"/>
      <c r="BG232" s="128"/>
      <c r="BH232" s="128"/>
      <c r="BI232" s="128"/>
      <c r="BJ232" s="128"/>
    </row>
    <row r="233" spans="1:62" ht="15" customHeight="1">
      <c r="A233" s="707"/>
      <c r="B233" s="707"/>
      <c r="C233" s="707"/>
      <c r="D233" s="773">
        <f>Y233</f>
        <v>2</v>
      </c>
      <c r="E233" s="637"/>
      <c r="F233" s="637"/>
      <c r="G233" s="637"/>
      <c r="H233" s="637"/>
      <c r="I233" s="637"/>
      <c r="J233" s="637"/>
      <c r="K233" s="637"/>
      <c r="L233" s="637"/>
      <c r="M233" s="637"/>
      <c r="N233" s="637"/>
      <c r="O233" s="637"/>
      <c r="P233" s="637"/>
      <c r="Q233" s="637"/>
      <c r="R233" s="637"/>
      <c r="S233" s="637"/>
      <c r="T233" s="637"/>
      <c r="U233" s="637"/>
      <c r="V233" s="707"/>
      <c r="W233" s="220">
        <v>2</v>
      </c>
      <c r="X233" s="221" t="s">
        <v>418</v>
      </c>
      <c r="Y233" s="220">
        <f>'Askı Tipleri'!M133</f>
        <v>2</v>
      </c>
      <c r="Z233" s="707"/>
      <c r="AA233" s="707"/>
      <c r="AB233" s="707"/>
      <c r="AC233" s="707"/>
      <c r="AD233" s="707"/>
      <c r="AE233" s="707"/>
      <c r="AF233" s="707"/>
      <c r="AG233" s="707"/>
      <c r="AH233" s="707"/>
      <c r="AI233" s="707"/>
      <c r="AJ233" s="707"/>
      <c r="AK233" s="721">
        <v>3</v>
      </c>
      <c r="AL233" s="707"/>
      <c r="AM233" s="707"/>
      <c r="AN233" s="707"/>
      <c r="AO233" s="707"/>
      <c r="AP233" s="171">
        <v>2</v>
      </c>
      <c r="AQ233" s="171" t="s">
        <v>418</v>
      </c>
      <c r="AR233" s="222">
        <f>D233</f>
        <v>2</v>
      </c>
      <c r="AS233" s="707"/>
      <c r="AT233" s="707"/>
      <c r="AU233" s="707"/>
      <c r="AV233" s="707"/>
      <c r="AW233" s="811">
        <f>D233</f>
        <v>2</v>
      </c>
      <c r="AX233" s="637"/>
      <c r="AY233" s="637"/>
      <c r="AZ233" s="637"/>
      <c r="BA233" s="707"/>
      <c r="BB233" s="707"/>
      <c r="BC233" s="707"/>
      <c r="BD233" s="812">
        <f>D233</f>
        <v>2</v>
      </c>
      <c r="BE233" s="637"/>
      <c r="BF233" s="128"/>
      <c r="BG233" s="128"/>
      <c r="BH233" s="128"/>
      <c r="BI233" s="128"/>
      <c r="BJ233" s="128"/>
    </row>
    <row r="234" spans="1:62" ht="4.5" customHeight="1">
      <c r="A234" s="128"/>
      <c r="B234" s="128"/>
      <c r="C234" s="128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  <c r="AA234" s="151"/>
      <c r="AB234" s="128"/>
      <c r="AC234" s="128"/>
      <c r="AD234" s="128"/>
      <c r="AE234" s="151"/>
      <c r="AF234" s="140"/>
      <c r="AG234" s="140"/>
      <c r="AH234" s="140"/>
      <c r="AI234" s="151"/>
      <c r="AJ234" s="151"/>
      <c r="AK234" s="151"/>
      <c r="AL234" s="151"/>
      <c r="AM234" s="151"/>
      <c r="AN234" s="151"/>
      <c r="AO234" s="140"/>
      <c r="AP234" s="140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30"/>
      <c r="BF234" s="128"/>
      <c r="BG234" s="128"/>
      <c r="BH234" s="128"/>
      <c r="BI234" s="128"/>
      <c r="BJ234" s="128"/>
    </row>
    <row r="235" spans="1:62" ht="15" customHeight="1">
      <c r="A235" s="146" t="s">
        <v>572</v>
      </c>
      <c r="B235" s="146"/>
      <c r="C235" s="146" t="s">
        <v>262</v>
      </c>
      <c r="D235" s="730">
        <f>((E232+H232+K232+M232)*(Q232+T232))/D233</f>
        <v>8338.5</v>
      </c>
      <c r="E235" s="707"/>
      <c r="F235" s="707"/>
      <c r="G235" s="171" t="s">
        <v>316</v>
      </c>
      <c r="H235" s="730">
        <f>(W232/W233/Y233)*AA232</f>
        <v>0</v>
      </c>
      <c r="I235" s="707"/>
      <c r="J235" s="171" t="s">
        <v>316</v>
      </c>
      <c r="K235" s="730">
        <f>AD232*(AH232+(AJ232*(AK232+AM232)/AK233))</f>
        <v>0</v>
      </c>
      <c r="L235" s="707"/>
      <c r="M235" s="707"/>
      <c r="N235" s="171" t="s">
        <v>316</v>
      </c>
      <c r="O235" s="140">
        <f>(AP232*AR232*AT232/AP233/AR233)</f>
        <v>0</v>
      </c>
      <c r="P235" s="171" t="s">
        <v>316</v>
      </c>
      <c r="Q235" s="171">
        <f>AW232*AZ232/AW233</f>
        <v>0</v>
      </c>
      <c r="R235" s="140" t="s">
        <v>316</v>
      </c>
      <c r="S235" s="171">
        <f>BB232</f>
        <v>0</v>
      </c>
      <c r="T235" s="171" t="s">
        <v>316</v>
      </c>
      <c r="U235" s="730">
        <f>BD232/BD233</f>
        <v>0</v>
      </c>
      <c r="V235" s="707"/>
      <c r="W235" s="707"/>
      <c r="X235" s="171"/>
      <c r="Y235" s="171"/>
      <c r="Z235" s="140"/>
      <c r="AA235" s="151"/>
      <c r="AB235" s="128"/>
      <c r="AC235" s="146" t="s">
        <v>572</v>
      </c>
      <c r="AD235" s="146"/>
      <c r="AE235" s="146" t="s">
        <v>262</v>
      </c>
      <c r="AF235" s="752">
        <f>D235+H235+K235+O235+Q235+S235+U235</f>
        <v>8338.5</v>
      </c>
      <c r="AG235" s="707"/>
      <c r="AH235" s="707"/>
      <c r="AI235" s="223" t="s">
        <v>374</v>
      </c>
      <c r="AJ235" s="223"/>
      <c r="AK235" s="151"/>
      <c r="AL235" s="151"/>
      <c r="AM235" s="151"/>
      <c r="AN235" s="151"/>
      <c r="AO235" s="140"/>
      <c r="AP235" s="140"/>
      <c r="AQ235" s="140"/>
      <c r="AR235" s="151"/>
      <c r="AS235" s="151"/>
      <c r="AT235" s="151"/>
      <c r="AU235" s="151"/>
      <c r="AV235" s="151"/>
      <c r="AW235" s="151"/>
      <c r="AX235" s="151"/>
      <c r="AY235" s="151"/>
      <c r="AZ235" s="130"/>
      <c r="BA235" s="130"/>
      <c r="BB235" s="130"/>
      <c r="BC235" s="130"/>
      <c r="BD235" s="130"/>
      <c r="BE235" s="130"/>
      <c r="BF235" s="128"/>
      <c r="BG235" s="128"/>
      <c r="BH235" s="128"/>
      <c r="BI235" s="128"/>
      <c r="BJ235" s="128"/>
    </row>
    <row r="236" spans="1:62" ht="4.5" customHeight="1">
      <c r="A236" s="144"/>
      <c r="B236" s="144"/>
      <c r="C236" s="151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  <c r="AA236" s="151"/>
      <c r="AB236" s="128"/>
      <c r="AC236" s="128"/>
      <c r="AD236" s="128"/>
      <c r="AE236" s="151"/>
      <c r="AF236" s="140"/>
      <c r="AG236" s="140"/>
      <c r="AH236" s="140"/>
      <c r="AI236" s="151"/>
      <c r="AJ236" s="151"/>
      <c r="AK236" s="151"/>
      <c r="AL236" s="151"/>
      <c r="AM236" s="151"/>
      <c r="AN236" s="151"/>
      <c r="AO236" s="140"/>
      <c r="AP236" s="140"/>
      <c r="AQ236" s="140"/>
      <c r="AR236" s="151"/>
      <c r="AS236" s="151"/>
      <c r="AT236" s="151"/>
      <c r="AU236" s="151"/>
      <c r="AV236" s="151"/>
      <c r="AW236" s="151"/>
      <c r="AX236" s="151"/>
      <c r="AY236" s="151"/>
      <c r="AZ236" s="130"/>
      <c r="BA236" s="130"/>
      <c r="BB236" s="130"/>
      <c r="BC236" s="130"/>
      <c r="BD236" s="130"/>
      <c r="BE236" s="130"/>
      <c r="BF236" s="128"/>
      <c r="BG236" s="128"/>
      <c r="BH236" s="128"/>
      <c r="BI236" s="128"/>
      <c r="BJ236" s="128"/>
    </row>
    <row r="237" spans="1:62" ht="12.75" customHeight="1">
      <c r="A237" s="722" t="s">
        <v>588</v>
      </c>
      <c r="B237" s="707"/>
      <c r="C237" s="721" t="s">
        <v>262</v>
      </c>
      <c r="D237" s="732">
        <f>'Askı Tipleri'!M117</f>
        <v>1100</v>
      </c>
      <c r="E237" s="724"/>
      <c r="F237" s="209" t="s">
        <v>316</v>
      </c>
      <c r="G237" s="212">
        <f>'Askı Tipleri'!M124</f>
        <v>0</v>
      </c>
      <c r="H237" s="206" t="s">
        <v>599</v>
      </c>
      <c r="I237" s="723">
        <f>Q232</f>
        <v>9.81</v>
      </c>
      <c r="J237" s="724"/>
      <c r="K237" s="209" t="s">
        <v>598</v>
      </c>
      <c r="L237" s="212">
        <f>M232</f>
        <v>0</v>
      </c>
      <c r="M237" s="199" t="s">
        <v>414</v>
      </c>
      <c r="N237" s="781" t="s">
        <v>316</v>
      </c>
      <c r="O237" s="224">
        <f>W232</f>
        <v>0</v>
      </c>
      <c r="P237" s="199" t="s">
        <v>418</v>
      </c>
      <c r="Q237" s="723">
        <f>Q232</f>
        <v>9.81</v>
      </c>
      <c r="R237" s="724"/>
      <c r="S237" s="730" t="s">
        <v>316</v>
      </c>
      <c r="T237" s="752">
        <f>'Askı Tipleri'!M120</f>
        <v>22.344000000000001</v>
      </c>
      <c r="U237" s="707"/>
      <c r="V237" s="752" t="s">
        <v>599</v>
      </c>
      <c r="W237" s="752">
        <f>Q237</f>
        <v>9.81</v>
      </c>
      <c r="X237" s="707"/>
      <c r="Y237" s="734" t="s">
        <v>598</v>
      </c>
      <c r="Z237" s="785">
        <f>L237</f>
        <v>0</v>
      </c>
      <c r="AA237" s="209">
        <f>D238*D238</f>
        <v>4</v>
      </c>
      <c r="AB237" s="209" t="s">
        <v>316</v>
      </c>
      <c r="AC237" s="217">
        <v>2</v>
      </c>
      <c r="AD237" s="721" t="s">
        <v>592</v>
      </c>
      <c r="AE237" s="707"/>
      <c r="AF237" s="213">
        <f>AP232</f>
        <v>0</v>
      </c>
      <c r="AG237" s="206" t="s">
        <v>418</v>
      </c>
      <c r="AH237" s="218">
        <f>AR232</f>
        <v>0</v>
      </c>
      <c r="AI237" s="781" t="s">
        <v>418</v>
      </c>
      <c r="AJ237" s="781">
        <f>L237</f>
        <v>0</v>
      </c>
      <c r="AK237" s="721" t="s">
        <v>600</v>
      </c>
      <c r="AL237" s="707"/>
      <c r="AM237" s="225">
        <f>'Askı Tipleri'!M110</f>
        <v>0</v>
      </c>
      <c r="AN237" s="213" t="s">
        <v>418</v>
      </c>
      <c r="AO237" s="213">
        <f>L237</f>
        <v>0</v>
      </c>
      <c r="AP237" s="769" t="s">
        <v>581</v>
      </c>
      <c r="AQ237" s="721">
        <v>0</v>
      </c>
      <c r="AR237" s="769" t="s">
        <v>581</v>
      </c>
      <c r="AS237" s="212">
        <f>'Askı Tipleri'!M129</f>
        <v>0</v>
      </c>
      <c r="AT237" s="171"/>
      <c r="AU237" s="171"/>
      <c r="AV237" s="146"/>
      <c r="AW237" s="226"/>
      <c r="AX237" s="146"/>
      <c r="AY237" s="146"/>
      <c r="AZ237" s="721"/>
      <c r="BA237" s="721"/>
      <c r="BB237" s="171"/>
      <c r="BC237" s="171"/>
      <c r="BD237" s="171"/>
      <c r="BE237" s="146"/>
      <c r="BF237" s="128"/>
      <c r="BG237" s="128"/>
      <c r="BH237" s="128"/>
      <c r="BI237" s="128"/>
      <c r="BJ237" s="128"/>
    </row>
    <row r="238" spans="1:62" ht="12.75" customHeight="1">
      <c r="A238" s="707"/>
      <c r="B238" s="707"/>
      <c r="C238" s="707"/>
      <c r="D238" s="828">
        <f>D233</f>
        <v>2</v>
      </c>
      <c r="E238" s="707"/>
      <c r="F238" s="707"/>
      <c r="G238" s="707"/>
      <c r="H238" s="707"/>
      <c r="I238" s="707"/>
      <c r="J238" s="707"/>
      <c r="K238" s="707"/>
      <c r="L238" s="707"/>
      <c r="M238" s="707"/>
      <c r="N238" s="707"/>
      <c r="O238" s="171">
        <v>2</v>
      </c>
      <c r="P238" s="171" t="s">
        <v>418</v>
      </c>
      <c r="Q238" s="220">
        <f>D238</f>
        <v>2</v>
      </c>
      <c r="R238" s="171"/>
      <c r="S238" s="707"/>
      <c r="T238" s="707"/>
      <c r="U238" s="707"/>
      <c r="V238" s="707"/>
      <c r="W238" s="707"/>
      <c r="X238" s="707"/>
      <c r="Y238" s="707"/>
      <c r="Z238" s="707"/>
      <c r="AA238" s="730">
        <v>3</v>
      </c>
      <c r="AB238" s="707"/>
      <c r="AC238" s="707"/>
      <c r="AD238" s="707"/>
      <c r="AE238" s="707"/>
      <c r="AF238" s="140">
        <v>2</v>
      </c>
      <c r="AG238" s="140" t="s">
        <v>418</v>
      </c>
      <c r="AH238" s="222">
        <f>D238</f>
        <v>2</v>
      </c>
      <c r="AI238" s="707"/>
      <c r="AJ238" s="707"/>
      <c r="AK238" s="707"/>
      <c r="AL238" s="707"/>
      <c r="AM238" s="766">
        <f>D238</f>
        <v>2</v>
      </c>
      <c r="AN238" s="707"/>
      <c r="AO238" s="707"/>
      <c r="AP238" s="707"/>
      <c r="AQ238" s="707"/>
      <c r="AR238" s="707"/>
      <c r="AS238" s="221">
        <f>D238</f>
        <v>2</v>
      </c>
      <c r="AT238" s="171"/>
      <c r="AU238" s="171"/>
      <c r="AV238" s="146"/>
      <c r="AW238" s="146"/>
      <c r="AX238" s="146"/>
      <c r="AY238" s="146"/>
      <c r="AZ238" s="707"/>
      <c r="BA238" s="707"/>
      <c r="BB238" s="171"/>
      <c r="BC238" s="171"/>
      <c r="BD238" s="171"/>
      <c r="BE238" s="146"/>
      <c r="BF238" s="128"/>
      <c r="BG238" s="128"/>
      <c r="BH238" s="128"/>
      <c r="BI238" s="128"/>
      <c r="BJ238" s="128"/>
    </row>
    <row r="239" spans="1:62" ht="6" customHeight="1">
      <c r="A239" s="140"/>
      <c r="B239" s="140"/>
      <c r="C239" s="140"/>
      <c r="D239" s="151"/>
      <c r="E239" s="171"/>
      <c r="F239" s="171"/>
      <c r="G239" s="171"/>
      <c r="H239" s="146"/>
      <c r="I239" s="146"/>
      <c r="J239" s="146"/>
      <c r="K239" s="146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46"/>
      <c r="X239" s="171"/>
      <c r="Y239" s="171"/>
      <c r="Z239" s="171"/>
      <c r="AA239" s="171"/>
      <c r="AB239" s="171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0"/>
      <c r="AM239" s="140"/>
      <c r="AN239" s="140"/>
      <c r="AO239" s="144"/>
      <c r="AP239" s="144"/>
      <c r="AQ239" s="144"/>
      <c r="AR239" s="155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44"/>
      <c r="BC239" s="144"/>
      <c r="BD239" s="144"/>
      <c r="BE239" s="144"/>
      <c r="BF239" s="146"/>
      <c r="BG239" s="146"/>
      <c r="BH239" s="146"/>
      <c r="BI239" s="146"/>
      <c r="BJ239" s="146"/>
    </row>
    <row r="240" spans="1:62" ht="15" customHeight="1">
      <c r="A240" s="146" t="s">
        <v>588</v>
      </c>
      <c r="B240" s="146"/>
      <c r="C240" s="146" t="s">
        <v>262</v>
      </c>
      <c r="D240" s="730">
        <f>(D237+G237)*(I237+L237)/D238</f>
        <v>5395.5</v>
      </c>
      <c r="E240" s="707"/>
      <c r="F240" s="707"/>
      <c r="G240" s="171" t="s">
        <v>316</v>
      </c>
      <c r="H240" s="730">
        <f>(O237*Q237)/(O238*Q238)</f>
        <v>0</v>
      </c>
      <c r="I240" s="707"/>
      <c r="J240" s="171" t="s">
        <v>316</v>
      </c>
      <c r="K240" s="730">
        <f>T237*(W237+(Z237*((AA237+AC237)/AA238)))</f>
        <v>219.19464000000002</v>
      </c>
      <c r="L240" s="707"/>
      <c r="M240" s="171" t="s">
        <v>316</v>
      </c>
      <c r="N240" s="730">
        <f>(AF237*AH237*AJ237)/(AF238*AH238)</f>
        <v>0</v>
      </c>
      <c r="O240" s="707"/>
      <c r="P240" s="171" t="s">
        <v>316</v>
      </c>
      <c r="Q240" s="730">
        <f>AM237*AO237/AM238</f>
        <v>0</v>
      </c>
      <c r="R240" s="707"/>
      <c r="S240" s="171" t="s">
        <v>316</v>
      </c>
      <c r="T240" s="730">
        <f>AM237*AO237/AM238</f>
        <v>0</v>
      </c>
      <c r="U240" s="707"/>
      <c r="V240" s="171" t="s">
        <v>316</v>
      </c>
      <c r="W240" s="730">
        <f>AS237/AS238</f>
        <v>0</v>
      </c>
      <c r="X240" s="707"/>
      <c r="Y240" s="171"/>
      <c r="Z240" s="171"/>
      <c r="AA240" s="174"/>
      <c r="AB240" s="171"/>
      <c r="AC240" s="171"/>
      <c r="AD240" s="171"/>
      <c r="AE240" s="140"/>
      <c r="AF240" s="140"/>
      <c r="AG240" s="146" t="s">
        <v>588</v>
      </c>
      <c r="AH240" s="146"/>
      <c r="AI240" s="146" t="s">
        <v>262</v>
      </c>
      <c r="AJ240" s="752">
        <f>D240+H240+K240+N240+Q240+T240+W240</f>
        <v>5614.6946399999997</v>
      </c>
      <c r="AK240" s="707"/>
      <c r="AL240" s="707"/>
      <c r="AM240" s="707"/>
      <c r="AN240" s="735" t="s">
        <v>374</v>
      </c>
      <c r="AO240" s="707"/>
      <c r="AP240" s="130"/>
      <c r="AQ240" s="130"/>
      <c r="AR240" s="227"/>
      <c r="AS240" s="227"/>
      <c r="AT240" s="227"/>
      <c r="AU240" s="227"/>
      <c r="AV240" s="227"/>
      <c r="AW240" s="227"/>
      <c r="AX240" s="227"/>
      <c r="AY240" s="227"/>
      <c r="AZ240" s="227"/>
      <c r="BA240" s="227"/>
      <c r="BB240" s="130"/>
      <c r="BC240" s="130"/>
      <c r="BD240" s="130"/>
      <c r="BE240" s="130"/>
      <c r="BF240" s="128"/>
      <c r="BG240" s="128"/>
      <c r="BH240" s="128"/>
      <c r="BI240" s="128"/>
      <c r="BJ240" s="128"/>
    </row>
    <row r="241" spans="1:62" ht="4.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30"/>
      <c r="AP241" s="130"/>
      <c r="AQ241" s="130"/>
      <c r="AR241" s="146"/>
      <c r="AS241" s="146"/>
      <c r="AT241" s="146"/>
      <c r="AU241" s="146"/>
      <c r="AV241" s="146"/>
      <c r="AW241" s="146"/>
      <c r="AX241" s="146"/>
      <c r="AY241" s="146"/>
      <c r="AZ241" s="146"/>
      <c r="BA241" s="146"/>
      <c r="BB241" s="130"/>
      <c r="BC241" s="130"/>
      <c r="BD241" s="130"/>
      <c r="BE241" s="130"/>
      <c r="BF241" s="128"/>
      <c r="BG241" s="128"/>
      <c r="BH241" s="128"/>
      <c r="BI241" s="128"/>
      <c r="BJ241" s="128"/>
    </row>
    <row r="242" spans="1:62" ht="15" customHeight="1">
      <c r="A242" s="146" t="s">
        <v>572</v>
      </c>
      <c r="B242" s="140"/>
      <c r="C242" s="140" t="s">
        <v>436</v>
      </c>
      <c r="D242" s="146" t="s">
        <v>588</v>
      </c>
      <c r="E242" s="140"/>
      <c r="F242" s="143" t="s">
        <v>448</v>
      </c>
      <c r="G242" s="735" t="s">
        <v>601</v>
      </c>
      <c r="H242" s="707"/>
      <c r="I242" s="707"/>
      <c r="J242" s="140"/>
      <c r="K242" s="752">
        <f>MAX(AF235/AJ240,AJ240/AF235)</f>
        <v>1.4851208364200552</v>
      </c>
      <c r="L242" s="707"/>
      <c r="M242" s="707"/>
      <c r="N242" s="143" t="s">
        <v>448</v>
      </c>
      <c r="O242" s="752">
        <f>EXP(VLOOKUP('Veri Girişi'!$F$106,'Veri Girişi'!$T$42:$W$43,2,0)*AA184)</f>
        <v>1.6387784055521135</v>
      </c>
      <c r="P242" s="707"/>
      <c r="Q242" s="707"/>
      <c r="R242" s="730" t="s">
        <v>384</v>
      </c>
      <c r="S242" s="707"/>
      <c r="T242" s="707"/>
      <c r="U242" s="707"/>
      <c r="V242" s="707"/>
      <c r="W242" s="707"/>
      <c r="X242" s="707"/>
      <c r="Y242" s="140"/>
      <c r="Z242" s="725" t="str">
        <f>IF(O242&gt;=K242,"UYGUNDUR.","UYGUN DEĞİLDİR.")</f>
        <v>UYGUNDUR.</v>
      </c>
      <c r="AA242" s="710"/>
      <c r="AB242" s="710"/>
      <c r="AC242" s="710"/>
      <c r="AD242" s="710"/>
      <c r="AE242" s="710"/>
      <c r="AF242" s="710"/>
      <c r="AG242" s="710"/>
      <c r="AH242" s="710"/>
      <c r="AI242" s="583"/>
      <c r="AJ242" s="128"/>
      <c r="AK242" s="128"/>
      <c r="AL242" s="128"/>
      <c r="AM242" s="128"/>
      <c r="AN242" s="128"/>
      <c r="AO242" s="130"/>
      <c r="AP242" s="130"/>
      <c r="AQ242" s="130"/>
      <c r="AR242" s="130"/>
      <c r="AS242" s="130"/>
      <c r="AT242" s="130"/>
      <c r="AU242" s="130"/>
      <c r="AV242" s="130"/>
      <c r="AW242" s="130"/>
      <c r="AX242" s="128"/>
      <c r="AY242" s="130"/>
      <c r="AZ242" s="130" t="s">
        <v>602</v>
      </c>
      <c r="BA242" s="130"/>
      <c r="BB242" s="130"/>
      <c r="BC242" s="130"/>
      <c r="BD242" s="130"/>
      <c r="BE242" s="130"/>
      <c r="BF242" s="128"/>
      <c r="BG242" s="128"/>
      <c r="BH242" s="128"/>
      <c r="BI242" s="128"/>
      <c r="BJ242" s="128"/>
    </row>
    <row r="243" spans="1:62" ht="6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30"/>
      <c r="AP243" s="130"/>
      <c r="AQ243" s="130"/>
      <c r="AR243" s="130"/>
      <c r="AS243" s="130"/>
      <c r="AT243" s="130"/>
      <c r="AU243" s="130"/>
      <c r="AV243" s="130"/>
      <c r="AW243" s="130"/>
      <c r="AX243" s="128"/>
      <c r="AY243" s="130"/>
      <c r="AZ243" s="130"/>
      <c r="BA243" s="130"/>
      <c r="BB243" s="130"/>
      <c r="BC243" s="130"/>
      <c r="BD243" s="130"/>
      <c r="BE243" s="130"/>
      <c r="BF243" s="128"/>
      <c r="BG243" s="128"/>
      <c r="BH243" s="128"/>
      <c r="BI243" s="128"/>
      <c r="BJ243" s="128"/>
    </row>
    <row r="244" spans="1:62" ht="6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30"/>
      <c r="AP244" s="130"/>
      <c r="AQ244" s="130"/>
      <c r="AR244" s="130"/>
      <c r="AS244" s="130"/>
      <c r="AT244" s="130"/>
      <c r="AU244" s="130"/>
      <c r="AV244" s="130"/>
      <c r="AW244" s="130"/>
      <c r="AX244" s="128"/>
      <c r="AY244" s="130"/>
      <c r="AZ244" s="130"/>
      <c r="BA244" s="130"/>
      <c r="BB244" s="130"/>
      <c r="BC244" s="130"/>
      <c r="BD244" s="130"/>
      <c r="BE244" s="130"/>
      <c r="BF244" s="128"/>
      <c r="BG244" s="128"/>
      <c r="BH244" s="128"/>
      <c r="BI244" s="128"/>
      <c r="BJ244" s="128"/>
    </row>
    <row r="245" spans="1:62" ht="12.75" customHeight="1">
      <c r="A245" s="153" t="s">
        <v>603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40"/>
      <c r="AH245" s="140"/>
      <c r="AI245" s="140"/>
      <c r="AJ245" s="140"/>
      <c r="AK245" s="140"/>
      <c r="AL245" s="140"/>
      <c r="AM245" s="140"/>
      <c r="AN245" s="140"/>
      <c r="AO245" s="130"/>
      <c r="AP245" s="130"/>
      <c r="AQ245" s="130"/>
      <c r="AR245" s="130"/>
      <c r="AS245" s="130"/>
      <c r="AT245" s="130"/>
      <c r="AU245" s="130"/>
      <c r="AV245" s="130"/>
      <c r="AW245" s="130"/>
      <c r="AX245" s="128"/>
      <c r="AY245" s="130"/>
      <c r="AZ245" s="130"/>
      <c r="BA245" s="130"/>
      <c r="BB245" s="130"/>
      <c r="BC245" s="130"/>
      <c r="BD245" s="130"/>
      <c r="BE245" s="130"/>
      <c r="BF245" s="128"/>
      <c r="BG245" s="128"/>
      <c r="BH245" s="128"/>
      <c r="BI245" s="128"/>
      <c r="BJ245" s="128"/>
    </row>
    <row r="246" spans="1:62" ht="4.5" customHeight="1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  <c r="AA246" s="140"/>
      <c r="AB246" s="140"/>
      <c r="AC246" s="140"/>
      <c r="AD246" s="140"/>
      <c r="AE246" s="140"/>
      <c r="AF246" s="140"/>
      <c r="AG246" s="140"/>
      <c r="AH246" s="140"/>
      <c r="AI246" s="140"/>
      <c r="AJ246" s="140"/>
      <c r="AK246" s="140"/>
      <c r="AL246" s="140"/>
      <c r="AM246" s="140"/>
      <c r="AN246" s="140"/>
      <c r="AO246" s="130"/>
      <c r="AP246" s="130"/>
      <c r="AQ246" s="130"/>
      <c r="AR246" s="130"/>
      <c r="AS246" s="130"/>
      <c r="AT246" s="130"/>
      <c r="AU246" s="130"/>
      <c r="AV246" s="130"/>
      <c r="AW246" s="130"/>
      <c r="AX246" s="128"/>
      <c r="AY246" s="130"/>
      <c r="AZ246" s="130"/>
      <c r="BA246" s="130"/>
      <c r="BB246" s="130"/>
      <c r="BC246" s="130"/>
      <c r="BD246" s="130"/>
      <c r="BE246" s="130"/>
      <c r="BF246" s="128"/>
      <c r="BG246" s="128"/>
      <c r="BH246" s="128"/>
      <c r="BI246" s="128"/>
      <c r="BJ246" s="128"/>
    </row>
    <row r="247" spans="1:62" ht="12.75" customHeight="1">
      <c r="A247" s="722" t="s">
        <v>572</v>
      </c>
      <c r="B247" s="707"/>
      <c r="C247" s="721" t="s">
        <v>262</v>
      </c>
      <c r="D247" s="206" t="s">
        <v>413</v>
      </c>
      <c r="E247" s="732">
        <f>'Askı Tipleri'!P114</f>
        <v>700</v>
      </c>
      <c r="F247" s="724"/>
      <c r="G247" s="213" t="s">
        <v>316</v>
      </c>
      <c r="H247" s="732">
        <f>'Askı Tipleri'!P116</f>
        <v>800</v>
      </c>
      <c r="I247" s="724"/>
      <c r="J247" s="214" t="s">
        <v>316</v>
      </c>
      <c r="K247" s="213">
        <f>'Askı Tipleri'!P123</f>
        <v>0</v>
      </c>
      <c r="L247" s="213" t="s">
        <v>316</v>
      </c>
      <c r="M247" s="213">
        <f>'Askı Tipleri'!P125</f>
        <v>0</v>
      </c>
      <c r="N247" s="209" t="s">
        <v>414</v>
      </c>
      <c r="O247" s="209" t="s">
        <v>418</v>
      </c>
      <c r="P247" s="206" t="s">
        <v>413</v>
      </c>
      <c r="Q247" s="723">
        <f>Q232</f>
        <v>9.81</v>
      </c>
      <c r="R247" s="724"/>
      <c r="S247" s="215" t="s">
        <v>317</v>
      </c>
      <c r="T247" s="213">
        <f>'Askı Tipleri'!P134</f>
        <v>0.8</v>
      </c>
      <c r="U247" s="209" t="s">
        <v>414</v>
      </c>
      <c r="V247" s="721" t="s">
        <v>316</v>
      </c>
      <c r="W247" s="762">
        <f>'Askı Tipleri'!P127</f>
        <v>0</v>
      </c>
      <c r="X247" s="724"/>
      <c r="Y247" s="724"/>
      <c r="Z247" s="721" t="s">
        <v>418</v>
      </c>
      <c r="AA247" s="734">
        <f>Q247</f>
        <v>9.81</v>
      </c>
      <c r="AB247" s="707"/>
      <c r="AC247" s="721" t="s">
        <v>316</v>
      </c>
      <c r="AD247" s="734">
        <f>'Askı Tipleri'!P119</f>
        <v>0</v>
      </c>
      <c r="AE247" s="707"/>
      <c r="AF247" s="707"/>
      <c r="AG247" s="730" t="s">
        <v>597</v>
      </c>
      <c r="AH247" s="752">
        <f>AA247</f>
        <v>9.81</v>
      </c>
      <c r="AI247" s="734" t="s">
        <v>598</v>
      </c>
      <c r="AJ247" s="781">
        <f>T247</f>
        <v>0.8</v>
      </c>
      <c r="AK247" s="217">
        <f>D248*D248</f>
        <v>4</v>
      </c>
      <c r="AL247" s="217" t="s">
        <v>316</v>
      </c>
      <c r="AM247" s="217">
        <v>2</v>
      </c>
      <c r="AN247" s="721" t="s">
        <v>592</v>
      </c>
      <c r="AO247" s="707"/>
      <c r="AP247" s="213">
        <f>'Askı Tipleri'!P138</f>
        <v>0</v>
      </c>
      <c r="AQ247" s="209" t="s">
        <v>418</v>
      </c>
      <c r="AR247" s="218">
        <f>'Askı Tipleri'!P109</f>
        <v>0</v>
      </c>
      <c r="AS247" s="721" t="s">
        <v>418</v>
      </c>
      <c r="AT247" s="781">
        <f>T247</f>
        <v>0.8</v>
      </c>
      <c r="AU247" s="781" t="s">
        <v>414</v>
      </c>
      <c r="AV247" s="730" t="s">
        <v>581</v>
      </c>
      <c r="AW247" s="756">
        <f>'Askı Tipleri'!P110</f>
        <v>0</v>
      </c>
      <c r="AX247" s="724"/>
      <c r="AY247" s="217" t="s">
        <v>418</v>
      </c>
      <c r="AZ247" s="219">
        <f>T247</f>
        <v>0.8</v>
      </c>
      <c r="BA247" s="769" t="s">
        <v>581</v>
      </c>
      <c r="BB247" s="721">
        <v>0</v>
      </c>
      <c r="BC247" s="769" t="s">
        <v>317</v>
      </c>
      <c r="BD247" s="749">
        <f>'Askı Tipleri'!P128</f>
        <v>135.15</v>
      </c>
      <c r="BE247" s="724"/>
      <c r="BF247" s="128"/>
      <c r="BG247" s="128"/>
      <c r="BH247" s="128"/>
      <c r="BI247" s="128"/>
      <c r="BJ247" s="128"/>
    </row>
    <row r="248" spans="1:62" ht="12.75" customHeight="1">
      <c r="A248" s="707"/>
      <c r="B248" s="707"/>
      <c r="C248" s="707"/>
      <c r="D248" s="773">
        <f>'Askı Tipleri'!P133</f>
        <v>2</v>
      </c>
      <c r="E248" s="637"/>
      <c r="F248" s="637"/>
      <c r="G248" s="637"/>
      <c r="H248" s="637"/>
      <c r="I248" s="637"/>
      <c r="J248" s="637"/>
      <c r="K248" s="637"/>
      <c r="L248" s="637"/>
      <c r="M248" s="637"/>
      <c r="N248" s="637"/>
      <c r="O248" s="637"/>
      <c r="P248" s="637"/>
      <c r="Q248" s="637"/>
      <c r="R248" s="637"/>
      <c r="S248" s="637"/>
      <c r="T248" s="637"/>
      <c r="U248" s="637"/>
      <c r="V248" s="707"/>
      <c r="W248" s="220">
        <v>2</v>
      </c>
      <c r="X248" s="221" t="s">
        <v>418</v>
      </c>
      <c r="Y248" s="220">
        <f>D248</f>
        <v>2</v>
      </c>
      <c r="Z248" s="707"/>
      <c r="AA248" s="707"/>
      <c r="AB248" s="707"/>
      <c r="AC248" s="707"/>
      <c r="AD248" s="707"/>
      <c r="AE248" s="707"/>
      <c r="AF248" s="707"/>
      <c r="AG248" s="707"/>
      <c r="AH248" s="707"/>
      <c r="AI248" s="707"/>
      <c r="AJ248" s="707"/>
      <c r="AK248" s="721">
        <v>3</v>
      </c>
      <c r="AL248" s="707"/>
      <c r="AM248" s="707"/>
      <c r="AN248" s="707"/>
      <c r="AO248" s="707"/>
      <c r="AP248" s="171">
        <v>2</v>
      </c>
      <c r="AQ248" s="171" t="s">
        <v>418</v>
      </c>
      <c r="AR248" s="222">
        <f>D248</f>
        <v>2</v>
      </c>
      <c r="AS248" s="707"/>
      <c r="AT248" s="707"/>
      <c r="AU248" s="707"/>
      <c r="AV248" s="707"/>
      <c r="AW248" s="811">
        <f>D248</f>
        <v>2</v>
      </c>
      <c r="AX248" s="637"/>
      <c r="AY248" s="637"/>
      <c r="AZ248" s="637"/>
      <c r="BA248" s="707"/>
      <c r="BB248" s="707"/>
      <c r="BC248" s="707"/>
      <c r="BD248" s="812">
        <f>D248</f>
        <v>2</v>
      </c>
      <c r="BE248" s="637"/>
      <c r="BF248" s="128"/>
      <c r="BG248" s="128"/>
      <c r="BH248" s="128"/>
      <c r="BI248" s="128"/>
      <c r="BJ248" s="128"/>
    </row>
    <row r="249" spans="1:62" ht="4.5" customHeight="1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  <c r="AB249" s="140"/>
      <c r="AC249" s="140"/>
      <c r="AD249" s="140"/>
      <c r="AE249" s="140"/>
      <c r="AF249" s="140"/>
      <c r="AG249" s="140"/>
      <c r="AH249" s="140"/>
      <c r="AI249" s="140"/>
      <c r="AJ249" s="140"/>
      <c r="AK249" s="140"/>
      <c r="AL249" s="140"/>
      <c r="AM249" s="140"/>
      <c r="AN249" s="140"/>
      <c r="AO249" s="130"/>
      <c r="AP249" s="130"/>
      <c r="AQ249" s="130"/>
      <c r="AR249" s="130"/>
      <c r="AS249" s="130"/>
      <c r="AT249" s="130"/>
      <c r="AU249" s="130"/>
      <c r="AV249" s="130"/>
      <c r="AW249" s="130"/>
      <c r="AX249" s="128"/>
      <c r="AY249" s="130"/>
      <c r="AZ249" s="130"/>
      <c r="BA249" s="130"/>
      <c r="BB249" s="130"/>
      <c r="BC249" s="130"/>
      <c r="BD249" s="130"/>
      <c r="BE249" s="130"/>
      <c r="BF249" s="128"/>
      <c r="BG249" s="128"/>
      <c r="BH249" s="128"/>
      <c r="BI249" s="128"/>
      <c r="BJ249" s="128"/>
    </row>
    <row r="250" spans="1:62" ht="15" customHeight="1">
      <c r="A250" s="722" t="s">
        <v>572</v>
      </c>
      <c r="B250" s="707"/>
      <c r="C250" s="146" t="s">
        <v>262</v>
      </c>
      <c r="D250" s="730">
        <f>((E247+H247+K247+M247)*(Q247-T247))/D248</f>
        <v>6757.5</v>
      </c>
      <c r="E250" s="707"/>
      <c r="F250" s="707"/>
      <c r="G250" s="707"/>
      <c r="H250" s="174" t="s">
        <v>316</v>
      </c>
      <c r="I250" s="730">
        <f>(W247*AA247)/(W248*Y248)</f>
        <v>0</v>
      </c>
      <c r="J250" s="707"/>
      <c r="K250" s="140" t="s">
        <v>316</v>
      </c>
      <c r="L250" s="730">
        <f>AD247*(AH247+(AJ247*(AK247+AM247)/AK248))</f>
        <v>0</v>
      </c>
      <c r="M250" s="707"/>
      <c r="N250" s="707"/>
      <c r="O250" s="140" t="s">
        <v>316</v>
      </c>
      <c r="P250" s="730">
        <f>AP247*AR247*AT247/(AP248*AR248)</f>
        <v>0</v>
      </c>
      <c r="Q250" s="707"/>
      <c r="R250" s="174" t="s">
        <v>316</v>
      </c>
      <c r="S250" s="730">
        <f>AW247*AZ247/AW248</f>
        <v>0</v>
      </c>
      <c r="T250" s="707"/>
      <c r="U250" s="140" t="s">
        <v>316</v>
      </c>
      <c r="V250" s="171">
        <f>BB247</f>
        <v>0</v>
      </c>
      <c r="W250" s="171" t="s">
        <v>317</v>
      </c>
      <c r="X250" s="730">
        <f>BD247/BD248</f>
        <v>67.575000000000003</v>
      </c>
      <c r="Y250" s="707"/>
      <c r="Z250" s="140"/>
      <c r="AA250" s="151"/>
      <c r="AB250" s="128"/>
      <c r="AC250" s="722" t="s">
        <v>572</v>
      </c>
      <c r="AD250" s="707"/>
      <c r="AE250" s="146" t="s">
        <v>262</v>
      </c>
      <c r="AF250" s="752">
        <f>D250+I250+L250+P250+S250+V250-X250</f>
        <v>6689.9250000000002</v>
      </c>
      <c r="AG250" s="707"/>
      <c r="AH250" s="707"/>
      <c r="AI250" s="707"/>
      <c r="AJ250" s="707"/>
      <c r="AK250" s="151" t="s">
        <v>374</v>
      </c>
      <c r="AL250" s="140"/>
      <c r="AM250" s="140"/>
      <c r="AN250" s="140"/>
      <c r="AO250" s="130"/>
      <c r="AP250" s="130"/>
      <c r="AQ250" s="130"/>
      <c r="AR250" s="130"/>
      <c r="AS250" s="130"/>
      <c r="AT250" s="130"/>
      <c r="AU250" s="130"/>
      <c r="AV250" s="130"/>
      <c r="AW250" s="130"/>
      <c r="AX250" s="128"/>
      <c r="AY250" s="130"/>
      <c r="AZ250" s="130"/>
      <c r="BA250" s="130"/>
      <c r="BB250" s="130"/>
      <c r="BC250" s="130"/>
      <c r="BD250" s="130"/>
      <c r="BE250" s="130"/>
      <c r="BF250" s="128"/>
      <c r="BG250" s="128"/>
      <c r="BH250" s="128"/>
      <c r="BI250" s="128"/>
      <c r="BJ250" s="128"/>
    </row>
    <row r="251" spans="1:62" ht="4.5" customHeight="1">
      <c r="A251" s="146"/>
      <c r="B251" s="146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  <c r="AA251" s="140"/>
      <c r="AB251" s="140"/>
      <c r="AC251" s="140"/>
      <c r="AD251" s="140"/>
      <c r="AE251" s="140"/>
      <c r="AF251" s="140"/>
      <c r="AG251" s="140"/>
      <c r="AH251" s="140"/>
      <c r="AI251" s="140"/>
      <c r="AJ251" s="140"/>
      <c r="AK251" s="140"/>
      <c r="AL251" s="140"/>
      <c r="AM251" s="140"/>
      <c r="AN251" s="140"/>
      <c r="AO251" s="130"/>
      <c r="AP251" s="130"/>
      <c r="AQ251" s="130"/>
      <c r="AR251" s="130"/>
      <c r="AS251" s="130"/>
      <c r="AT251" s="130"/>
      <c r="AU251" s="130"/>
      <c r="AV251" s="130"/>
      <c r="AW251" s="130"/>
      <c r="AX251" s="128"/>
      <c r="AY251" s="130"/>
      <c r="AZ251" s="130"/>
      <c r="BA251" s="130"/>
      <c r="BB251" s="130"/>
      <c r="BC251" s="130"/>
      <c r="BD251" s="130"/>
      <c r="BE251" s="130"/>
      <c r="BF251" s="128"/>
      <c r="BG251" s="128"/>
      <c r="BH251" s="128"/>
      <c r="BI251" s="128"/>
      <c r="BJ251" s="128"/>
    </row>
    <row r="252" spans="1:62" ht="12.75" customHeight="1">
      <c r="A252" s="722" t="s">
        <v>588</v>
      </c>
      <c r="B252" s="707"/>
      <c r="C252" s="721" t="s">
        <v>262</v>
      </c>
      <c r="D252" s="732">
        <f>'Askı Tipleri'!P117</f>
        <v>1100</v>
      </c>
      <c r="E252" s="724"/>
      <c r="F252" s="209" t="s">
        <v>316</v>
      </c>
      <c r="G252" s="212">
        <f>'Askı Tipleri'!P124</f>
        <v>0</v>
      </c>
      <c r="H252" s="206" t="s">
        <v>599</v>
      </c>
      <c r="I252" s="723">
        <f>Q247</f>
        <v>9.81</v>
      </c>
      <c r="J252" s="724"/>
      <c r="K252" s="209" t="s">
        <v>316</v>
      </c>
      <c r="L252" s="212">
        <f>T247</f>
        <v>0.8</v>
      </c>
      <c r="M252" s="199" t="s">
        <v>414</v>
      </c>
      <c r="N252" s="781" t="s">
        <v>316</v>
      </c>
      <c r="O252" s="224">
        <f>'Askı Tipleri'!P127</f>
        <v>0</v>
      </c>
      <c r="P252" s="199" t="s">
        <v>418</v>
      </c>
      <c r="Q252" s="723">
        <f>I252</f>
        <v>9.81</v>
      </c>
      <c r="R252" s="724"/>
      <c r="S252" s="730" t="s">
        <v>317</v>
      </c>
      <c r="T252" s="752">
        <f>'Askı Tipleri'!P120</f>
        <v>22.344000000000001</v>
      </c>
      <c r="U252" s="707"/>
      <c r="V252" s="752" t="s">
        <v>599</v>
      </c>
      <c r="W252" s="752">
        <f>Q252</f>
        <v>9.81</v>
      </c>
      <c r="X252" s="707"/>
      <c r="Y252" s="734" t="s">
        <v>598</v>
      </c>
      <c r="Z252" s="785">
        <f>L252</f>
        <v>0.8</v>
      </c>
      <c r="AA252" s="209">
        <f>D253*D253</f>
        <v>4</v>
      </c>
      <c r="AB252" s="209" t="s">
        <v>316</v>
      </c>
      <c r="AC252" s="217">
        <v>2</v>
      </c>
      <c r="AD252" s="721" t="s">
        <v>592</v>
      </c>
      <c r="AE252" s="707"/>
      <c r="AF252" s="213">
        <f>'Askı Tipleri'!P138</f>
        <v>0</v>
      </c>
      <c r="AG252" s="206" t="s">
        <v>418</v>
      </c>
      <c r="AH252" s="218">
        <f>'Askı Tipleri'!P109</f>
        <v>0</v>
      </c>
      <c r="AI252" s="781" t="s">
        <v>418</v>
      </c>
      <c r="AJ252" s="781">
        <f>L252</f>
        <v>0.8</v>
      </c>
      <c r="AK252" s="721" t="s">
        <v>600</v>
      </c>
      <c r="AL252" s="707"/>
      <c r="AM252" s="225">
        <f>'Askı Tipleri'!P110</f>
        <v>0</v>
      </c>
      <c r="AN252" s="213" t="s">
        <v>418</v>
      </c>
      <c r="AO252" s="213">
        <f>L252</f>
        <v>0.8</v>
      </c>
      <c r="AP252" s="769" t="s">
        <v>581</v>
      </c>
      <c r="AQ252" s="721">
        <v>0</v>
      </c>
      <c r="AR252" s="769" t="s">
        <v>316</v>
      </c>
      <c r="AS252" s="212">
        <f>'Askı Tipleri'!P129</f>
        <v>83.708324400000024</v>
      </c>
      <c r="AT252" s="171"/>
      <c r="AU252" s="171"/>
      <c r="AV252" s="146"/>
      <c r="AW252" s="228"/>
      <c r="AX252" s="146"/>
      <c r="AY252" s="146"/>
      <c r="AZ252" s="146"/>
      <c r="BA252" s="146"/>
      <c r="BB252" s="171"/>
      <c r="BC252" s="171"/>
      <c r="BD252" s="171"/>
      <c r="BE252" s="146"/>
      <c r="BF252" s="128"/>
      <c r="BG252" s="128"/>
      <c r="BH252" s="128"/>
      <c r="BI252" s="128"/>
      <c r="BJ252" s="128"/>
    </row>
    <row r="253" spans="1:62" ht="12.75" customHeight="1">
      <c r="A253" s="707"/>
      <c r="B253" s="707"/>
      <c r="C253" s="707"/>
      <c r="D253" s="828">
        <f>D248</f>
        <v>2</v>
      </c>
      <c r="E253" s="707"/>
      <c r="F253" s="707"/>
      <c r="G253" s="707"/>
      <c r="H253" s="707"/>
      <c r="I253" s="707"/>
      <c r="J253" s="707"/>
      <c r="K253" s="707"/>
      <c r="L253" s="707"/>
      <c r="M253" s="707"/>
      <c r="N253" s="707"/>
      <c r="O253" s="171">
        <v>2</v>
      </c>
      <c r="P253" s="171" t="s">
        <v>418</v>
      </c>
      <c r="Q253" s="220">
        <f>D253</f>
        <v>2</v>
      </c>
      <c r="R253" s="171"/>
      <c r="S253" s="707"/>
      <c r="T253" s="707"/>
      <c r="U253" s="707"/>
      <c r="V253" s="707"/>
      <c r="W253" s="707"/>
      <c r="X253" s="707"/>
      <c r="Y253" s="707"/>
      <c r="Z253" s="707"/>
      <c r="AA253" s="730">
        <v>3</v>
      </c>
      <c r="AB253" s="707"/>
      <c r="AC253" s="707"/>
      <c r="AD253" s="707"/>
      <c r="AE253" s="707"/>
      <c r="AF253" s="140">
        <v>2</v>
      </c>
      <c r="AG253" s="140" t="s">
        <v>418</v>
      </c>
      <c r="AH253" s="222">
        <f>D253</f>
        <v>2</v>
      </c>
      <c r="AI253" s="707"/>
      <c r="AJ253" s="707"/>
      <c r="AK253" s="707"/>
      <c r="AL253" s="707"/>
      <c r="AM253" s="766">
        <f>D253</f>
        <v>2</v>
      </c>
      <c r="AN253" s="707"/>
      <c r="AO253" s="707"/>
      <c r="AP253" s="707"/>
      <c r="AQ253" s="707"/>
      <c r="AR253" s="707"/>
      <c r="AS253" s="221">
        <f>D253</f>
        <v>2</v>
      </c>
      <c r="AT253" s="171"/>
      <c r="AU253" s="171"/>
      <c r="AV253" s="146"/>
      <c r="AW253" s="146"/>
      <c r="AX253" s="146"/>
      <c r="AY253" s="146"/>
      <c r="AZ253" s="146"/>
      <c r="BA253" s="146"/>
      <c r="BB253" s="171"/>
      <c r="BC253" s="171"/>
      <c r="BD253" s="171"/>
      <c r="BE253" s="146"/>
      <c r="BF253" s="128"/>
      <c r="BG253" s="128"/>
      <c r="BH253" s="128"/>
      <c r="BI253" s="128"/>
      <c r="BJ253" s="128"/>
    </row>
    <row r="254" spans="1:62" ht="6" customHeight="1">
      <c r="A254" s="140"/>
      <c r="B254" s="140"/>
      <c r="C254" s="140"/>
      <c r="D254" s="146"/>
      <c r="E254" s="171"/>
      <c r="F254" s="171"/>
      <c r="G254" s="171"/>
      <c r="H254" s="146"/>
      <c r="I254" s="146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46"/>
      <c r="X254" s="171"/>
      <c r="Y254" s="171"/>
      <c r="Z254" s="171"/>
      <c r="AA254" s="171"/>
      <c r="AB254" s="171"/>
      <c r="AC254" s="140"/>
      <c r="AD254" s="140"/>
      <c r="AE254" s="140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30"/>
      <c r="AQ254" s="130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30"/>
      <c r="BC254" s="130"/>
      <c r="BD254" s="130"/>
      <c r="BE254" s="130"/>
      <c r="BF254" s="128"/>
      <c r="BG254" s="128"/>
      <c r="BH254" s="128"/>
      <c r="BI254" s="128"/>
      <c r="BJ254" s="128"/>
    </row>
    <row r="255" spans="1:62" ht="15" customHeight="1">
      <c r="A255" s="728" t="s">
        <v>588</v>
      </c>
      <c r="B255" s="707"/>
      <c r="C255" s="128" t="s">
        <v>262</v>
      </c>
      <c r="D255" s="740">
        <f>(D252+G252)*(I252+L252)/D253</f>
        <v>5835.5000000000009</v>
      </c>
      <c r="E255" s="707"/>
      <c r="F255" s="707"/>
      <c r="G255" s="707"/>
      <c r="H255" s="172" t="s">
        <v>316</v>
      </c>
      <c r="I255" s="740">
        <f>(O252*Q252)/(O253*Q253)</f>
        <v>0</v>
      </c>
      <c r="J255" s="707"/>
      <c r="K255" s="172" t="s">
        <v>317</v>
      </c>
      <c r="L255" s="740">
        <f>T252*(W252+(Z252*(AA252+AC252)/AA253))</f>
        <v>254.94504000000001</v>
      </c>
      <c r="M255" s="707"/>
      <c r="N255" s="707"/>
      <c r="O255" s="172" t="s">
        <v>316</v>
      </c>
      <c r="P255" s="740">
        <f>(AF252*AH252*AJ252)/(AF253*AH253)</f>
        <v>0</v>
      </c>
      <c r="Q255" s="707"/>
      <c r="R255" s="173" t="s">
        <v>316</v>
      </c>
      <c r="S255" s="740">
        <f>AM252*AO252/AM253</f>
        <v>0</v>
      </c>
      <c r="T255" s="707"/>
      <c r="U255" s="173" t="s">
        <v>316</v>
      </c>
      <c r="V255" s="740">
        <f>AS252/AS253</f>
        <v>41.854162200000012</v>
      </c>
      <c r="W255" s="707"/>
      <c r="X255" s="172"/>
      <c r="Y255" s="188"/>
      <c r="Z255" s="188"/>
      <c r="AA255" s="172"/>
      <c r="AB255" s="188"/>
      <c r="AC255" s="188"/>
      <c r="AD255" s="188"/>
      <c r="AE255" s="173"/>
      <c r="AF255" s="173"/>
      <c r="AG255" s="731" t="s">
        <v>588</v>
      </c>
      <c r="AH255" s="707"/>
      <c r="AI255" s="128" t="s">
        <v>262</v>
      </c>
      <c r="AJ255" s="824">
        <f>D255+I255+L255+P255-S255-V255+Y255+AB255</f>
        <v>6048.5908778000003</v>
      </c>
      <c r="AK255" s="707"/>
      <c r="AL255" s="707"/>
      <c r="AM255" s="707"/>
      <c r="AN255" s="776" t="s">
        <v>374</v>
      </c>
      <c r="AO255" s="707"/>
      <c r="AP255" s="130"/>
      <c r="AQ255" s="130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30"/>
      <c r="BC255" s="130"/>
      <c r="BD255" s="130"/>
      <c r="BE255" s="130"/>
      <c r="BF255" s="128"/>
      <c r="BG255" s="128"/>
      <c r="BH255" s="128"/>
      <c r="BI255" s="128"/>
      <c r="BJ255" s="128"/>
    </row>
    <row r="256" spans="1:62" ht="4.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30"/>
      <c r="AP256" s="130"/>
      <c r="AQ256" s="130"/>
      <c r="AR256" s="146"/>
      <c r="AS256" s="146"/>
      <c r="AT256" s="146"/>
      <c r="AU256" s="146"/>
      <c r="AV256" s="146"/>
      <c r="AW256" s="146"/>
      <c r="AX256" s="146"/>
      <c r="AY256" s="146"/>
      <c r="AZ256" s="146"/>
      <c r="BA256" s="146"/>
      <c r="BB256" s="130"/>
      <c r="BC256" s="130"/>
      <c r="BD256" s="130"/>
      <c r="BE256" s="130"/>
      <c r="BF256" s="128"/>
      <c r="BG256" s="128"/>
      <c r="BH256" s="128"/>
      <c r="BI256" s="128"/>
      <c r="BJ256" s="128"/>
    </row>
    <row r="257" spans="1:62" ht="12.75" customHeight="1">
      <c r="A257" s="146" t="s">
        <v>572</v>
      </c>
      <c r="B257" s="140"/>
      <c r="C257" s="140" t="s">
        <v>436</v>
      </c>
      <c r="D257" s="146" t="s">
        <v>588</v>
      </c>
      <c r="E257" s="140"/>
      <c r="F257" s="143" t="s">
        <v>448</v>
      </c>
      <c r="G257" s="735" t="s">
        <v>601</v>
      </c>
      <c r="H257" s="707"/>
      <c r="I257" s="707"/>
      <c r="J257" s="140"/>
      <c r="K257" s="752">
        <f>MAX(AF250/AJ255,AJ255/AF250)</f>
        <v>1.1060303358512598</v>
      </c>
      <c r="L257" s="707"/>
      <c r="M257" s="707"/>
      <c r="N257" s="143" t="s">
        <v>448</v>
      </c>
      <c r="O257" s="752">
        <f>EXP(VLOOKUP('Veri Girişi'!$F$106,'Veri Girişi'!$T$42:$W$43,3,0)*'11-Muk. Hesapları'!$AA$184)</f>
        <v>1.5668174265098538</v>
      </c>
      <c r="P257" s="707"/>
      <c r="Q257" s="707"/>
      <c r="R257" s="730" t="s">
        <v>384</v>
      </c>
      <c r="S257" s="707"/>
      <c r="T257" s="707"/>
      <c r="U257" s="707"/>
      <c r="V257" s="707"/>
      <c r="W257" s="707"/>
      <c r="X257" s="707"/>
      <c r="Y257" s="140"/>
      <c r="Z257" s="725" t="str">
        <f>IF(O257&gt;=K257,"UYGUNDUR.","UYGUN DEĞİLDİR.")</f>
        <v>UYGUNDUR.</v>
      </c>
      <c r="AA257" s="710"/>
      <c r="AB257" s="710"/>
      <c r="AC257" s="710"/>
      <c r="AD257" s="710"/>
      <c r="AE257" s="710"/>
      <c r="AF257" s="710"/>
      <c r="AG257" s="710"/>
      <c r="AH257" s="710"/>
      <c r="AI257" s="583"/>
      <c r="AJ257" s="128"/>
      <c r="AK257" s="128"/>
      <c r="AL257" s="128"/>
      <c r="AM257" s="128"/>
      <c r="AN257" s="128"/>
      <c r="AO257" s="130"/>
      <c r="AP257" s="130"/>
      <c r="AQ257" s="130"/>
      <c r="AR257" s="130"/>
      <c r="AS257" s="130"/>
      <c r="AT257" s="130"/>
      <c r="AU257" s="130"/>
      <c r="AV257" s="130"/>
      <c r="AW257" s="130"/>
      <c r="AX257" s="128"/>
      <c r="AY257" s="130"/>
      <c r="AZ257" s="130"/>
      <c r="BA257" s="130"/>
      <c r="BB257" s="130"/>
      <c r="BC257" s="130"/>
      <c r="BD257" s="130"/>
      <c r="BE257" s="130"/>
      <c r="BF257" s="128"/>
      <c r="BG257" s="128"/>
      <c r="BH257" s="128"/>
      <c r="BI257" s="128"/>
      <c r="BJ257" s="128"/>
    </row>
    <row r="258" spans="1:62" ht="4.5" customHeight="1">
      <c r="A258" s="146"/>
      <c r="B258" s="140"/>
      <c r="C258" s="140"/>
      <c r="D258" s="146"/>
      <c r="E258" s="140"/>
      <c r="F258" s="143"/>
      <c r="G258" s="174"/>
      <c r="H258" s="174"/>
      <c r="I258" s="174"/>
      <c r="J258" s="140"/>
      <c r="K258" s="140"/>
      <c r="L258" s="140"/>
      <c r="M258" s="140"/>
      <c r="N258" s="143"/>
      <c r="O258" s="140"/>
      <c r="P258" s="140"/>
      <c r="Q258" s="140"/>
      <c r="R258" s="140"/>
      <c r="S258" s="174"/>
      <c r="T258" s="174"/>
      <c r="U258" s="174"/>
      <c r="V258" s="174"/>
      <c r="W258" s="174"/>
      <c r="X258" s="174"/>
      <c r="Y258" s="140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28"/>
      <c r="AK258" s="128"/>
      <c r="AL258" s="128"/>
      <c r="AM258" s="128"/>
      <c r="AN258" s="128"/>
      <c r="AO258" s="130"/>
      <c r="AP258" s="130"/>
      <c r="AQ258" s="130"/>
      <c r="AR258" s="130"/>
      <c r="AS258" s="130"/>
      <c r="AT258" s="130"/>
      <c r="AU258" s="130"/>
      <c r="AV258" s="130"/>
      <c r="AW258" s="130"/>
      <c r="AX258" s="128"/>
      <c r="AY258" s="130"/>
      <c r="AZ258" s="130"/>
      <c r="BA258" s="130"/>
      <c r="BB258" s="130"/>
      <c r="BC258" s="130"/>
      <c r="BD258" s="130"/>
      <c r="BE258" s="130"/>
      <c r="BF258" s="128"/>
      <c r="BG258" s="128"/>
      <c r="BH258" s="128"/>
      <c r="BI258" s="128"/>
      <c r="BJ258" s="128"/>
    </row>
    <row r="259" spans="1:62" ht="15" customHeight="1">
      <c r="A259" s="153" t="s">
        <v>604</v>
      </c>
      <c r="B259" s="140"/>
      <c r="C259" s="140"/>
      <c r="D259" s="146"/>
      <c r="E259" s="140"/>
      <c r="F259" s="143"/>
      <c r="G259" s="174"/>
      <c r="H259" s="174"/>
      <c r="I259" s="174"/>
      <c r="J259" s="140"/>
      <c r="K259" s="140"/>
      <c r="L259" s="140"/>
      <c r="M259" s="140"/>
      <c r="N259" s="143"/>
      <c r="O259" s="140"/>
      <c r="P259" s="140"/>
      <c r="Q259" s="140"/>
      <c r="R259" s="140"/>
      <c r="S259" s="174"/>
      <c r="T259" s="174"/>
      <c r="U259" s="174"/>
      <c r="V259" s="174"/>
      <c r="W259" s="174"/>
      <c r="X259" s="174"/>
      <c r="Y259" s="140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28"/>
      <c r="AK259" s="128"/>
      <c r="AL259" s="128"/>
      <c r="AM259" s="128"/>
      <c r="AN259" s="128"/>
      <c r="AO259" s="130"/>
      <c r="AP259" s="130"/>
      <c r="AQ259" s="130"/>
      <c r="AR259" s="130"/>
      <c r="AS259" s="130"/>
      <c r="AT259" s="130"/>
      <c r="AU259" s="130"/>
      <c r="AV259" s="130"/>
      <c r="AW259" s="130"/>
      <c r="AX259" s="128"/>
      <c r="AY259" s="130"/>
      <c r="AZ259" s="130"/>
      <c r="BA259" s="130"/>
      <c r="BB259" s="130"/>
      <c r="BC259" s="130"/>
      <c r="BD259" s="130"/>
      <c r="BE259" s="130"/>
      <c r="BF259" s="128"/>
      <c r="BG259" s="128"/>
      <c r="BH259" s="128"/>
      <c r="BI259" s="128"/>
      <c r="BJ259" s="128"/>
    </row>
    <row r="260" spans="1:62" ht="4.5" customHeight="1">
      <c r="A260" s="144"/>
      <c r="B260" s="140"/>
      <c r="C260" s="140"/>
      <c r="D260" s="146"/>
      <c r="E260" s="140"/>
      <c r="F260" s="143"/>
      <c r="G260" s="174"/>
      <c r="H260" s="174"/>
      <c r="I260" s="174"/>
      <c r="J260" s="140"/>
      <c r="K260" s="140"/>
      <c r="L260" s="140"/>
      <c r="M260" s="140"/>
      <c r="N260" s="143"/>
      <c r="O260" s="140"/>
      <c r="P260" s="140"/>
      <c r="Q260" s="140"/>
      <c r="R260" s="140"/>
      <c r="S260" s="174"/>
      <c r="T260" s="174"/>
      <c r="U260" s="174"/>
      <c r="V260" s="174"/>
      <c r="W260" s="174"/>
      <c r="X260" s="174"/>
      <c r="Y260" s="140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28"/>
      <c r="AK260" s="128"/>
      <c r="AL260" s="128"/>
      <c r="AM260" s="128"/>
      <c r="AN260" s="128"/>
      <c r="AO260" s="130"/>
      <c r="AP260" s="130"/>
      <c r="AQ260" s="130"/>
      <c r="AR260" s="130"/>
      <c r="AS260" s="130"/>
      <c r="AT260" s="130"/>
      <c r="AU260" s="130"/>
      <c r="AV260" s="130"/>
      <c r="AW260" s="130"/>
      <c r="AX260" s="128"/>
      <c r="AY260" s="130"/>
      <c r="AZ260" s="130"/>
      <c r="BA260" s="130"/>
      <c r="BB260" s="130"/>
      <c r="BC260" s="130"/>
      <c r="BD260" s="130"/>
      <c r="BE260" s="130"/>
      <c r="BF260" s="128"/>
      <c r="BG260" s="128"/>
      <c r="BH260" s="128"/>
      <c r="BI260" s="128"/>
      <c r="BJ260" s="128"/>
    </row>
    <row r="261" spans="1:62" ht="15" customHeight="1">
      <c r="A261" s="722" t="s">
        <v>588</v>
      </c>
      <c r="B261" s="707"/>
      <c r="C261" s="721" t="s">
        <v>262</v>
      </c>
      <c r="D261" s="206" t="s">
        <v>413</v>
      </c>
      <c r="E261" s="732">
        <f>'Askı Tipleri'!Q114</f>
        <v>700</v>
      </c>
      <c r="F261" s="724"/>
      <c r="G261" s="213" t="s">
        <v>316</v>
      </c>
      <c r="H261" s="732">
        <f>'Askı Tipleri'!Q116</f>
        <v>0</v>
      </c>
      <c r="I261" s="724"/>
      <c r="J261" s="214" t="s">
        <v>316</v>
      </c>
      <c r="K261" s="213">
        <f>'Askı Tipleri'!Q123</f>
        <v>0</v>
      </c>
      <c r="L261" s="213" t="s">
        <v>316</v>
      </c>
      <c r="M261" s="732">
        <f>'Askı Tipleri'!Q125</f>
        <v>13.482000000000001</v>
      </c>
      <c r="N261" s="724"/>
      <c r="O261" s="209" t="s">
        <v>605</v>
      </c>
      <c r="P261" s="206" t="s">
        <v>413</v>
      </c>
      <c r="Q261" s="723">
        <f>Q252</f>
        <v>9.81</v>
      </c>
      <c r="R261" s="724"/>
      <c r="S261" s="215" t="s">
        <v>316</v>
      </c>
      <c r="T261" s="213">
        <f>'Askı Tipleri'!Q134</f>
        <v>0.8</v>
      </c>
      <c r="U261" s="209" t="s">
        <v>414</v>
      </c>
      <c r="V261" s="721" t="s">
        <v>316</v>
      </c>
      <c r="W261" s="762">
        <f>'Askı Tipleri'!Q127</f>
        <v>0</v>
      </c>
      <c r="X261" s="724"/>
      <c r="Y261" s="724"/>
      <c r="Z261" s="721" t="s">
        <v>418</v>
      </c>
      <c r="AA261" s="734">
        <f>Q261</f>
        <v>9.81</v>
      </c>
      <c r="AB261" s="707"/>
      <c r="AC261" s="721" t="s">
        <v>317</v>
      </c>
      <c r="AD261" s="734">
        <f>'Askı Tipleri'!Q119</f>
        <v>22.344000000000001</v>
      </c>
      <c r="AE261" s="707"/>
      <c r="AF261" s="707"/>
      <c r="AG261" s="730" t="s">
        <v>597</v>
      </c>
      <c r="AH261" s="752">
        <f>Q261</f>
        <v>9.81</v>
      </c>
      <c r="AI261" s="734" t="s">
        <v>598</v>
      </c>
      <c r="AJ261" s="781">
        <f>T261</f>
        <v>0.8</v>
      </c>
      <c r="AK261" s="217">
        <f>D262*D262</f>
        <v>4</v>
      </c>
      <c r="AL261" s="217" t="s">
        <v>316</v>
      </c>
      <c r="AM261" s="217">
        <v>2</v>
      </c>
      <c r="AN261" s="721" t="s">
        <v>592</v>
      </c>
      <c r="AO261" s="707"/>
      <c r="AP261" s="213">
        <f>'Askı Tipleri'!Q138</f>
        <v>0</v>
      </c>
      <c r="AQ261" s="209" t="s">
        <v>418</v>
      </c>
      <c r="AR261" s="218">
        <f>'Askı Tipleri'!Q109</f>
        <v>0</v>
      </c>
      <c r="AS261" s="721" t="s">
        <v>418</v>
      </c>
      <c r="AT261" s="781">
        <f>T261</f>
        <v>0.8</v>
      </c>
      <c r="AU261" s="781" t="s">
        <v>414</v>
      </c>
      <c r="AV261" s="730" t="s">
        <v>581</v>
      </c>
      <c r="AW261" s="756">
        <f>'Askı Tipleri'!Q110</f>
        <v>0</v>
      </c>
      <c r="AX261" s="724"/>
      <c r="AY261" s="217" t="s">
        <v>418</v>
      </c>
      <c r="AZ261" s="219">
        <f>T261</f>
        <v>0.8</v>
      </c>
      <c r="BA261" s="769" t="s">
        <v>581</v>
      </c>
      <c r="BB261" s="721">
        <v>0</v>
      </c>
      <c r="BC261" s="769" t="s">
        <v>316</v>
      </c>
      <c r="BD261" s="749">
        <f>'Askı Tipleri'!Q128</f>
        <v>80.799341000000013</v>
      </c>
      <c r="BE261" s="724"/>
      <c r="BF261" s="128"/>
      <c r="BG261" s="128"/>
      <c r="BH261" s="128"/>
      <c r="BI261" s="128"/>
      <c r="BJ261" s="128"/>
    </row>
    <row r="262" spans="1:62" ht="15" customHeight="1">
      <c r="A262" s="707"/>
      <c r="B262" s="707"/>
      <c r="C262" s="707"/>
      <c r="D262" s="773">
        <f>'Askı Tipleri'!Q133</f>
        <v>2</v>
      </c>
      <c r="E262" s="637"/>
      <c r="F262" s="637"/>
      <c r="G262" s="637"/>
      <c r="H262" s="637"/>
      <c r="I262" s="637"/>
      <c r="J262" s="637"/>
      <c r="K262" s="637"/>
      <c r="L262" s="637"/>
      <c r="M262" s="637"/>
      <c r="N262" s="637"/>
      <c r="O262" s="637"/>
      <c r="P262" s="637"/>
      <c r="Q262" s="637"/>
      <c r="R262" s="637"/>
      <c r="S262" s="637"/>
      <c r="T262" s="637"/>
      <c r="U262" s="637"/>
      <c r="V262" s="707"/>
      <c r="W262" s="220">
        <v>2</v>
      </c>
      <c r="X262" s="221" t="s">
        <v>418</v>
      </c>
      <c r="Y262" s="220">
        <f>D262</f>
        <v>2</v>
      </c>
      <c r="Z262" s="707"/>
      <c r="AA262" s="707"/>
      <c r="AB262" s="707"/>
      <c r="AC262" s="707"/>
      <c r="AD262" s="707"/>
      <c r="AE262" s="707"/>
      <c r="AF262" s="707"/>
      <c r="AG262" s="707"/>
      <c r="AH262" s="707"/>
      <c r="AI262" s="707"/>
      <c r="AJ262" s="707"/>
      <c r="AK262" s="721">
        <v>3</v>
      </c>
      <c r="AL262" s="707"/>
      <c r="AM262" s="707"/>
      <c r="AN262" s="707"/>
      <c r="AO262" s="707"/>
      <c r="AP262" s="171">
        <v>2</v>
      </c>
      <c r="AQ262" s="171" t="s">
        <v>418</v>
      </c>
      <c r="AR262" s="222">
        <f>D262</f>
        <v>2</v>
      </c>
      <c r="AS262" s="707"/>
      <c r="AT262" s="707"/>
      <c r="AU262" s="707"/>
      <c r="AV262" s="707"/>
      <c r="AW262" s="811">
        <f>D262</f>
        <v>2</v>
      </c>
      <c r="AX262" s="637"/>
      <c r="AY262" s="637"/>
      <c r="AZ262" s="637"/>
      <c r="BA262" s="707"/>
      <c r="BB262" s="707"/>
      <c r="BC262" s="707"/>
      <c r="BD262" s="812">
        <f>D262</f>
        <v>2</v>
      </c>
      <c r="BE262" s="637"/>
      <c r="BF262" s="128"/>
      <c r="BG262" s="128"/>
      <c r="BH262" s="128"/>
      <c r="BI262" s="128"/>
      <c r="BJ262" s="128"/>
    </row>
    <row r="263" spans="1:62" ht="4.5" customHeight="1">
      <c r="A263" s="128"/>
      <c r="B263" s="128"/>
      <c r="C263" s="128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51"/>
      <c r="AB263" s="128"/>
      <c r="AC263" s="128"/>
      <c r="AD263" s="128"/>
      <c r="AE263" s="151"/>
      <c r="AF263" s="140"/>
      <c r="AG263" s="140"/>
      <c r="AH263" s="140"/>
      <c r="AI263" s="151"/>
      <c r="AJ263" s="151"/>
      <c r="AK263" s="151"/>
      <c r="AL263" s="151"/>
      <c r="AM263" s="151"/>
      <c r="AN263" s="151"/>
      <c r="AO263" s="140"/>
      <c r="AP263" s="140"/>
      <c r="AQ263" s="140"/>
      <c r="AR263" s="151"/>
      <c r="AS263" s="151"/>
      <c r="AT263" s="151"/>
      <c r="AU263" s="151"/>
      <c r="AV263" s="151"/>
      <c r="AW263" s="151"/>
      <c r="AX263" s="151"/>
      <c r="AY263" s="151"/>
      <c r="AZ263" s="130"/>
      <c r="BA263" s="130"/>
      <c r="BB263" s="130"/>
      <c r="BC263" s="130"/>
      <c r="BD263" s="130"/>
      <c r="BE263" s="130"/>
      <c r="BF263" s="128"/>
      <c r="BG263" s="128"/>
      <c r="BH263" s="128"/>
      <c r="BI263" s="128"/>
      <c r="BJ263" s="128"/>
    </row>
    <row r="264" spans="1:62" ht="15" customHeight="1">
      <c r="A264" s="146" t="s">
        <v>588</v>
      </c>
      <c r="B264" s="146"/>
      <c r="C264" s="146" t="s">
        <v>262</v>
      </c>
      <c r="D264" s="730">
        <f>(E261+H261+K261+M261)*(Q261+T261)/D262</f>
        <v>3785.0220100000001</v>
      </c>
      <c r="E264" s="707"/>
      <c r="F264" s="707"/>
      <c r="G264" s="707"/>
      <c r="H264" s="140" t="s">
        <v>316</v>
      </c>
      <c r="I264" s="730">
        <f>W261*AA261/(W262*Y262)</f>
        <v>0</v>
      </c>
      <c r="J264" s="707"/>
      <c r="K264" s="140" t="s">
        <v>316</v>
      </c>
      <c r="L264" s="730">
        <f>AD261*(AH261+(AJ261*(AK261+AM261)/AK262))</f>
        <v>254.94504000000001</v>
      </c>
      <c r="M264" s="707"/>
      <c r="N264" s="707"/>
      <c r="O264" s="140" t="s">
        <v>316</v>
      </c>
      <c r="P264" s="730">
        <f>AP261*AR261*AT261/(AP262*AR262)</f>
        <v>0</v>
      </c>
      <c r="Q264" s="707"/>
      <c r="R264" s="140" t="s">
        <v>317</v>
      </c>
      <c r="S264" s="730">
        <f>AW261*AZ261/AW262</f>
        <v>0</v>
      </c>
      <c r="T264" s="707"/>
      <c r="U264" s="128" t="s">
        <v>316</v>
      </c>
      <c r="V264" s="146">
        <f>BB261</f>
        <v>0</v>
      </c>
      <c r="W264" s="140" t="s">
        <v>316</v>
      </c>
      <c r="X264" s="752">
        <f>BD261/BD262</f>
        <v>40.399670500000006</v>
      </c>
      <c r="Y264" s="707"/>
      <c r="Z264" s="707"/>
      <c r="AA264" s="707"/>
      <c r="AB264" s="140"/>
      <c r="AC264" s="151"/>
      <c r="AD264" s="128"/>
      <c r="AE264" s="128"/>
      <c r="AF264" s="146" t="s">
        <v>588</v>
      </c>
      <c r="AG264" s="146" t="s">
        <v>262</v>
      </c>
      <c r="AH264" s="752">
        <f>D264+I264+L264+P264-S264+V264+X264</f>
        <v>4080.3667205000002</v>
      </c>
      <c r="AI264" s="707"/>
      <c r="AJ264" s="707"/>
      <c r="AK264" s="707"/>
      <c r="AL264" s="707"/>
      <c r="AM264" s="151" t="s">
        <v>374</v>
      </c>
      <c r="AN264" s="128"/>
      <c r="AO264" s="128"/>
      <c r="AP264" s="128"/>
      <c r="AQ264" s="128"/>
      <c r="AR264" s="128"/>
      <c r="AS264" s="151"/>
      <c r="AT264" s="151"/>
      <c r="AU264" s="151"/>
      <c r="AV264" s="151"/>
      <c r="AW264" s="151"/>
      <c r="AX264" s="151"/>
      <c r="AY264" s="151"/>
      <c r="AZ264" s="130"/>
      <c r="BA264" s="130"/>
      <c r="BB264" s="130"/>
      <c r="BC264" s="130"/>
      <c r="BD264" s="130"/>
      <c r="BE264" s="130"/>
      <c r="BF264" s="128"/>
      <c r="BG264" s="128"/>
      <c r="BH264" s="128"/>
      <c r="BI264" s="128"/>
      <c r="BJ264" s="128"/>
    </row>
    <row r="265" spans="1:62" ht="4.5" customHeight="1">
      <c r="A265" s="144"/>
      <c r="B265" s="144"/>
      <c r="C265" s="151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51"/>
      <c r="AB265" s="128"/>
      <c r="AC265" s="128"/>
      <c r="AD265" s="128"/>
      <c r="AE265" s="151"/>
      <c r="AF265" s="140"/>
      <c r="AG265" s="140"/>
      <c r="AH265" s="140"/>
      <c r="AI265" s="151"/>
      <c r="AJ265" s="151"/>
      <c r="AK265" s="151"/>
      <c r="AL265" s="151"/>
      <c r="AM265" s="151"/>
      <c r="AN265" s="151"/>
      <c r="AO265" s="140"/>
      <c r="AP265" s="140"/>
      <c r="AQ265" s="140"/>
      <c r="AR265" s="151"/>
      <c r="AS265" s="151"/>
      <c r="AT265" s="151"/>
      <c r="AU265" s="151"/>
      <c r="AV265" s="151"/>
      <c r="AW265" s="151"/>
      <c r="AX265" s="151"/>
      <c r="AY265" s="151"/>
      <c r="AZ265" s="130"/>
      <c r="BA265" s="130"/>
      <c r="BB265" s="130"/>
      <c r="BC265" s="130"/>
      <c r="BD265" s="130"/>
      <c r="BE265" s="130"/>
      <c r="BF265" s="128"/>
      <c r="BG265" s="128"/>
      <c r="BH265" s="128"/>
      <c r="BI265" s="128"/>
      <c r="BJ265" s="128"/>
    </row>
    <row r="266" spans="1:62" ht="12.75" customHeight="1">
      <c r="A266" s="722" t="s">
        <v>572</v>
      </c>
      <c r="B266" s="707"/>
      <c r="C266" s="721" t="s">
        <v>262</v>
      </c>
      <c r="D266" s="732">
        <f>'Askı Tipleri'!Q117</f>
        <v>1100</v>
      </c>
      <c r="E266" s="724"/>
      <c r="F266" s="209" t="s">
        <v>316</v>
      </c>
      <c r="G266" s="212">
        <f>'Askı Tipleri'!Q124</f>
        <v>0</v>
      </c>
      <c r="H266" s="206" t="s">
        <v>599</v>
      </c>
      <c r="I266" s="723">
        <f>Q261</f>
        <v>9.81</v>
      </c>
      <c r="J266" s="724"/>
      <c r="K266" s="209" t="s">
        <v>316</v>
      </c>
      <c r="L266" s="212">
        <f>'Askı Tipleri'!Q134</f>
        <v>0.8</v>
      </c>
      <c r="M266" s="199" t="s">
        <v>414</v>
      </c>
      <c r="N266" s="781" t="s">
        <v>316</v>
      </c>
      <c r="O266" s="224">
        <f>'Askı Tipleri'!Q127</f>
        <v>0</v>
      </c>
      <c r="P266" s="199" t="s">
        <v>418</v>
      </c>
      <c r="Q266" s="723">
        <f>I266</f>
        <v>9.81</v>
      </c>
      <c r="R266" s="724"/>
      <c r="S266" s="730" t="s">
        <v>316</v>
      </c>
      <c r="T266" s="837">
        <f>'Askı Tipleri'!Q120</f>
        <v>0</v>
      </c>
      <c r="U266" s="707"/>
      <c r="V266" s="752" t="s">
        <v>599</v>
      </c>
      <c r="W266" s="752">
        <f>Q266</f>
        <v>9.81</v>
      </c>
      <c r="X266" s="707"/>
      <c r="Y266" s="734" t="s">
        <v>598</v>
      </c>
      <c r="Z266" s="785">
        <f>L266</f>
        <v>0.8</v>
      </c>
      <c r="AA266" s="209">
        <f>D267*D267</f>
        <v>4</v>
      </c>
      <c r="AB266" s="209" t="s">
        <v>316</v>
      </c>
      <c r="AC266" s="217">
        <v>2</v>
      </c>
      <c r="AD266" s="721" t="s">
        <v>592</v>
      </c>
      <c r="AE266" s="707"/>
      <c r="AF266" s="213">
        <f>'Askı Tipleri'!Q138</f>
        <v>0</v>
      </c>
      <c r="AG266" s="206" t="s">
        <v>418</v>
      </c>
      <c r="AH266" s="218">
        <f>'Askı Tipleri'!Q109</f>
        <v>0</v>
      </c>
      <c r="AI266" s="781" t="s">
        <v>418</v>
      </c>
      <c r="AJ266" s="781">
        <f>L266</f>
        <v>0.8</v>
      </c>
      <c r="AK266" s="721" t="s">
        <v>600</v>
      </c>
      <c r="AL266" s="707"/>
      <c r="AM266" s="225">
        <f>'Askı Tipleri'!Q110</f>
        <v>0</v>
      </c>
      <c r="AN266" s="213" t="s">
        <v>418</v>
      </c>
      <c r="AO266" s="213">
        <f>L266</f>
        <v>0.8</v>
      </c>
      <c r="AP266" s="769" t="s">
        <v>581</v>
      </c>
      <c r="AQ266" s="721">
        <v>0</v>
      </c>
      <c r="AR266" s="769" t="s">
        <v>317</v>
      </c>
      <c r="AS266" s="212">
        <f>'Askı Tipleri'!Q129</f>
        <v>74.332499999999996</v>
      </c>
      <c r="AT266" s="171"/>
      <c r="AU266" s="171"/>
      <c r="AV266" s="146"/>
      <c r="AW266" s="146"/>
      <c r="AX266" s="146"/>
      <c r="AY266" s="146"/>
      <c r="AZ266" s="146"/>
      <c r="BA266" s="146"/>
      <c r="BB266" s="171"/>
      <c r="BC266" s="171"/>
      <c r="BD266" s="171"/>
      <c r="BE266" s="721"/>
      <c r="BF266" s="128"/>
      <c r="BG266" s="128"/>
      <c r="BH266" s="128"/>
      <c r="BI266" s="128"/>
      <c r="BJ266" s="128"/>
    </row>
    <row r="267" spans="1:62" ht="12.75" customHeight="1">
      <c r="A267" s="707"/>
      <c r="B267" s="707"/>
      <c r="C267" s="707"/>
      <c r="D267" s="828">
        <f>D262</f>
        <v>2</v>
      </c>
      <c r="E267" s="707"/>
      <c r="F267" s="707"/>
      <c r="G267" s="707"/>
      <c r="H267" s="707"/>
      <c r="I267" s="707"/>
      <c r="J267" s="707"/>
      <c r="K267" s="707"/>
      <c r="L267" s="707"/>
      <c r="M267" s="707"/>
      <c r="N267" s="707"/>
      <c r="O267" s="171">
        <v>2</v>
      </c>
      <c r="P267" s="171" t="s">
        <v>418</v>
      </c>
      <c r="Q267" s="220">
        <f>D267</f>
        <v>2</v>
      </c>
      <c r="R267" s="171"/>
      <c r="S267" s="707"/>
      <c r="T267" s="707"/>
      <c r="U267" s="707"/>
      <c r="V267" s="707"/>
      <c r="W267" s="707"/>
      <c r="X267" s="707"/>
      <c r="Y267" s="707"/>
      <c r="Z267" s="707"/>
      <c r="AA267" s="730">
        <v>3</v>
      </c>
      <c r="AB267" s="707"/>
      <c r="AC267" s="707"/>
      <c r="AD267" s="707"/>
      <c r="AE267" s="707"/>
      <c r="AF267" s="140">
        <v>2</v>
      </c>
      <c r="AG267" s="140" t="s">
        <v>418</v>
      </c>
      <c r="AH267" s="222">
        <f>D267</f>
        <v>2</v>
      </c>
      <c r="AI267" s="707"/>
      <c r="AJ267" s="707"/>
      <c r="AK267" s="707"/>
      <c r="AL267" s="707"/>
      <c r="AM267" s="766">
        <f>D267</f>
        <v>2</v>
      </c>
      <c r="AN267" s="707"/>
      <c r="AO267" s="707"/>
      <c r="AP267" s="707"/>
      <c r="AQ267" s="707"/>
      <c r="AR267" s="707"/>
      <c r="AS267" s="221">
        <f>D267</f>
        <v>2</v>
      </c>
      <c r="AT267" s="171"/>
      <c r="AU267" s="171"/>
      <c r="AV267" s="146"/>
      <c r="AW267" s="146"/>
      <c r="AX267" s="146"/>
      <c r="AY267" s="146"/>
      <c r="AZ267" s="146"/>
      <c r="BA267" s="146"/>
      <c r="BB267" s="171"/>
      <c r="BC267" s="171"/>
      <c r="BD267" s="171"/>
      <c r="BE267" s="707"/>
      <c r="BF267" s="128"/>
      <c r="BG267" s="128"/>
      <c r="BH267" s="128"/>
      <c r="BI267" s="128"/>
      <c r="BJ267" s="128"/>
    </row>
    <row r="268" spans="1:62" ht="6" customHeight="1">
      <c r="A268" s="140"/>
      <c r="B268" s="140"/>
      <c r="C268" s="140"/>
      <c r="D268" s="146"/>
      <c r="E268" s="171"/>
      <c r="F268" s="229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46"/>
      <c r="S268" s="171"/>
      <c r="T268" s="171"/>
      <c r="U268" s="171"/>
      <c r="V268" s="171"/>
      <c r="W268" s="171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40"/>
      <c r="AJ268" s="140"/>
      <c r="AK268" s="140"/>
      <c r="AL268" s="140"/>
      <c r="AM268" s="140"/>
      <c r="AN268" s="140"/>
      <c r="AO268" s="130"/>
      <c r="AP268" s="130"/>
      <c r="AQ268" s="130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30"/>
      <c r="BC268" s="130"/>
      <c r="BD268" s="130"/>
      <c r="BE268" s="130"/>
      <c r="BF268" s="128"/>
      <c r="BG268" s="128"/>
      <c r="BH268" s="128"/>
      <c r="BI268" s="128"/>
      <c r="BJ268" s="128"/>
    </row>
    <row r="269" spans="1:62" ht="12.75" customHeight="1">
      <c r="A269" s="146" t="s">
        <v>572</v>
      </c>
      <c r="B269" s="146"/>
      <c r="C269" s="146" t="s">
        <v>262</v>
      </c>
      <c r="D269" s="730">
        <f>(D266+G266)*(I266-L266)/D267</f>
        <v>4955.5</v>
      </c>
      <c r="E269" s="707"/>
      <c r="F269" s="707"/>
      <c r="G269" s="707"/>
      <c r="H269" s="174" t="s">
        <v>316</v>
      </c>
      <c r="I269" s="730">
        <f>O266*Q266/(O267*Q267)</f>
        <v>0</v>
      </c>
      <c r="J269" s="707"/>
      <c r="K269" s="174" t="s">
        <v>316</v>
      </c>
      <c r="L269" s="730">
        <f>T266*(W266+(Z266*(AA266+AC266)/AA267))</f>
        <v>0</v>
      </c>
      <c r="M269" s="707"/>
      <c r="N269" s="707"/>
      <c r="O269" s="174" t="s">
        <v>316</v>
      </c>
      <c r="P269" s="730">
        <f>AF266*AH266*AJ266/(AF267*AH267)</f>
        <v>0</v>
      </c>
      <c r="Q269" s="707"/>
      <c r="R269" s="140" t="s">
        <v>316</v>
      </c>
      <c r="S269" s="730">
        <f>AM266*AO266/AM267</f>
        <v>0</v>
      </c>
      <c r="T269" s="707"/>
      <c r="U269" s="174" t="s">
        <v>316</v>
      </c>
      <c r="V269" s="140">
        <f>AQ266</f>
        <v>0</v>
      </c>
      <c r="W269" s="140" t="s">
        <v>317</v>
      </c>
      <c r="X269" s="730">
        <f>AS266/AS267</f>
        <v>37.166249999999998</v>
      </c>
      <c r="Y269" s="707"/>
      <c r="Z269" s="707"/>
      <c r="AA269" s="707"/>
      <c r="AB269" s="140"/>
      <c r="AC269" s="146" t="s">
        <v>572</v>
      </c>
      <c r="AD269" s="146"/>
      <c r="AE269" s="146" t="s">
        <v>262</v>
      </c>
      <c r="AF269" s="752">
        <f>D269+I269+L269+P269+S269+V269-X269</f>
        <v>4918.3337499999998</v>
      </c>
      <c r="AG269" s="707"/>
      <c r="AH269" s="707"/>
      <c r="AI269" s="707"/>
      <c r="AJ269" s="707"/>
      <c r="AK269" s="174" t="s">
        <v>374</v>
      </c>
      <c r="AL269" s="128"/>
      <c r="AM269" s="128"/>
      <c r="AN269" s="174"/>
      <c r="AO269" s="128"/>
      <c r="AP269" s="130"/>
      <c r="AQ269" s="130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30"/>
      <c r="BC269" s="130"/>
      <c r="BD269" s="130"/>
      <c r="BE269" s="130"/>
      <c r="BF269" s="128"/>
      <c r="BG269" s="128"/>
      <c r="BH269" s="128"/>
      <c r="BI269" s="128"/>
      <c r="BJ269" s="128"/>
    </row>
    <row r="270" spans="1:62" ht="4.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30"/>
      <c r="AP270" s="130"/>
      <c r="AQ270" s="130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30"/>
      <c r="BC270" s="130"/>
      <c r="BD270" s="130"/>
      <c r="BE270" s="130"/>
      <c r="BF270" s="128"/>
      <c r="BG270" s="128"/>
      <c r="BH270" s="128"/>
      <c r="BI270" s="128"/>
      <c r="BJ270" s="128"/>
    </row>
    <row r="271" spans="1:62" ht="15" customHeight="1">
      <c r="A271" s="146" t="s">
        <v>572</v>
      </c>
      <c r="B271" s="140"/>
      <c r="C271" s="140" t="s">
        <v>436</v>
      </c>
      <c r="D271" s="146" t="s">
        <v>588</v>
      </c>
      <c r="E271" s="140"/>
      <c r="F271" s="143" t="s">
        <v>448</v>
      </c>
      <c r="G271" s="735" t="s">
        <v>601</v>
      </c>
      <c r="H271" s="707"/>
      <c r="I271" s="707"/>
      <c r="J271" s="140"/>
      <c r="K271" s="730">
        <f>MAX(AH264/AF269,AF269/AH264)</f>
        <v>1.2053656170877987</v>
      </c>
      <c r="L271" s="707"/>
      <c r="M271" s="707"/>
      <c r="N271" s="143" t="s">
        <v>448</v>
      </c>
      <c r="O271" s="752">
        <f>EXP(VLOOKUP('Veri Girişi'!$F$106,'Veri Girişi'!$T$42:$W$43,3,0)*'11-Muk. Hesapları'!$AA$184)</f>
        <v>1.5668174265098538</v>
      </c>
      <c r="P271" s="707"/>
      <c r="Q271" s="707"/>
      <c r="R271" s="730" t="s">
        <v>384</v>
      </c>
      <c r="S271" s="707"/>
      <c r="T271" s="707"/>
      <c r="U271" s="707"/>
      <c r="V271" s="707"/>
      <c r="W271" s="707"/>
      <c r="X271" s="707"/>
      <c r="Y271" s="140"/>
      <c r="Z271" s="725" t="str">
        <f>IF(O271&gt;=K271,"UYGUNDUR.","UYGUN DEĞİLDİR.")</f>
        <v>UYGUNDUR.</v>
      </c>
      <c r="AA271" s="710"/>
      <c r="AB271" s="710"/>
      <c r="AC271" s="710"/>
      <c r="AD271" s="710"/>
      <c r="AE271" s="710"/>
      <c r="AF271" s="710"/>
      <c r="AG271" s="710"/>
      <c r="AH271" s="710"/>
      <c r="AI271" s="583"/>
      <c r="AJ271" s="128"/>
      <c r="AK271" s="128"/>
      <c r="AL271" s="128"/>
      <c r="AM271" s="128"/>
      <c r="AN271" s="128"/>
      <c r="AO271" s="130"/>
      <c r="AP271" s="130"/>
      <c r="AQ271" s="130"/>
      <c r="AR271" s="130"/>
      <c r="AS271" s="130"/>
      <c r="AT271" s="130"/>
      <c r="AU271" s="130"/>
      <c r="AV271" s="130"/>
      <c r="AW271" s="130"/>
      <c r="AX271" s="128"/>
      <c r="AY271" s="130"/>
      <c r="AZ271" s="130"/>
      <c r="BA271" s="130"/>
      <c r="BB271" s="130"/>
      <c r="BC271" s="130"/>
      <c r="BD271" s="130"/>
      <c r="BE271" s="130"/>
      <c r="BF271" s="128"/>
      <c r="BG271" s="128"/>
      <c r="BH271" s="128"/>
      <c r="BI271" s="128"/>
      <c r="BJ271" s="128"/>
    </row>
    <row r="272" spans="1:62" ht="4.5" customHeight="1">
      <c r="A272" s="146"/>
      <c r="B272" s="140"/>
      <c r="C272" s="140"/>
      <c r="D272" s="146"/>
      <c r="E272" s="140"/>
      <c r="F272" s="143"/>
      <c r="G272" s="174"/>
      <c r="H272" s="174"/>
      <c r="I272" s="174"/>
      <c r="J272" s="140"/>
      <c r="K272" s="140"/>
      <c r="L272" s="140"/>
      <c r="M272" s="140"/>
      <c r="N272" s="143"/>
      <c r="O272" s="140"/>
      <c r="P272" s="140"/>
      <c r="Q272" s="140"/>
      <c r="R272" s="140"/>
      <c r="S272" s="174"/>
      <c r="T272" s="174"/>
      <c r="U272" s="174"/>
      <c r="V272" s="174"/>
      <c r="W272" s="174"/>
      <c r="X272" s="174"/>
      <c r="Y272" s="140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28"/>
      <c r="AK272" s="128"/>
      <c r="AL272" s="128"/>
      <c r="AM272" s="128"/>
      <c r="AN272" s="128"/>
      <c r="AO272" s="130"/>
      <c r="AP272" s="130"/>
      <c r="AQ272" s="130"/>
      <c r="AR272" s="130"/>
      <c r="AS272" s="130"/>
      <c r="AT272" s="130"/>
      <c r="AU272" s="130"/>
      <c r="AV272" s="130"/>
      <c r="AW272" s="130"/>
      <c r="AX272" s="128"/>
      <c r="AY272" s="130"/>
      <c r="AZ272" s="130"/>
      <c r="BA272" s="130"/>
      <c r="BB272" s="130"/>
      <c r="BC272" s="130"/>
      <c r="BD272" s="130"/>
      <c r="BE272" s="130"/>
      <c r="BF272" s="128"/>
      <c r="BG272" s="128"/>
      <c r="BH272" s="128"/>
      <c r="BI272" s="128"/>
      <c r="BJ272" s="128"/>
    </row>
    <row r="273" spans="1:62" ht="15" customHeight="1">
      <c r="A273" s="153" t="s">
        <v>606</v>
      </c>
      <c r="B273" s="140"/>
      <c r="C273" s="140"/>
      <c r="D273" s="146"/>
      <c r="E273" s="140"/>
      <c r="F273" s="143"/>
      <c r="G273" s="174"/>
      <c r="H273" s="174"/>
      <c r="I273" s="174"/>
      <c r="J273" s="140"/>
      <c r="K273" s="140"/>
      <c r="L273" s="140"/>
      <c r="M273" s="140"/>
      <c r="N273" s="143"/>
      <c r="O273" s="140"/>
      <c r="P273" s="140"/>
      <c r="Q273" s="140"/>
      <c r="R273" s="140"/>
      <c r="S273" s="174"/>
      <c r="T273" s="174"/>
      <c r="U273" s="174"/>
      <c r="V273" s="174"/>
      <c r="W273" s="174"/>
      <c r="X273" s="174"/>
      <c r="Y273" s="140"/>
      <c r="Z273" s="196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28"/>
      <c r="AK273" s="128"/>
      <c r="AL273" s="128"/>
      <c r="AM273" s="128"/>
      <c r="AN273" s="128"/>
      <c r="AO273" s="130"/>
      <c r="AP273" s="130"/>
      <c r="AQ273" s="130"/>
      <c r="AR273" s="130"/>
      <c r="AS273" s="130"/>
      <c r="AT273" s="130"/>
      <c r="AU273" s="130"/>
      <c r="AV273" s="130"/>
      <c r="AW273" s="130"/>
      <c r="AX273" s="128"/>
      <c r="AY273" s="130"/>
      <c r="AZ273" s="130"/>
      <c r="BA273" s="130"/>
      <c r="BB273" s="130"/>
      <c r="BC273" s="130"/>
      <c r="BD273" s="130"/>
      <c r="BE273" s="130"/>
      <c r="BF273" s="128"/>
      <c r="BG273" s="128"/>
      <c r="BH273" s="128"/>
      <c r="BI273" s="128"/>
      <c r="BJ273" s="128"/>
    </row>
    <row r="274" spans="1:62" ht="4.5" customHeight="1">
      <c r="A274" s="144"/>
      <c r="B274" s="140"/>
      <c r="C274" s="140"/>
      <c r="D274" s="146"/>
      <c r="E274" s="140"/>
      <c r="F274" s="143"/>
      <c r="G274" s="174"/>
      <c r="H274" s="174"/>
      <c r="I274" s="174"/>
      <c r="J274" s="140"/>
      <c r="K274" s="140"/>
      <c r="L274" s="140"/>
      <c r="M274" s="140"/>
      <c r="N274" s="143"/>
      <c r="O274" s="140"/>
      <c r="P274" s="140"/>
      <c r="Q274" s="140"/>
      <c r="R274" s="140"/>
      <c r="S274" s="174"/>
      <c r="T274" s="174"/>
      <c r="U274" s="174"/>
      <c r="V274" s="174"/>
      <c r="W274" s="174"/>
      <c r="X274" s="174"/>
      <c r="Y274" s="140"/>
      <c r="Z274" s="196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28"/>
      <c r="AK274" s="128"/>
      <c r="AL274" s="128"/>
      <c r="AM274" s="128"/>
      <c r="AN274" s="128"/>
      <c r="AO274" s="130"/>
      <c r="AP274" s="130"/>
      <c r="AQ274" s="130"/>
      <c r="AR274" s="130"/>
      <c r="AS274" s="130"/>
      <c r="AT274" s="130"/>
      <c r="AU274" s="130"/>
      <c r="AV274" s="130"/>
      <c r="AW274" s="130"/>
      <c r="AX274" s="128"/>
      <c r="AY274" s="130"/>
      <c r="AZ274" s="130"/>
      <c r="BA274" s="130"/>
      <c r="BB274" s="130"/>
      <c r="BC274" s="130"/>
      <c r="BD274" s="130"/>
      <c r="BE274" s="130"/>
      <c r="BF274" s="128"/>
      <c r="BG274" s="128"/>
      <c r="BH274" s="128"/>
      <c r="BI274" s="128"/>
      <c r="BJ274" s="128"/>
    </row>
    <row r="275" spans="1:62" ht="12.75" customHeight="1">
      <c r="A275" s="722" t="s">
        <v>572</v>
      </c>
      <c r="B275" s="707"/>
      <c r="C275" s="721" t="s">
        <v>262</v>
      </c>
      <c r="D275" s="206" t="s">
        <v>413</v>
      </c>
      <c r="E275" s="732">
        <f>'Askı Tipleri'!O114</f>
        <v>700</v>
      </c>
      <c r="F275" s="724"/>
      <c r="G275" s="213" t="s">
        <v>316</v>
      </c>
      <c r="H275" s="732">
        <f>'Askı Tipleri'!O116</f>
        <v>0</v>
      </c>
      <c r="I275" s="724"/>
      <c r="J275" s="214" t="s">
        <v>316</v>
      </c>
      <c r="K275" s="213">
        <f>'Askı Tipleri'!O123</f>
        <v>0</v>
      </c>
      <c r="L275" s="213" t="s">
        <v>316</v>
      </c>
      <c r="M275" s="213">
        <f>'Askı Tipleri'!O125</f>
        <v>13.482000000000001</v>
      </c>
      <c r="N275" s="209" t="s">
        <v>414</v>
      </c>
      <c r="O275" s="209" t="s">
        <v>418</v>
      </c>
      <c r="P275" s="206" t="s">
        <v>413</v>
      </c>
      <c r="Q275" s="723">
        <f>Q266</f>
        <v>9.81</v>
      </c>
      <c r="R275" s="724"/>
      <c r="S275" s="215" t="s">
        <v>316</v>
      </c>
      <c r="T275" s="213">
        <f>'Askı Tipleri'!O134</f>
        <v>0</v>
      </c>
      <c r="U275" s="209" t="s">
        <v>414</v>
      </c>
      <c r="V275" s="721" t="s">
        <v>316</v>
      </c>
      <c r="W275" s="762">
        <f>'Askı Tipleri'!O127</f>
        <v>0</v>
      </c>
      <c r="X275" s="724"/>
      <c r="Y275" s="724"/>
      <c r="Z275" s="721" t="s">
        <v>418</v>
      </c>
      <c r="AA275" s="734">
        <f>Q275</f>
        <v>9.81</v>
      </c>
      <c r="AB275" s="707"/>
      <c r="AC275" s="721" t="s">
        <v>316</v>
      </c>
      <c r="AD275" s="734">
        <f>'Askı Tipleri'!O119</f>
        <v>0</v>
      </c>
      <c r="AE275" s="707"/>
      <c r="AF275" s="707"/>
      <c r="AG275" s="730" t="s">
        <v>597</v>
      </c>
      <c r="AH275" s="752">
        <f>Q275</f>
        <v>9.81</v>
      </c>
      <c r="AI275" s="734" t="s">
        <v>598</v>
      </c>
      <c r="AJ275" s="781">
        <f>T275</f>
        <v>0</v>
      </c>
      <c r="AK275" s="217">
        <f>D276*D276</f>
        <v>4</v>
      </c>
      <c r="AL275" s="217" t="s">
        <v>316</v>
      </c>
      <c r="AM275" s="217">
        <v>2</v>
      </c>
      <c r="AN275" s="721" t="s">
        <v>592</v>
      </c>
      <c r="AO275" s="707"/>
      <c r="AP275" s="213">
        <f>'Askı Tipleri'!O138</f>
        <v>0</v>
      </c>
      <c r="AQ275" s="209" t="s">
        <v>418</v>
      </c>
      <c r="AR275" s="218">
        <f>'Askı Tipleri'!O109</f>
        <v>0</v>
      </c>
      <c r="AS275" s="721" t="s">
        <v>418</v>
      </c>
      <c r="AT275" s="781">
        <f>T275</f>
        <v>0</v>
      </c>
      <c r="AU275" s="781" t="s">
        <v>414</v>
      </c>
      <c r="AV275" s="730" t="s">
        <v>581</v>
      </c>
      <c r="AW275" s="756">
        <f>'Askı Tipleri'!O110</f>
        <v>0</v>
      </c>
      <c r="AX275" s="724"/>
      <c r="AY275" s="217" t="s">
        <v>418</v>
      </c>
      <c r="AZ275" s="219">
        <f>T275</f>
        <v>0</v>
      </c>
      <c r="BA275" s="769" t="s">
        <v>581</v>
      </c>
      <c r="BB275" s="721">
        <v>0</v>
      </c>
      <c r="BC275" s="769" t="s">
        <v>316</v>
      </c>
      <c r="BD275" s="749">
        <f>'Askı Tipleri'!O128</f>
        <v>0</v>
      </c>
      <c r="BE275" s="724"/>
      <c r="BF275" s="128"/>
      <c r="BG275" s="128"/>
      <c r="BH275" s="128"/>
      <c r="BI275" s="128"/>
      <c r="BJ275" s="128"/>
    </row>
    <row r="276" spans="1:62" ht="12.75" customHeight="1">
      <c r="A276" s="707"/>
      <c r="B276" s="707"/>
      <c r="C276" s="707"/>
      <c r="D276" s="773">
        <f>'Askı Tipleri'!O133</f>
        <v>2</v>
      </c>
      <c r="E276" s="637"/>
      <c r="F276" s="637"/>
      <c r="G276" s="637"/>
      <c r="H276" s="637"/>
      <c r="I276" s="637"/>
      <c r="J276" s="637"/>
      <c r="K276" s="637"/>
      <c r="L276" s="637"/>
      <c r="M276" s="637"/>
      <c r="N276" s="637"/>
      <c r="O276" s="637"/>
      <c r="P276" s="637"/>
      <c r="Q276" s="637"/>
      <c r="R276" s="637"/>
      <c r="S276" s="637"/>
      <c r="T276" s="637"/>
      <c r="U276" s="637"/>
      <c r="V276" s="707"/>
      <c r="W276" s="220">
        <v>2</v>
      </c>
      <c r="X276" s="221" t="s">
        <v>418</v>
      </c>
      <c r="Y276" s="220">
        <f>D276</f>
        <v>2</v>
      </c>
      <c r="Z276" s="707"/>
      <c r="AA276" s="707"/>
      <c r="AB276" s="707"/>
      <c r="AC276" s="707"/>
      <c r="AD276" s="707"/>
      <c r="AE276" s="707"/>
      <c r="AF276" s="707"/>
      <c r="AG276" s="707"/>
      <c r="AH276" s="707"/>
      <c r="AI276" s="707"/>
      <c r="AJ276" s="707"/>
      <c r="AK276" s="721">
        <v>3</v>
      </c>
      <c r="AL276" s="707"/>
      <c r="AM276" s="707"/>
      <c r="AN276" s="707"/>
      <c r="AO276" s="707"/>
      <c r="AP276" s="171">
        <v>2</v>
      </c>
      <c r="AQ276" s="171" t="s">
        <v>418</v>
      </c>
      <c r="AR276" s="222">
        <f>D276</f>
        <v>2</v>
      </c>
      <c r="AS276" s="707"/>
      <c r="AT276" s="707"/>
      <c r="AU276" s="707"/>
      <c r="AV276" s="707"/>
      <c r="AW276" s="811">
        <f>D276</f>
        <v>2</v>
      </c>
      <c r="AX276" s="637"/>
      <c r="AY276" s="637"/>
      <c r="AZ276" s="637"/>
      <c r="BA276" s="707"/>
      <c r="BB276" s="707"/>
      <c r="BC276" s="707"/>
      <c r="BD276" s="812">
        <f>D276</f>
        <v>2</v>
      </c>
      <c r="BE276" s="637"/>
      <c r="BF276" s="128"/>
      <c r="BG276" s="128"/>
      <c r="BH276" s="128"/>
      <c r="BI276" s="128"/>
      <c r="BJ276" s="128"/>
    </row>
    <row r="277" spans="1:62" ht="5.25" customHeight="1">
      <c r="A277" s="144"/>
      <c r="B277" s="144"/>
      <c r="C277" s="151"/>
      <c r="D277" s="146"/>
      <c r="E277" s="146"/>
      <c r="F277" s="146"/>
      <c r="G277" s="226"/>
      <c r="H277" s="146"/>
      <c r="I277" s="146"/>
      <c r="J277" s="171"/>
      <c r="K277" s="229"/>
      <c r="L277" s="171"/>
      <c r="M277" s="171"/>
      <c r="N277" s="171"/>
      <c r="O277" s="171"/>
      <c r="P277" s="229"/>
      <c r="Q277" s="171"/>
      <c r="R277" s="171"/>
      <c r="S277" s="171"/>
      <c r="T277" s="171"/>
      <c r="U277" s="171"/>
      <c r="V277" s="171"/>
      <c r="W277" s="146"/>
      <c r="X277" s="229"/>
      <c r="Y277" s="171"/>
      <c r="Z277" s="171"/>
      <c r="AA277" s="171"/>
      <c r="AB277" s="171"/>
      <c r="AC277" s="128"/>
      <c r="AD277" s="128"/>
      <c r="AE277" s="151"/>
      <c r="AF277" s="140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40"/>
      <c r="AR277" s="151"/>
      <c r="AS277" s="151"/>
      <c r="AT277" s="151"/>
      <c r="AU277" s="151"/>
      <c r="AV277" s="151"/>
      <c r="AW277" s="151"/>
      <c r="AX277" s="151"/>
      <c r="AY277" s="151"/>
      <c r="AZ277" s="130"/>
      <c r="BA277" s="130"/>
      <c r="BB277" s="130"/>
      <c r="BC277" s="130"/>
      <c r="BD277" s="130"/>
      <c r="BE277" s="130"/>
      <c r="BF277" s="128"/>
      <c r="BG277" s="128"/>
      <c r="BH277" s="128"/>
      <c r="BI277" s="128"/>
      <c r="BJ277" s="128"/>
    </row>
    <row r="278" spans="1:62" ht="15" customHeight="1">
      <c r="A278" s="146" t="s">
        <v>572</v>
      </c>
      <c r="B278" s="146"/>
      <c r="C278" s="146" t="s">
        <v>262</v>
      </c>
      <c r="D278" s="730">
        <f>(E275+H275+K275+M275)*(Q275+T275)/D276</f>
        <v>3499.6292100000001</v>
      </c>
      <c r="E278" s="707"/>
      <c r="F278" s="707"/>
      <c r="G278" s="707"/>
      <c r="H278" s="140" t="s">
        <v>316</v>
      </c>
      <c r="I278" s="730">
        <f>W275*AA275/W276/Y276</f>
        <v>0</v>
      </c>
      <c r="J278" s="707"/>
      <c r="K278" s="140" t="s">
        <v>316</v>
      </c>
      <c r="L278" s="730">
        <f>AD275*(AH275+(AJ275*(AK275+AM275)/AK276))</f>
        <v>0</v>
      </c>
      <c r="M278" s="707"/>
      <c r="N278" s="707"/>
      <c r="O278" s="140" t="s">
        <v>316</v>
      </c>
      <c r="P278" s="730">
        <f>AP275*AR275*AT275/(AP276*AR276)</f>
        <v>0</v>
      </c>
      <c r="Q278" s="707"/>
      <c r="R278" s="140" t="s">
        <v>316</v>
      </c>
      <c r="S278" s="730">
        <f>AW275*AZ275/AW276</f>
        <v>0</v>
      </c>
      <c r="T278" s="707"/>
      <c r="U278" s="146" t="s">
        <v>316</v>
      </c>
      <c r="V278" s="146">
        <f>BB275</f>
        <v>0</v>
      </c>
      <c r="W278" s="140" t="s">
        <v>316</v>
      </c>
      <c r="X278" s="730">
        <f>BD275/BD276</f>
        <v>0</v>
      </c>
      <c r="Y278" s="707"/>
      <c r="Z278" s="707"/>
      <c r="AA278" s="707"/>
      <c r="AB278" s="140"/>
      <c r="AC278" s="151"/>
      <c r="AD278" s="128"/>
      <c r="AE278" s="146" t="s">
        <v>572</v>
      </c>
      <c r="AF278" s="146"/>
      <c r="AG278" s="146" t="s">
        <v>262</v>
      </c>
      <c r="AH278" s="752">
        <f>D278+I278+L278+P278+S278+X278</f>
        <v>3499.6292100000001</v>
      </c>
      <c r="AI278" s="707"/>
      <c r="AJ278" s="707"/>
      <c r="AK278" s="707"/>
      <c r="AL278" s="707"/>
      <c r="AM278" s="151" t="s">
        <v>374</v>
      </c>
      <c r="AN278" s="128"/>
      <c r="AO278" s="128"/>
      <c r="AP278" s="128"/>
      <c r="AQ278" s="128"/>
      <c r="AR278" s="128"/>
      <c r="AS278" s="151"/>
      <c r="AT278" s="151"/>
      <c r="AU278" s="151"/>
      <c r="AV278" s="151"/>
      <c r="AW278" s="151"/>
      <c r="AX278" s="151"/>
      <c r="AY278" s="151"/>
      <c r="AZ278" s="130"/>
      <c r="BA278" s="130"/>
      <c r="BB278" s="130"/>
      <c r="BC278" s="130"/>
      <c r="BD278" s="130"/>
      <c r="BE278" s="130"/>
      <c r="BF278" s="128"/>
      <c r="BG278" s="128"/>
      <c r="BH278" s="128"/>
      <c r="BI278" s="128"/>
      <c r="BJ278" s="128"/>
    </row>
    <row r="279" spans="1:62" ht="7.5" customHeight="1">
      <c r="A279" s="146"/>
      <c r="B279" s="146"/>
      <c r="C279" s="146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6"/>
      <c r="V279" s="146"/>
      <c r="W279" s="140"/>
      <c r="X279" s="140"/>
      <c r="Y279" s="140"/>
      <c r="Z279" s="140"/>
      <c r="AA279" s="140"/>
      <c r="AB279" s="140"/>
      <c r="AC279" s="151"/>
      <c r="AD279" s="128"/>
      <c r="AE279" s="146"/>
      <c r="AF279" s="146"/>
      <c r="AG279" s="146"/>
      <c r="AH279" s="230"/>
      <c r="AI279" s="230"/>
      <c r="AJ279" s="230"/>
      <c r="AK279" s="230"/>
      <c r="AL279" s="230"/>
      <c r="AM279" s="151"/>
      <c r="AN279" s="128"/>
      <c r="AO279" s="128"/>
      <c r="AP279" s="128"/>
      <c r="AQ279" s="128"/>
      <c r="AR279" s="128"/>
      <c r="AS279" s="151"/>
      <c r="AT279" s="151"/>
      <c r="AU279" s="151"/>
      <c r="AV279" s="151"/>
      <c r="AW279" s="151"/>
      <c r="AX279" s="151"/>
      <c r="AY279" s="151"/>
      <c r="AZ279" s="130"/>
      <c r="BA279" s="130"/>
      <c r="BB279" s="130"/>
      <c r="BC279" s="130"/>
      <c r="BD279" s="130"/>
      <c r="BE279" s="130"/>
      <c r="BF279" s="128"/>
      <c r="BG279" s="128"/>
      <c r="BH279" s="128"/>
      <c r="BI279" s="128"/>
      <c r="BJ279" s="128"/>
    </row>
    <row r="280" spans="1:62" ht="15" customHeight="1">
      <c r="A280" s="722" t="s">
        <v>588</v>
      </c>
      <c r="B280" s="707"/>
      <c r="C280" s="721" t="s">
        <v>262</v>
      </c>
      <c r="D280" s="732">
        <f>'Askı Tipleri'!O117</f>
        <v>0</v>
      </c>
      <c r="E280" s="724"/>
      <c r="F280" s="209" t="s">
        <v>316</v>
      </c>
      <c r="G280" s="212">
        <f>'Askı Tipleri'!O124</f>
        <v>0</v>
      </c>
      <c r="H280" s="206" t="s">
        <v>599</v>
      </c>
      <c r="I280" s="723">
        <f>Q275</f>
        <v>9.81</v>
      </c>
      <c r="J280" s="724"/>
      <c r="K280" s="209" t="s">
        <v>316</v>
      </c>
      <c r="L280" s="212">
        <f>T275</f>
        <v>0</v>
      </c>
      <c r="M280" s="199" t="s">
        <v>414</v>
      </c>
      <c r="N280" s="781" t="s">
        <v>316</v>
      </c>
      <c r="O280" s="224">
        <f>W275</f>
        <v>0</v>
      </c>
      <c r="P280" s="199" t="s">
        <v>418</v>
      </c>
      <c r="Q280" s="723">
        <f>I280</f>
        <v>9.81</v>
      </c>
      <c r="R280" s="724"/>
      <c r="S280" s="730" t="s">
        <v>316</v>
      </c>
      <c r="T280" s="837">
        <f>'Askı Tipleri'!O120</f>
        <v>22.344000000000001</v>
      </c>
      <c r="U280" s="707"/>
      <c r="V280" s="752" t="s">
        <v>599</v>
      </c>
      <c r="W280" s="752">
        <f>Q280</f>
        <v>9.81</v>
      </c>
      <c r="X280" s="707"/>
      <c r="Y280" s="734" t="s">
        <v>598</v>
      </c>
      <c r="Z280" s="785">
        <f>L280</f>
        <v>0</v>
      </c>
      <c r="AA280" s="209">
        <f>D281*D281</f>
        <v>4</v>
      </c>
      <c r="AB280" s="209" t="s">
        <v>316</v>
      </c>
      <c r="AC280" s="217">
        <v>2</v>
      </c>
      <c r="AD280" s="721" t="s">
        <v>592</v>
      </c>
      <c r="AE280" s="707"/>
      <c r="AF280" s="213">
        <f>'Askı Tipleri'!O138</f>
        <v>0</v>
      </c>
      <c r="AG280" s="206" t="s">
        <v>418</v>
      </c>
      <c r="AH280" s="218">
        <f>'Askı Tipleri'!O109</f>
        <v>0</v>
      </c>
      <c r="AI280" s="781" t="s">
        <v>418</v>
      </c>
      <c r="AJ280" s="781">
        <f>L280</f>
        <v>0</v>
      </c>
      <c r="AK280" s="721" t="s">
        <v>600</v>
      </c>
      <c r="AL280" s="707"/>
      <c r="AM280" s="225">
        <f>'Askı Tipleri'!O110</f>
        <v>0</v>
      </c>
      <c r="AN280" s="213" t="s">
        <v>418</v>
      </c>
      <c r="AO280" s="213">
        <f>L280</f>
        <v>0</v>
      </c>
      <c r="AP280" s="769" t="s">
        <v>581</v>
      </c>
      <c r="AQ280" s="721">
        <v>0</v>
      </c>
      <c r="AR280" s="769" t="s">
        <v>316</v>
      </c>
      <c r="AS280" s="212">
        <f>'Askı Tipleri'!O129</f>
        <v>0</v>
      </c>
      <c r="AT280" s="171"/>
      <c r="AU280" s="171"/>
      <c r="AV280" s="146"/>
      <c r="AW280" s="226"/>
      <c r="AX280" s="146"/>
      <c r="AY280" s="146"/>
      <c r="AZ280" s="146"/>
      <c r="BA280" s="146"/>
      <c r="BB280" s="130"/>
      <c r="BC280" s="130"/>
      <c r="BD280" s="130"/>
      <c r="BE280" s="130"/>
      <c r="BF280" s="128"/>
      <c r="BG280" s="128"/>
      <c r="BH280" s="128"/>
      <c r="BI280" s="128"/>
      <c r="BJ280" s="128"/>
    </row>
    <row r="281" spans="1:62" ht="15" customHeight="1">
      <c r="A281" s="707"/>
      <c r="B281" s="707"/>
      <c r="C281" s="707"/>
      <c r="D281" s="828">
        <f>D276</f>
        <v>2</v>
      </c>
      <c r="E281" s="707"/>
      <c r="F281" s="707"/>
      <c r="G281" s="707"/>
      <c r="H281" s="707"/>
      <c r="I281" s="707"/>
      <c r="J281" s="707"/>
      <c r="K281" s="707"/>
      <c r="L281" s="707"/>
      <c r="M281" s="707"/>
      <c r="N281" s="707"/>
      <c r="O281" s="171">
        <v>2</v>
      </c>
      <c r="P281" s="171" t="s">
        <v>418</v>
      </c>
      <c r="Q281" s="220">
        <f>D281</f>
        <v>2</v>
      </c>
      <c r="R281" s="171"/>
      <c r="S281" s="707"/>
      <c r="T281" s="707"/>
      <c r="U281" s="707"/>
      <c r="V281" s="707"/>
      <c r="W281" s="707"/>
      <c r="X281" s="707"/>
      <c r="Y281" s="707"/>
      <c r="Z281" s="707"/>
      <c r="AA281" s="730">
        <v>3</v>
      </c>
      <c r="AB281" s="707"/>
      <c r="AC281" s="707"/>
      <c r="AD281" s="707"/>
      <c r="AE281" s="707"/>
      <c r="AF281" s="140">
        <v>2</v>
      </c>
      <c r="AG281" s="140" t="s">
        <v>418</v>
      </c>
      <c r="AH281" s="222">
        <f>D281</f>
        <v>2</v>
      </c>
      <c r="AI281" s="707"/>
      <c r="AJ281" s="707"/>
      <c r="AK281" s="707"/>
      <c r="AL281" s="707"/>
      <c r="AM281" s="766">
        <f>D281</f>
        <v>2</v>
      </c>
      <c r="AN281" s="707"/>
      <c r="AO281" s="707"/>
      <c r="AP281" s="707"/>
      <c r="AQ281" s="707"/>
      <c r="AR281" s="707"/>
      <c r="AS281" s="221">
        <f>D281</f>
        <v>2</v>
      </c>
      <c r="AT281" s="171"/>
      <c r="AU281" s="171"/>
      <c r="AV281" s="146"/>
      <c r="AW281" s="146"/>
      <c r="AX281" s="146"/>
      <c r="AY281" s="146"/>
      <c r="AZ281" s="146"/>
      <c r="BA281" s="146"/>
      <c r="BB281" s="130"/>
      <c r="BC281" s="130"/>
      <c r="BD281" s="130"/>
      <c r="BE281" s="130"/>
      <c r="BF281" s="128"/>
      <c r="BG281" s="128"/>
      <c r="BH281" s="128"/>
      <c r="BI281" s="128"/>
      <c r="BJ281" s="128"/>
    </row>
    <row r="282" spans="1:62" ht="7.5" customHeight="1">
      <c r="A282" s="140"/>
      <c r="B282" s="140"/>
      <c r="C282" s="140"/>
      <c r="D282" s="146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46"/>
      <c r="S282" s="171"/>
      <c r="T282" s="171"/>
      <c r="U282" s="171"/>
      <c r="V282" s="171"/>
      <c r="W282" s="171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40"/>
      <c r="AJ282" s="140"/>
      <c r="AK282" s="140"/>
      <c r="AL282" s="140"/>
      <c r="AM282" s="140"/>
      <c r="AN282" s="140"/>
      <c r="AO282" s="130"/>
      <c r="AP282" s="130"/>
      <c r="AQ282" s="130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30"/>
      <c r="BC282" s="130"/>
      <c r="BD282" s="130"/>
      <c r="BE282" s="130"/>
      <c r="BF282" s="128"/>
      <c r="BG282" s="128"/>
      <c r="BH282" s="128"/>
      <c r="BI282" s="128"/>
      <c r="BJ282" s="128"/>
    </row>
    <row r="283" spans="1:62" ht="12.75" customHeight="1">
      <c r="A283" s="146" t="s">
        <v>588</v>
      </c>
      <c r="B283" s="146"/>
      <c r="C283" s="146" t="s">
        <v>262</v>
      </c>
      <c r="D283" s="730">
        <f>(D280+G280)*(I280+L280)/D281</f>
        <v>0</v>
      </c>
      <c r="E283" s="707"/>
      <c r="F283" s="707"/>
      <c r="G283" s="707"/>
      <c r="H283" s="140" t="s">
        <v>316</v>
      </c>
      <c r="I283" s="730">
        <f>O280*Q280/(O281*Q281)</f>
        <v>0</v>
      </c>
      <c r="J283" s="707"/>
      <c r="K283" s="140" t="s">
        <v>316</v>
      </c>
      <c r="L283" s="730">
        <f>T280*(W280+(Z280*(AA280+AC280)/AA281))</f>
        <v>219.19464000000002</v>
      </c>
      <c r="M283" s="707"/>
      <c r="N283" s="707"/>
      <c r="O283" s="140" t="s">
        <v>316</v>
      </c>
      <c r="P283" s="730">
        <f>AF280*AH280*AJ280/(AF281*AH281)</f>
        <v>0</v>
      </c>
      <c r="Q283" s="707"/>
      <c r="R283" s="140" t="s">
        <v>316</v>
      </c>
      <c r="S283" s="730">
        <f>AM280*AO280/AM281</f>
        <v>0</v>
      </c>
      <c r="T283" s="707"/>
      <c r="U283" s="140" t="s">
        <v>316</v>
      </c>
      <c r="V283" s="140">
        <f>AQ280</f>
        <v>0</v>
      </c>
      <c r="W283" s="140" t="s">
        <v>316</v>
      </c>
      <c r="X283" s="730">
        <f>AS280/AS281</f>
        <v>0</v>
      </c>
      <c r="Y283" s="707"/>
      <c r="Z283" s="707"/>
      <c r="AA283" s="707"/>
      <c r="AB283" s="140"/>
      <c r="AC283" s="146" t="s">
        <v>588</v>
      </c>
      <c r="AD283" s="146"/>
      <c r="AE283" s="146" t="s">
        <v>262</v>
      </c>
      <c r="AF283" s="752">
        <f>D283+I283+L283+P283+S283+V283+X283</f>
        <v>219.19464000000002</v>
      </c>
      <c r="AG283" s="707"/>
      <c r="AH283" s="707"/>
      <c r="AI283" s="707"/>
      <c r="AJ283" s="707"/>
      <c r="AK283" s="735" t="s">
        <v>374</v>
      </c>
      <c r="AL283" s="707"/>
      <c r="AM283" s="128"/>
      <c r="AN283" s="174"/>
      <c r="AO283" s="128"/>
      <c r="AP283" s="130"/>
      <c r="AQ283" s="130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30"/>
      <c r="BC283" s="130"/>
      <c r="BD283" s="130"/>
      <c r="BE283" s="130"/>
      <c r="BF283" s="128"/>
      <c r="BG283" s="128"/>
      <c r="BH283" s="128"/>
      <c r="BI283" s="128"/>
      <c r="BJ283" s="128"/>
    </row>
    <row r="284" spans="1:62" ht="4.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30"/>
      <c r="AP284" s="130"/>
      <c r="AQ284" s="130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30"/>
      <c r="BC284" s="130"/>
      <c r="BD284" s="130"/>
      <c r="BE284" s="130"/>
      <c r="BF284" s="128"/>
      <c r="BG284" s="128"/>
      <c r="BH284" s="128"/>
      <c r="BI284" s="128"/>
      <c r="BJ284" s="128"/>
    </row>
    <row r="285" spans="1:62" ht="15" customHeight="1">
      <c r="A285" s="146" t="s">
        <v>572</v>
      </c>
      <c r="B285" s="140"/>
      <c r="C285" s="140" t="s">
        <v>436</v>
      </c>
      <c r="D285" s="146" t="s">
        <v>588</v>
      </c>
      <c r="E285" s="140"/>
      <c r="F285" s="143" t="s">
        <v>383</v>
      </c>
      <c r="G285" s="735" t="s">
        <v>601</v>
      </c>
      <c r="H285" s="707"/>
      <c r="I285" s="707"/>
      <c r="J285" s="140"/>
      <c r="K285" s="730">
        <f>AH278/AF283</f>
        <v>15.965852130325814</v>
      </c>
      <c r="L285" s="707"/>
      <c r="M285" s="707"/>
      <c r="N285" s="143" t="s">
        <v>383</v>
      </c>
      <c r="O285" s="730">
        <f>EXP(VLOOKUP('Veri Girişi'!$F$106,'Veri Girişi'!$T$42:$W$43,4,0)*'11-Muk. Hesapları'!$AA$184)</f>
        <v>4.3858021542301699</v>
      </c>
      <c r="P285" s="707"/>
      <c r="Q285" s="707"/>
      <c r="R285" s="730" t="s">
        <v>384</v>
      </c>
      <c r="S285" s="707"/>
      <c r="T285" s="707"/>
      <c r="U285" s="707"/>
      <c r="V285" s="707"/>
      <c r="W285" s="707"/>
      <c r="X285" s="707"/>
      <c r="Y285" s="140"/>
      <c r="Z285" s="725" t="str">
        <f>IF(O285&lt;=K285,"UYGUNDUR.","UYGUN DEĞİLDİR.")</f>
        <v>UYGUNDUR.</v>
      </c>
      <c r="AA285" s="710"/>
      <c r="AB285" s="710"/>
      <c r="AC285" s="710"/>
      <c r="AD285" s="710"/>
      <c r="AE285" s="710"/>
      <c r="AF285" s="710"/>
      <c r="AG285" s="710"/>
      <c r="AH285" s="710"/>
      <c r="AI285" s="583"/>
      <c r="AJ285" s="128"/>
      <c r="AK285" s="128"/>
      <c r="AL285" s="128"/>
      <c r="AM285" s="128"/>
      <c r="AN285" s="128"/>
      <c r="AO285" s="130"/>
      <c r="AP285" s="130"/>
      <c r="AQ285" s="130"/>
      <c r="AR285" s="130"/>
      <c r="AS285" s="130"/>
      <c r="AT285" s="130"/>
      <c r="AU285" s="130"/>
      <c r="AV285" s="130"/>
      <c r="AW285" s="130"/>
      <c r="AX285" s="128"/>
      <c r="AY285" s="130"/>
      <c r="AZ285" s="130"/>
      <c r="BA285" s="130"/>
      <c r="BB285" s="130"/>
      <c r="BC285" s="130"/>
      <c r="BD285" s="130"/>
      <c r="BE285" s="130"/>
      <c r="BF285" s="128"/>
      <c r="BG285" s="128"/>
      <c r="BH285" s="128"/>
      <c r="BI285" s="128"/>
      <c r="BJ285" s="128"/>
    </row>
    <row r="286" spans="1:62" ht="4.5" customHeight="1">
      <c r="A286" s="146"/>
      <c r="B286" s="140"/>
      <c r="C286" s="140"/>
      <c r="D286" s="146"/>
      <c r="E286" s="140"/>
      <c r="F286" s="143"/>
      <c r="G286" s="174"/>
      <c r="H286" s="174"/>
      <c r="I286" s="174"/>
      <c r="J286" s="140"/>
      <c r="K286" s="140"/>
      <c r="L286" s="140"/>
      <c r="M286" s="140"/>
      <c r="N286" s="143"/>
      <c r="O286" s="140"/>
      <c r="P286" s="140"/>
      <c r="Q286" s="140"/>
      <c r="R286" s="140"/>
      <c r="S286" s="174"/>
      <c r="T286" s="174"/>
      <c r="U286" s="174"/>
      <c r="V286" s="174"/>
      <c r="W286" s="174"/>
      <c r="X286" s="174"/>
      <c r="Y286" s="140"/>
      <c r="Z286" s="196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28"/>
      <c r="AK286" s="128"/>
      <c r="AL286" s="128"/>
      <c r="AM286" s="128"/>
      <c r="AN286" s="128"/>
      <c r="AO286" s="130"/>
      <c r="AP286" s="130"/>
      <c r="AQ286" s="130"/>
      <c r="AR286" s="130"/>
      <c r="AS286" s="130"/>
      <c r="AT286" s="130"/>
      <c r="AU286" s="130"/>
      <c r="AV286" s="130"/>
      <c r="AW286" s="130"/>
      <c r="AX286" s="128"/>
      <c r="AY286" s="130"/>
      <c r="AZ286" s="130"/>
      <c r="BA286" s="130"/>
      <c r="BB286" s="130"/>
      <c r="BC286" s="130"/>
      <c r="BD286" s="130"/>
      <c r="BE286" s="130"/>
      <c r="BF286" s="128"/>
      <c r="BG286" s="128"/>
      <c r="BH286" s="128"/>
      <c r="BI286" s="128"/>
      <c r="BJ286" s="128"/>
    </row>
    <row r="287" spans="1:62" ht="15" customHeight="1">
      <c r="A287" s="792" t="s">
        <v>607</v>
      </c>
      <c r="B287" s="707"/>
      <c r="C287" s="707"/>
      <c r="D287" s="707"/>
      <c r="E287" s="707"/>
      <c r="F287" s="707"/>
      <c r="G287" s="707"/>
      <c r="H287" s="707"/>
      <c r="I287" s="707"/>
      <c r="J287" s="707"/>
      <c r="K287" s="707"/>
      <c r="L287" s="707"/>
      <c r="M287" s="707"/>
      <c r="N287" s="707"/>
      <c r="O287" s="707"/>
      <c r="P287" s="707"/>
      <c r="Q287" s="707"/>
      <c r="R287" s="707"/>
      <c r="S287" s="707"/>
      <c r="T287" s="707"/>
      <c r="U287" s="707"/>
      <c r="V287" s="707"/>
      <c r="W287" s="707"/>
      <c r="X287" s="707"/>
      <c r="Y287" s="707"/>
      <c r="Z287" s="707"/>
      <c r="AA287" s="707"/>
      <c r="AB287" s="707"/>
      <c r="AC287" s="707"/>
      <c r="AD287" s="707"/>
      <c r="AE287" s="707"/>
      <c r="AF287" s="707"/>
      <c r="AG287" s="707"/>
      <c r="AH287" s="707"/>
      <c r="AI287" s="707"/>
      <c r="AJ287" s="128"/>
      <c r="AK287" s="128"/>
      <c r="AL287" s="128"/>
      <c r="AM287" s="128"/>
      <c r="AN287" s="128"/>
      <c r="AO287" s="130"/>
      <c r="AP287" s="130"/>
      <c r="AQ287" s="130"/>
      <c r="AR287" s="146"/>
      <c r="AS287" s="146"/>
      <c r="AT287" s="146"/>
      <c r="AU287" s="146"/>
      <c r="AV287" s="146"/>
      <c r="AW287" s="146"/>
      <c r="AX287" s="146"/>
      <c r="AY287" s="146"/>
      <c r="AZ287" s="146"/>
      <c r="BA287" s="146"/>
      <c r="BB287" s="130"/>
      <c r="BC287" s="130"/>
      <c r="BD287" s="130"/>
      <c r="BE287" s="130"/>
      <c r="BF287" s="128"/>
      <c r="BG287" s="128"/>
      <c r="BH287" s="128"/>
      <c r="BI287" s="128"/>
      <c r="BJ287" s="128"/>
    </row>
    <row r="288" spans="1:62" ht="4.5" customHeight="1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  <c r="AA288" s="172"/>
      <c r="AB288" s="172"/>
      <c r="AC288" s="172"/>
      <c r="AD288" s="172"/>
      <c r="AE288" s="172"/>
      <c r="AF288" s="172"/>
      <c r="AG288" s="172"/>
      <c r="AH288" s="130"/>
      <c r="AI288" s="130"/>
      <c r="AJ288" s="128"/>
      <c r="AK288" s="128"/>
      <c r="AL288" s="128"/>
      <c r="AM288" s="128"/>
      <c r="AN288" s="128"/>
      <c r="AO288" s="130"/>
      <c r="AP288" s="130"/>
      <c r="AQ288" s="130"/>
      <c r="AR288" s="146"/>
      <c r="AS288" s="146"/>
      <c r="AT288" s="146"/>
      <c r="AU288" s="146"/>
      <c r="AV288" s="146"/>
      <c r="AW288" s="146"/>
      <c r="AX288" s="146"/>
      <c r="AY288" s="146"/>
      <c r="AZ288" s="146"/>
      <c r="BA288" s="146"/>
      <c r="BB288" s="130"/>
      <c r="BC288" s="130"/>
      <c r="BD288" s="130"/>
      <c r="BE288" s="130"/>
      <c r="BF288" s="128"/>
      <c r="BG288" s="128"/>
      <c r="BH288" s="128"/>
      <c r="BI288" s="128"/>
      <c r="BJ288" s="128"/>
    </row>
    <row r="289" spans="1:62" ht="15" customHeight="1">
      <c r="A289" s="174" t="s">
        <v>301</v>
      </c>
      <c r="B289" s="174" t="s">
        <v>308</v>
      </c>
      <c r="C289" s="144" t="s">
        <v>608</v>
      </c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  <c r="AF289" s="174"/>
      <c r="AG289" s="174"/>
      <c r="AH289" s="771">
        <f>'Veri Girişi'!B127</f>
        <v>3400</v>
      </c>
      <c r="AI289" s="710"/>
      <c r="AJ289" s="710"/>
      <c r="AK289" s="710"/>
      <c r="AL289" s="583"/>
      <c r="AM289" s="146" t="s">
        <v>122</v>
      </c>
      <c r="AN289" s="146"/>
      <c r="AO289" s="144"/>
      <c r="AP289" s="144"/>
      <c r="AQ289" s="144"/>
      <c r="AR289" s="146"/>
      <c r="AS289" s="146"/>
      <c r="AT289" s="146"/>
      <c r="AU289" s="146"/>
      <c r="AV289" s="146"/>
      <c r="AW289" s="146"/>
      <c r="AX289" s="146"/>
      <c r="AY289" s="146"/>
      <c r="AZ289" s="146"/>
      <c r="BA289" s="146"/>
      <c r="BB289" s="144"/>
      <c r="BC289" s="144"/>
      <c r="BD289" s="144"/>
      <c r="BE289" s="144"/>
      <c r="BF289" s="146"/>
      <c r="BG289" s="146"/>
      <c r="BH289" s="146"/>
      <c r="BI289" s="146"/>
      <c r="BJ289" s="146"/>
    </row>
    <row r="290" spans="1:62" ht="15" customHeight="1">
      <c r="A290" s="174" t="s">
        <v>609</v>
      </c>
      <c r="B290" s="174" t="s">
        <v>308</v>
      </c>
      <c r="C290" s="144" t="s">
        <v>610</v>
      </c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  <c r="AF290" s="174"/>
      <c r="AG290" s="174"/>
      <c r="AH290" s="748">
        <f>'Veri Girişi'!B111</f>
        <v>3000</v>
      </c>
      <c r="AI290" s="710"/>
      <c r="AJ290" s="710"/>
      <c r="AK290" s="710"/>
      <c r="AL290" s="583"/>
      <c r="AM290" s="146" t="s">
        <v>122</v>
      </c>
      <c r="AN290" s="146"/>
      <c r="AO290" s="144"/>
      <c r="AP290" s="144"/>
      <c r="AQ290" s="144"/>
      <c r="AR290" s="146"/>
      <c r="AS290" s="146"/>
      <c r="AT290" s="146"/>
      <c r="AU290" s="146"/>
      <c r="AV290" s="146"/>
      <c r="AW290" s="146"/>
      <c r="AX290" s="146"/>
      <c r="AY290" s="146"/>
      <c r="AZ290" s="146"/>
      <c r="BA290" s="146"/>
      <c r="BB290" s="144"/>
      <c r="BC290" s="144"/>
      <c r="BD290" s="144"/>
      <c r="BE290" s="144"/>
      <c r="BF290" s="146"/>
      <c r="BG290" s="146"/>
      <c r="BH290" s="146"/>
      <c r="BI290" s="146"/>
      <c r="BJ290" s="146"/>
    </row>
    <row r="291" spans="1:62" ht="15" customHeight="1">
      <c r="A291" s="735" t="s">
        <v>611</v>
      </c>
      <c r="B291" s="707"/>
      <c r="C291" s="144" t="s">
        <v>612</v>
      </c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  <c r="AB291" s="174"/>
      <c r="AC291" s="174"/>
      <c r="AD291" s="174"/>
      <c r="AE291" s="174"/>
      <c r="AF291" s="174"/>
      <c r="AG291" s="174"/>
      <c r="AH291" s="759">
        <f>(SUM('Veri Girişi'!G12:G34)+('Veri Girişi'!F107-200)+('Veri Girişi'!F114-300))/1000*(VLOOKUP('Veri Girişi'!E73,TABLOLAR!I60:J65,2,0))</f>
        <v>329.30800000000005</v>
      </c>
      <c r="AI291" s="710"/>
      <c r="AJ291" s="710"/>
      <c r="AK291" s="710"/>
      <c r="AL291" s="583"/>
      <c r="AM291" s="146" t="s">
        <v>506</v>
      </c>
      <c r="AN291" s="146"/>
      <c r="AO291" s="144"/>
      <c r="AP291" s="144"/>
      <c r="AQ291" s="144"/>
      <c r="AR291" s="146"/>
      <c r="AS291" s="146"/>
      <c r="AT291" s="146"/>
      <c r="AU291" s="146"/>
      <c r="AV291" s="146"/>
      <c r="AW291" s="146"/>
      <c r="AX291" s="146"/>
      <c r="AY291" s="146"/>
      <c r="AZ291" s="146"/>
      <c r="BA291" s="146"/>
      <c r="BB291" s="144"/>
      <c r="BC291" s="144"/>
      <c r="BD291" s="144"/>
      <c r="BE291" s="144"/>
      <c r="BF291" s="146"/>
      <c r="BG291" s="146"/>
      <c r="BH291" s="146"/>
      <c r="BI291" s="146"/>
      <c r="BJ291" s="146"/>
    </row>
    <row r="292" spans="1:62" ht="15" customHeight="1">
      <c r="A292" s="735" t="s">
        <v>613</v>
      </c>
      <c r="B292" s="707"/>
      <c r="C292" s="144" t="s">
        <v>614</v>
      </c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 s="174"/>
      <c r="AC292" s="174"/>
      <c r="AD292" s="174"/>
      <c r="AE292" s="174"/>
      <c r="AF292" s="174"/>
      <c r="AG292" s="174"/>
      <c r="AH292" s="748">
        <v>150</v>
      </c>
      <c r="AI292" s="710"/>
      <c r="AJ292" s="710"/>
      <c r="AK292" s="710"/>
      <c r="AL292" s="583"/>
      <c r="AM292" s="146" t="s">
        <v>374</v>
      </c>
      <c r="AN292" s="146"/>
      <c r="AO292" s="144"/>
      <c r="AP292" s="144"/>
      <c r="AQ292" s="144"/>
      <c r="AR292" s="146"/>
      <c r="AS292" s="146"/>
      <c r="AT292" s="146"/>
      <c r="AU292" s="146"/>
      <c r="AV292" s="146"/>
      <c r="AW292" s="146"/>
      <c r="AX292" s="146"/>
      <c r="AY292" s="146"/>
      <c r="AZ292" s="146"/>
      <c r="BA292" s="146"/>
      <c r="BB292" s="144"/>
      <c r="BC292" s="144"/>
      <c r="BD292" s="144"/>
      <c r="BE292" s="144"/>
      <c r="BF292" s="146"/>
      <c r="BG292" s="146"/>
      <c r="BH292" s="146"/>
      <c r="BI292" s="146"/>
      <c r="BJ292" s="146"/>
    </row>
    <row r="293" spans="1:62" ht="15" customHeight="1">
      <c r="A293" s="735" t="s">
        <v>615</v>
      </c>
      <c r="B293" s="707"/>
      <c r="C293" s="146"/>
      <c r="D293" s="174"/>
      <c r="E293" s="735" t="s">
        <v>616</v>
      </c>
      <c r="F293" s="707"/>
      <c r="G293" s="707"/>
      <c r="H293" s="707"/>
      <c r="I293" s="707"/>
      <c r="J293" s="707"/>
      <c r="K293" s="707"/>
      <c r="L293" s="707"/>
      <c r="M293" s="707"/>
      <c r="N293" s="707"/>
      <c r="O293" s="707"/>
      <c r="P293" s="707"/>
      <c r="Q293" s="707"/>
      <c r="R293" s="707"/>
      <c r="S293" s="707"/>
      <c r="T293" s="707"/>
      <c r="U293" s="707"/>
      <c r="V293" s="707"/>
      <c r="W293" s="707"/>
      <c r="X293" s="707"/>
      <c r="Y293" s="707"/>
      <c r="Z293" s="174"/>
      <c r="AA293" s="174"/>
      <c r="AB293" s="174"/>
      <c r="AC293" s="174"/>
      <c r="AD293" s="174"/>
      <c r="AE293" s="174"/>
      <c r="AF293" s="174"/>
      <c r="AG293" s="174"/>
      <c r="AH293" s="759">
        <f>(('Veri Girişi'!C74/2)+130)-'Veri Girişi'!F112</f>
        <v>155</v>
      </c>
      <c r="AI293" s="710"/>
      <c r="AJ293" s="710"/>
      <c r="AK293" s="710"/>
      <c r="AL293" s="583"/>
      <c r="AM293" s="146" t="s">
        <v>122</v>
      </c>
      <c r="AN293" s="146"/>
      <c r="AO293" s="144"/>
      <c r="AP293" s="144"/>
      <c r="AQ293" s="144"/>
      <c r="AR293" s="146"/>
      <c r="AS293" s="146"/>
      <c r="AT293" s="146"/>
      <c r="AU293" s="146"/>
      <c r="AV293" s="146"/>
      <c r="AW293" s="146"/>
      <c r="AX293" s="146"/>
      <c r="AY293" s="146"/>
      <c r="AZ293" s="146"/>
      <c r="BA293" s="146"/>
      <c r="BB293" s="144"/>
      <c r="BC293" s="144"/>
      <c r="BD293" s="144"/>
      <c r="BE293" s="144"/>
      <c r="BF293" s="146"/>
      <c r="BG293" s="146"/>
      <c r="BH293" s="146"/>
      <c r="BI293" s="146"/>
      <c r="BJ293" s="146"/>
    </row>
    <row r="294" spans="1:62" ht="15" customHeight="1">
      <c r="A294" s="735" t="s">
        <v>617</v>
      </c>
      <c r="B294" s="707"/>
      <c r="C294" s="174"/>
      <c r="D294" s="174"/>
      <c r="E294" s="707"/>
      <c r="F294" s="707"/>
      <c r="G294" s="707"/>
      <c r="H294" s="707"/>
      <c r="I294" s="707"/>
      <c r="J294" s="707"/>
      <c r="K294" s="707"/>
      <c r="L294" s="707"/>
      <c r="M294" s="707"/>
      <c r="N294" s="707"/>
      <c r="O294" s="707"/>
      <c r="P294" s="707"/>
      <c r="Q294" s="707"/>
      <c r="R294" s="707"/>
      <c r="S294" s="707"/>
      <c r="T294" s="707"/>
      <c r="U294" s="707"/>
      <c r="V294" s="707"/>
      <c r="W294" s="707"/>
      <c r="X294" s="707"/>
      <c r="Y294" s="707"/>
      <c r="Z294" s="174"/>
      <c r="AA294" s="174"/>
      <c r="AB294" s="174"/>
      <c r="AC294" s="174"/>
      <c r="AD294" s="174"/>
      <c r="AE294" s="174"/>
      <c r="AF294" s="174"/>
      <c r="AG294" s="174"/>
      <c r="AH294" s="759">
        <v>0</v>
      </c>
      <c r="AI294" s="710"/>
      <c r="AJ294" s="710"/>
      <c r="AK294" s="710"/>
      <c r="AL294" s="583"/>
      <c r="AM294" s="146" t="s">
        <v>122</v>
      </c>
      <c r="AN294" s="146"/>
      <c r="AO294" s="144"/>
      <c r="AP294" s="144"/>
      <c r="AQ294" s="144"/>
      <c r="AR294" s="146"/>
      <c r="AS294" s="146"/>
      <c r="AT294" s="146"/>
      <c r="AU294" s="146"/>
      <c r="AV294" s="146"/>
      <c r="AW294" s="146"/>
      <c r="AX294" s="146"/>
      <c r="AY294" s="146"/>
      <c r="AZ294" s="146"/>
      <c r="BA294" s="146"/>
      <c r="BB294" s="144"/>
      <c r="BC294" s="144"/>
      <c r="BD294" s="144"/>
      <c r="BE294" s="144"/>
      <c r="BF294" s="146"/>
      <c r="BG294" s="146"/>
      <c r="BH294" s="146"/>
      <c r="BI294" s="146"/>
      <c r="BJ294" s="146"/>
    </row>
    <row r="295" spans="1:62" ht="15" customHeight="1">
      <c r="A295" s="735" t="s">
        <v>618</v>
      </c>
      <c r="B295" s="707"/>
      <c r="C295" s="146"/>
      <c r="D295" s="174"/>
      <c r="E295" s="735" t="s">
        <v>619</v>
      </c>
      <c r="F295" s="707"/>
      <c r="G295" s="707"/>
      <c r="H295" s="707"/>
      <c r="I295" s="707"/>
      <c r="J295" s="707"/>
      <c r="K295" s="707"/>
      <c r="L295" s="707"/>
      <c r="M295" s="707"/>
      <c r="N295" s="707"/>
      <c r="O295" s="707"/>
      <c r="P295" s="707"/>
      <c r="Q295" s="707"/>
      <c r="R295" s="707"/>
      <c r="S295" s="707"/>
      <c r="T295" s="707"/>
      <c r="U295" s="707"/>
      <c r="V295" s="707"/>
      <c r="W295" s="707"/>
      <c r="X295" s="707"/>
      <c r="Y295" s="707"/>
      <c r="Z295" s="174"/>
      <c r="AA295" s="174"/>
      <c r="AB295" s="174"/>
      <c r="AC295" s="174"/>
      <c r="AD295" s="174"/>
      <c r="AE295" s="174"/>
      <c r="AF295" s="174"/>
      <c r="AG295" s="174"/>
      <c r="AH295" s="759">
        <f>('Veri Girişi'!F127*(('Veri Girişi'!C74/2)+'Veri Girişi'!F128))/'Veri Girişi'!C75</f>
        <v>77.678571428571431</v>
      </c>
      <c r="AI295" s="710"/>
      <c r="AJ295" s="710"/>
      <c r="AK295" s="710"/>
      <c r="AL295" s="583"/>
      <c r="AM295" s="146" t="s">
        <v>122</v>
      </c>
      <c r="AN295" s="146"/>
      <c r="AO295" s="144"/>
      <c r="AP295" s="144"/>
      <c r="AQ295" s="144"/>
      <c r="AR295" s="146"/>
      <c r="AS295" s="146"/>
      <c r="AT295" s="146"/>
      <c r="AU295" s="146"/>
      <c r="AV295" s="146"/>
      <c r="AW295" s="146"/>
      <c r="AX295" s="146"/>
      <c r="AY295" s="146"/>
      <c r="AZ295" s="146"/>
      <c r="BA295" s="146"/>
      <c r="BB295" s="144"/>
      <c r="BC295" s="144"/>
      <c r="BD295" s="144"/>
      <c r="BE295" s="144"/>
      <c r="BF295" s="146"/>
      <c r="BG295" s="146"/>
      <c r="BH295" s="146"/>
      <c r="BI295" s="146"/>
      <c r="BJ295" s="146"/>
    </row>
    <row r="296" spans="1:62" ht="15" customHeight="1">
      <c r="A296" s="735" t="s">
        <v>620</v>
      </c>
      <c r="B296" s="707"/>
      <c r="C296" s="174"/>
      <c r="D296" s="174"/>
      <c r="E296" s="707"/>
      <c r="F296" s="707"/>
      <c r="G296" s="707"/>
      <c r="H296" s="707"/>
      <c r="I296" s="707"/>
      <c r="J296" s="707"/>
      <c r="K296" s="707"/>
      <c r="L296" s="707"/>
      <c r="M296" s="707"/>
      <c r="N296" s="707"/>
      <c r="O296" s="707"/>
      <c r="P296" s="707"/>
      <c r="Q296" s="707"/>
      <c r="R296" s="707"/>
      <c r="S296" s="707"/>
      <c r="T296" s="707"/>
      <c r="U296" s="707"/>
      <c r="V296" s="707"/>
      <c r="W296" s="707"/>
      <c r="X296" s="707"/>
      <c r="Y296" s="707"/>
      <c r="Z296" s="174"/>
      <c r="AA296" s="174"/>
      <c r="AB296" s="174"/>
      <c r="AC296" s="174"/>
      <c r="AD296" s="174"/>
      <c r="AE296" s="174"/>
      <c r="AF296" s="174"/>
      <c r="AG296" s="174"/>
      <c r="AH296" s="759">
        <v>0</v>
      </c>
      <c r="AI296" s="710"/>
      <c r="AJ296" s="710"/>
      <c r="AK296" s="710"/>
      <c r="AL296" s="583"/>
      <c r="AM296" s="146" t="s">
        <v>122</v>
      </c>
      <c r="AN296" s="146"/>
      <c r="AO296" s="144"/>
      <c r="AP296" s="144"/>
      <c r="AQ296" s="144"/>
      <c r="AR296" s="146"/>
      <c r="AS296" s="146"/>
      <c r="AT296" s="146"/>
      <c r="AU296" s="146"/>
      <c r="AV296" s="146"/>
      <c r="AW296" s="146"/>
      <c r="AX296" s="146"/>
      <c r="AY296" s="146"/>
      <c r="AZ296" s="146"/>
      <c r="BA296" s="146"/>
      <c r="BB296" s="144"/>
      <c r="BC296" s="144"/>
      <c r="BD296" s="144"/>
      <c r="BE296" s="144"/>
      <c r="BF296" s="146"/>
      <c r="BG296" s="146"/>
      <c r="BH296" s="146"/>
      <c r="BI296" s="146"/>
      <c r="BJ296" s="146"/>
    </row>
    <row r="297" spans="1:62" ht="15" customHeight="1">
      <c r="A297" s="735" t="s">
        <v>621</v>
      </c>
      <c r="B297" s="707"/>
      <c r="C297" s="146"/>
      <c r="D297" s="174"/>
      <c r="E297" s="735" t="s">
        <v>622</v>
      </c>
      <c r="F297" s="707"/>
      <c r="G297" s="707"/>
      <c r="H297" s="707"/>
      <c r="I297" s="707"/>
      <c r="J297" s="707"/>
      <c r="K297" s="707"/>
      <c r="L297" s="707"/>
      <c r="M297" s="707"/>
      <c r="N297" s="707"/>
      <c r="O297" s="707"/>
      <c r="P297" s="707"/>
      <c r="Q297" s="707"/>
      <c r="R297" s="707"/>
      <c r="S297" s="707"/>
      <c r="T297" s="707"/>
      <c r="U297" s="707"/>
      <c r="V297" s="707"/>
      <c r="W297" s="707"/>
      <c r="X297" s="707"/>
      <c r="Y297" s="707"/>
      <c r="Z297" s="174"/>
      <c r="AA297" s="174"/>
      <c r="AB297" s="174"/>
      <c r="AC297" s="174"/>
      <c r="AD297" s="174"/>
      <c r="AE297" s="174"/>
      <c r="AF297" s="174"/>
      <c r="AG297" s="174"/>
      <c r="AH297" s="759">
        <v>0</v>
      </c>
      <c r="AI297" s="710"/>
      <c r="AJ297" s="710"/>
      <c r="AK297" s="710"/>
      <c r="AL297" s="583"/>
      <c r="AM297" s="146" t="s">
        <v>122</v>
      </c>
      <c r="AN297" s="146"/>
      <c r="AO297" s="144"/>
      <c r="AP297" s="144"/>
      <c r="AQ297" s="144"/>
      <c r="AR297" s="146"/>
      <c r="AS297" s="146"/>
      <c r="AT297" s="146"/>
      <c r="AU297" s="146"/>
      <c r="AV297" s="146"/>
      <c r="AW297" s="146"/>
      <c r="AX297" s="146"/>
      <c r="AY297" s="146"/>
      <c r="AZ297" s="146"/>
      <c r="BA297" s="146"/>
      <c r="BB297" s="144"/>
      <c r="BC297" s="144"/>
      <c r="BD297" s="144"/>
      <c r="BE297" s="144"/>
      <c r="BF297" s="146"/>
      <c r="BG297" s="146"/>
      <c r="BH297" s="146"/>
      <c r="BI297" s="146"/>
      <c r="BJ297" s="146"/>
    </row>
    <row r="298" spans="1:62" ht="15" customHeight="1">
      <c r="A298" s="735" t="s">
        <v>623</v>
      </c>
      <c r="B298" s="707"/>
      <c r="C298" s="174"/>
      <c r="D298" s="174"/>
      <c r="E298" s="707"/>
      <c r="F298" s="707"/>
      <c r="G298" s="707"/>
      <c r="H298" s="707"/>
      <c r="I298" s="707"/>
      <c r="J298" s="707"/>
      <c r="K298" s="707"/>
      <c r="L298" s="707"/>
      <c r="M298" s="707"/>
      <c r="N298" s="707"/>
      <c r="O298" s="707"/>
      <c r="P298" s="707"/>
      <c r="Q298" s="707"/>
      <c r="R298" s="707"/>
      <c r="S298" s="707"/>
      <c r="T298" s="707"/>
      <c r="U298" s="707"/>
      <c r="V298" s="707"/>
      <c r="W298" s="707"/>
      <c r="X298" s="707"/>
      <c r="Y298" s="707"/>
      <c r="Z298" s="174"/>
      <c r="AA298" s="174"/>
      <c r="AB298" s="174"/>
      <c r="AC298" s="174"/>
      <c r="AD298" s="174"/>
      <c r="AE298" s="174"/>
      <c r="AF298" s="174"/>
      <c r="AG298" s="174"/>
      <c r="AH298" s="759">
        <v>0</v>
      </c>
      <c r="AI298" s="710"/>
      <c r="AJ298" s="710"/>
      <c r="AK298" s="710"/>
      <c r="AL298" s="583"/>
      <c r="AM298" s="146" t="s">
        <v>122</v>
      </c>
      <c r="AN298" s="146"/>
      <c r="AO298" s="144"/>
      <c r="AP298" s="144"/>
      <c r="AQ298" s="144"/>
      <c r="AR298" s="146"/>
      <c r="AS298" s="146"/>
      <c r="AT298" s="146"/>
      <c r="AU298" s="146"/>
      <c r="AV298" s="146"/>
      <c r="AW298" s="146"/>
      <c r="AX298" s="146"/>
      <c r="AY298" s="146"/>
      <c r="AZ298" s="146"/>
      <c r="BA298" s="146"/>
      <c r="BB298" s="144"/>
      <c r="BC298" s="144"/>
      <c r="BD298" s="144"/>
      <c r="BE298" s="144"/>
      <c r="BF298" s="146"/>
      <c r="BG298" s="146"/>
      <c r="BH298" s="146"/>
      <c r="BI298" s="146"/>
      <c r="BJ298" s="146"/>
    </row>
    <row r="299" spans="1:62" ht="15" customHeight="1">
      <c r="A299" s="735" t="s">
        <v>624</v>
      </c>
      <c r="B299" s="707"/>
      <c r="C299" s="146"/>
      <c r="D299" s="174"/>
      <c r="E299" s="735" t="s">
        <v>625</v>
      </c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174"/>
      <c r="AB299" s="174"/>
      <c r="AC299" s="174"/>
      <c r="AD299" s="174"/>
      <c r="AE299" s="174"/>
      <c r="AF299" s="174"/>
      <c r="AG299" s="174"/>
      <c r="AH299" s="759">
        <f>'Veri Girişi'!F112</f>
        <v>650</v>
      </c>
      <c r="AI299" s="710"/>
      <c r="AJ299" s="710"/>
      <c r="AK299" s="710"/>
      <c r="AL299" s="583"/>
      <c r="AM299" s="146" t="s">
        <v>122</v>
      </c>
      <c r="AN299" s="146"/>
      <c r="AO299" s="144"/>
      <c r="AP299" s="144"/>
      <c r="AQ299" s="144"/>
      <c r="AR299" s="146"/>
      <c r="AS299" s="146"/>
      <c r="AT299" s="146"/>
      <c r="AU299" s="146"/>
      <c r="AV299" s="146"/>
      <c r="AW299" s="146"/>
      <c r="AX299" s="146"/>
      <c r="AY299" s="146"/>
      <c r="AZ299" s="146"/>
      <c r="BA299" s="146"/>
      <c r="BB299" s="144"/>
      <c r="BC299" s="144"/>
      <c r="BD299" s="144"/>
      <c r="BE299" s="144"/>
      <c r="BF299" s="146"/>
      <c r="BG299" s="146"/>
      <c r="BH299" s="146"/>
      <c r="BI299" s="146"/>
      <c r="BJ299" s="146"/>
    </row>
    <row r="300" spans="1:62" ht="15" customHeight="1">
      <c r="A300" s="735" t="s">
        <v>626</v>
      </c>
      <c r="B300" s="707"/>
      <c r="C300" s="174"/>
      <c r="D300" s="174"/>
      <c r="E300" s="707"/>
      <c r="F300" s="707"/>
      <c r="G300" s="707"/>
      <c r="H300" s="707"/>
      <c r="I300" s="707"/>
      <c r="J300" s="707"/>
      <c r="K300" s="707"/>
      <c r="L300" s="707"/>
      <c r="M300" s="707"/>
      <c r="N300" s="707"/>
      <c r="O300" s="707"/>
      <c r="P300" s="707"/>
      <c r="Q300" s="707"/>
      <c r="R300" s="707"/>
      <c r="S300" s="707"/>
      <c r="T300" s="707"/>
      <c r="U300" s="707"/>
      <c r="V300" s="707"/>
      <c r="W300" s="707"/>
      <c r="X300" s="707"/>
      <c r="Y300" s="707"/>
      <c r="Z300" s="707"/>
      <c r="AA300" s="174"/>
      <c r="AB300" s="174"/>
      <c r="AC300" s="174"/>
      <c r="AD300" s="174"/>
      <c r="AE300" s="174"/>
      <c r="AF300" s="174"/>
      <c r="AG300" s="174"/>
      <c r="AH300" s="759">
        <f>'Veri Girişi'!C76</f>
        <v>0</v>
      </c>
      <c r="AI300" s="710"/>
      <c r="AJ300" s="710"/>
      <c r="AK300" s="710"/>
      <c r="AL300" s="583"/>
      <c r="AM300" s="146" t="s">
        <v>122</v>
      </c>
      <c r="AN300" s="146"/>
      <c r="AO300" s="144"/>
      <c r="AP300" s="144"/>
      <c r="AQ300" s="144"/>
      <c r="AR300" s="146"/>
      <c r="AS300" s="146"/>
      <c r="AT300" s="146"/>
      <c r="AU300" s="146"/>
      <c r="AV300" s="146"/>
      <c r="AW300" s="146"/>
      <c r="AX300" s="146"/>
      <c r="AY300" s="146"/>
      <c r="AZ300" s="146"/>
      <c r="BA300" s="146"/>
      <c r="BB300" s="144"/>
      <c r="BC300" s="144"/>
      <c r="BD300" s="144"/>
      <c r="BE300" s="144"/>
      <c r="BF300" s="146"/>
      <c r="BG300" s="146"/>
      <c r="BH300" s="146"/>
      <c r="BI300" s="146"/>
      <c r="BJ300" s="146"/>
    </row>
    <row r="301" spans="1:62" ht="15" customHeight="1">
      <c r="A301" s="146" t="s">
        <v>627</v>
      </c>
      <c r="B301" s="140" t="s">
        <v>308</v>
      </c>
      <c r="C301" s="144" t="s">
        <v>628</v>
      </c>
      <c r="D301" s="146"/>
      <c r="E301" s="140"/>
      <c r="F301" s="143"/>
      <c r="G301" s="174"/>
      <c r="H301" s="174"/>
      <c r="I301" s="174"/>
      <c r="J301" s="140"/>
      <c r="K301" s="140"/>
      <c r="L301" s="140"/>
      <c r="M301" s="140"/>
      <c r="N301" s="143"/>
      <c r="O301" s="140"/>
      <c r="P301" s="140"/>
      <c r="Q301" s="140"/>
      <c r="R301" s="140"/>
      <c r="S301" s="174"/>
      <c r="T301" s="174"/>
      <c r="U301" s="174"/>
      <c r="V301" s="174"/>
      <c r="W301" s="174"/>
      <c r="X301" s="174"/>
      <c r="Y301" s="140"/>
      <c r="Z301" s="144"/>
      <c r="AA301" s="144"/>
      <c r="AB301" s="144"/>
      <c r="AC301" s="144"/>
      <c r="AD301" s="144"/>
      <c r="AE301" s="144"/>
      <c r="AF301" s="144"/>
      <c r="AG301" s="144"/>
      <c r="AH301" s="748">
        <v>1</v>
      </c>
      <c r="AI301" s="710"/>
      <c r="AJ301" s="710"/>
      <c r="AK301" s="710"/>
      <c r="AL301" s="583"/>
      <c r="AM301" s="146"/>
      <c r="AN301" s="146"/>
      <c r="AO301" s="144"/>
      <c r="AP301" s="144"/>
      <c r="AQ301" s="144"/>
      <c r="AR301" s="146"/>
      <c r="AS301" s="146"/>
      <c r="AT301" s="146"/>
      <c r="AU301" s="146"/>
      <c r="AV301" s="146"/>
      <c r="AW301" s="146"/>
      <c r="AX301" s="146"/>
      <c r="AY301" s="146"/>
      <c r="AZ301" s="146"/>
      <c r="BA301" s="146"/>
      <c r="BB301" s="144"/>
      <c r="BC301" s="144"/>
      <c r="BD301" s="144"/>
      <c r="BE301" s="144"/>
      <c r="BF301" s="146"/>
      <c r="BG301" s="146"/>
      <c r="BH301" s="146"/>
      <c r="BI301" s="146"/>
      <c r="BJ301" s="146"/>
    </row>
    <row r="302" spans="1:62" ht="15" customHeight="1">
      <c r="A302" s="146" t="s">
        <v>629</v>
      </c>
      <c r="B302" s="140" t="s">
        <v>308</v>
      </c>
      <c r="C302" s="146" t="s">
        <v>630</v>
      </c>
      <c r="D302" s="146"/>
      <c r="E302" s="140"/>
      <c r="F302" s="143"/>
      <c r="G302" s="174"/>
      <c r="H302" s="174"/>
      <c r="I302" s="174"/>
      <c r="J302" s="140"/>
      <c r="K302" s="140"/>
      <c r="L302" s="140"/>
      <c r="M302" s="140"/>
      <c r="N302" s="143"/>
      <c r="O302" s="140"/>
      <c r="P302" s="140"/>
      <c r="Q302" s="140"/>
      <c r="R302" s="140"/>
      <c r="S302" s="174"/>
      <c r="T302" s="174"/>
      <c r="U302" s="174"/>
      <c r="V302" s="174"/>
      <c r="W302" s="174"/>
      <c r="X302" s="174"/>
      <c r="Y302" s="140"/>
      <c r="Z302" s="144"/>
      <c r="AA302" s="144"/>
      <c r="AB302" s="144"/>
      <c r="AC302" s="144"/>
      <c r="AD302" s="144"/>
      <c r="AE302" s="144"/>
      <c r="AF302" s="144"/>
      <c r="AG302" s="144"/>
      <c r="AH302" s="748">
        <v>206010</v>
      </c>
      <c r="AI302" s="710"/>
      <c r="AJ302" s="710"/>
      <c r="AK302" s="710"/>
      <c r="AL302" s="583"/>
      <c r="AM302" s="735" t="s">
        <v>406</v>
      </c>
      <c r="AN302" s="707"/>
      <c r="AO302" s="707"/>
      <c r="AP302" s="707"/>
      <c r="AQ302" s="144"/>
      <c r="AR302" s="146"/>
      <c r="AS302" s="146"/>
      <c r="AT302" s="146"/>
      <c r="AU302" s="146"/>
      <c r="AV302" s="146"/>
      <c r="AW302" s="146"/>
      <c r="AX302" s="146"/>
      <c r="AY302" s="146"/>
      <c r="AZ302" s="146"/>
      <c r="BA302" s="146"/>
      <c r="BB302" s="144"/>
      <c r="BC302" s="144"/>
      <c r="BD302" s="144"/>
      <c r="BE302" s="144"/>
      <c r="BF302" s="146"/>
      <c r="BG302" s="146"/>
      <c r="BH302" s="146"/>
      <c r="BI302" s="146"/>
      <c r="BJ302" s="146"/>
    </row>
    <row r="303" spans="1:62" ht="15" customHeight="1">
      <c r="A303" s="146" t="s">
        <v>631</v>
      </c>
      <c r="B303" s="140"/>
      <c r="C303" s="146" t="s">
        <v>632</v>
      </c>
      <c r="D303" s="146"/>
      <c r="E303" s="140"/>
      <c r="F303" s="143"/>
      <c r="G303" s="174"/>
      <c r="H303" s="174"/>
      <c r="I303" s="174"/>
      <c r="J303" s="140"/>
      <c r="K303" s="140"/>
      <c r="L303" s="140"/>
      <c r="M303" s="140"/>
      <c r="N303" s="143"/>
      <c r="O303" s="140"/>
      <c r="P303" s="140"/>
      <c r="Q303" s="140"/>
      <c r="R303" s="140"/>
      <c r="S303" s="174"/>
      <c r="T303" s="174"/>
      <c r="U303" s="174"/>
      <c r="V303" s="174"/>
      <c r="W303" s="174"/>
      <c r="X303" s="174"/>
      <c r="Y303" s="140"/>
      <c r="Z303" s="144"/>
      <c r="AA303" s="144"/>
      <c r="AB303" s="144"/>
      <c r="AC303" s="144"/>
      <c r="AD303" s="144"/>
      <c r="AE303" s="144"/>
      <c r="AF303" s="144"/>
      <c r="AG303" s="144"/>
      <c r="AH303" s="748">
        <f>IF('Veri Girişi'!C59&lt;2500,0.4*9.81*'Veri Girişi'!C59,0.6*9.81*'Veri Girişi'!C59)</f>
        <v>3139.2000000000003</v>
      </c>
      <c r="AI303" s="710"/>
      <c r="AJ303" s="710"/>
      <c r="AK303" s="710"/>
      <c r="AL303" s="583"/>
      <c r="AM303" s="146" t="s">
        <v>374</v>
      </c>
      <c r="AN303" s="146"/>
      <c r="AO303" s="144"/>
      <c r="AP303" s="144"/>
      <c r="AQ303" s="144"/>
      <c r="AR303" s="146"/>
      <c r="AS303" s="146"/>
      <c r="AT303" s="146"/>
      <c r="AU303" s="146"/>
      <c r="AV303" s="146"/>
      <c r="AW303" s="146"/>
      <c r="AX303" s="146"/>
      <c r="AY303" s="146"/>
      <c r="AZ303" s="146"/>
      <c r="BA303" s="146"/>
      <c r="BB303" s="144"/>
      <c r="BC303" s="144"/>
      <c r="BD303" s="144"/>
      <c r="BE303" s="144"/>
      <c r="BF303" s="146"/>
      <c r="BG303" s="146"/>
      <c r="BH303" s="146"/>
      <c r="BI303" s="146"/>
      <c r="BJ303" s="146"/>
    </row>
    <row r="304" spans="1:62" ht="15" customHeight="1">
      <c r="A304" s="231" t="s">
        <v>633</v>
      </c>
      <c r="B304" s="140"/>
      <c r="C304" s="144"/>
      <c r="D304" s="128" t="s">
        <v>634</v>
      </c>
      <c r="E304" s="140"/>
      <c r="F304" s="143"/>
      <c r="G304" s="174"/>
      <c r="H304" s="174"/>
      <c r="I304" s="174"/>
      <c r="J304" s="140"/>
      <c r="K304" s="140"/>
      <c r="L304" s="140"/>
      <c r="M304" s="140"/>
      <c r="N304" s="143"/>
      <c r="O304" s="140"/>
      <c r="P304" s="140"/>
      <c r="Q304" s="140"/>
      <c r="R304" s="140"/>
      <c r="S304" s="174"/>
      <c r="T304" s="174"/>
      <c r="U304" s="174"/>
      <c r="V304" s="174"/>
      <c r="W304" s="174"/>
      <c r="X304" s="174"/>
      <c r="Y304" s="140"/>
      <c r="Z304" s="144"/>
      <c r="AA304" s="144"/>
      <c r="AB304" s="144"/>
      <c r="AC304" s="144"/>
      <c r="AD304" s="144"/>
      <c r="AE304" s="144"/>
      <c r="AF304" s="144"/>
      <c r="AG304" s="144"/>
      <c r="AH304" s="748">
        <f>VLOOKUP('Veri Girişi'!B131,TEKNİK!P2:R4,3,0)</f>
        <v>205</v>
      </c>
      <c r="AI304" s="710"/>
      <c r="AJ304" s="710"/>
      <c r="AK304" s="710"/>
      <c r="AL304" s="583"/>
      <c r="AM304" s="735" t="s">
        <v>406</v>
      </c>
      <c r="AN304" s="707"/>
      <c r="AO304" s="707"/>
      <c r="AP304" s="707"/>
      <c r="AQ304" s="144"/>
      <c r="AR304" s="146"/>
      <c r="AS304" s="146"/>
      <c r="AT304" s="146"/>
      <c r="AU304" s="146"/>
      <c r="AV304" s="146"/>
      <c r="AW304" s="146"/>
      <c r="AX304" s="146"/>
      <c r="AY304" s="146"/>
      <c r="AZ304" s="146"/>
      <c r="BA304" s="146"/>
      <c r="BB304" s="144"/>
      <c r="BC304" s="144"/>
      <c r="BD304" s="144"/>
      <c r="BE304" s="144"/>
      <c r="BF304" s="146"/>
      <c r="BG304" s="146"/>
      <c r="BH304" s="146"/>
      <c r="BI304" s="146"/>
      <c r="BJ304" s="146"/>
    </row>
    <row r="305" spans="1:62" ht="15" customHeight="1">
      <c r="A305" s="231" t="s">
        <v>633</v>
      </c>
      <c r="B305" s="140"/>
      <c r="C305" s="144"/>
      <c r="D305" s="128" t="s">
        <v>635</v>
      </c>
      <c r="E305" s="140"/>
      <c r="F305" s="143"/>
      <c r="G305" s="174"/>
      <c r="H305" s="174"/>
      <c r="I305" s="174"/>
      <c r="J305" s="140"/>
      <c r="K305" s="140"/>
      <c r="L305" s="140"/>
      <c r="M305" s="140"/>
      <c r="N305" s="143"/>
      <c r="O305" s="140"/>
      <c r="P305" s="140"/>
      <c r="Q305" s="140"/>
      <c r="R305" s="140"/>
      <c r="S305" s="174"/>
      <c r="T305" s="174"/>
      <c r="U305" s="174"/>
      <c r="V305" s="174"/>
      <c r="W305" s="174"/>
      <c r="X305" s="174"/>
      <c r="Y305" s="140"/>
      <c r="Z305" s="144"/>
      <c r="AA305" s="144"/>
      <c r="AB305" s="144"/>
      <c r="AC305" s="144"/>
      <c r="AD305" s="144"/>
      <c r="AE305" s="144"/>
      <c r="AF305" s="144"/>
      <c r="AG305" s="144"/>
      <c r="AH305" s="748">
        <f>VLOOKUP('Veri Girişi'!B131,TEKNİK!P2:R4,2,0)</f>
        <v>165</v>
      </c>
      <c r="AI305" s="710"/>
      <c r="AJ305" s="710"/>
      <c r="AK305" s="710"/>
      <c r="AL305" s="583"/>
      <c r="AM305" s="735" t="s">
        <v>406</v>
      </c>
      <c r="AN305" s="707"/>
      <c r="AO305" s="707"/>
      <c r="AP305" s="707"/>
      <c r="AQ305" s="144"/>
      <c r="AR305" s="146"/>
      <c r="AS305" s="146"/>
      <c r="AT305" s="146"/>
      <c r="AU305" s="146"/>
      <c r="AV305" s="146"/>
      <c r="AW305" s="146"/>
      <c r="AX305" s="146"/>
      <c r="AY305" s="146"/>
      <c r="AZ305" s="146"/>
      <c r="BA305" s="146"/>
      <c r="BB305" s="144"/>
      <c r="BC305" s="144"/>
      <c r="BD305" s="144"/>
      <c r="BE305" s="144"/>
      <c r="BF305" s="146"/>
      <c r="BG305" s="146"/>
      <c r="BH305" s="146"/>
      <c r="BI305" s="146"/>
      <c r="BJ305" s="146"/>
    </row>
    <row r="306" spans="1:62" ht="15" customHeight="1">
      <c r="A306" s="231" t="s">
        <v>636</v>
      </c>
      <c r="B306" s="140"/>
      <c r="C306" s="144"/>
      <c r="D306" s="146" t="s">
        <v>637</v>
      </c>
      <c r="E306" s="140"/>
      <c r="F306" s="143"/>
      <c r="G306" s="174"/>
      <c r="H306" s="174"/>
      <c r="I306" s="174"/>
      <c r="J306" s="140"/>
      <c r="K306" s="140"/>
      <c r="L306" s="140"/>
      <c r="M306" s="140"/>
      <c r="N306" s="143"/>
      <c r="O306" s="140"/>
      <c r="P306" s="140"/>
      <c r="Q306" s="140"/>
      <c r="R306" s="140"/>
      <c r="S306" s="174"/>
      <c r="T306" s="174"/>
      <c r="U306" s="174"/>
      <c r="V306" s="174"/>
      <c r="W306" s="174"/>
      <c r="X306" s="174"/>
      <c r="Y306" s="140"/>
      <c r="Z306" s="144"/>
      <c r="AA306" s="144"/>
      <c r="AB306" s="144"/>
      <c r="AC306" s="144"/>
      <c r="AD306" s="144"/>
      <c r="AE306" s="144"/>
      <c r="AF306" s="144"/>
      <c r="AG306" s="144"/>
      <c r="AH306" s="748">
        <v>5</v>
      </c>
      <c r="AI306" s="710"/>
      <c r="AJ306" s="710"/>
      <c r="AK306" s="710"/>
      <c r="AL306" s="583"/>
      <c r="AM306" s="735" t="s">
        <v>122</v>
      </c>
      <c r="AN306" s="707"/>
      <c r="AO306" s="707"/>
      <c r="AP306" s="707"/>
      <c r="AQ306" s="144"/>
      <c r="AR306" s="146"/>
      <c r="AS306" s="146"/>
      <c r="AT306" s="146"/>
      <c r="AU306" s="146"/>
      <c r="AV306" s="146"/>
      <c r="AW306" s="146"/>
      <c r="AX306" s="146"/>
      <c r="AY306" s="146"/>
      <c r="AZ306" s="146"/>
      <c r="BA306" s="146"/>
      <c r="BB306" s="144"/>
      <c r="BC306" s="144"/>
      <c r="BD306" s="144"/>
      <c r="BE306" s="144"/>
      <c r="BF306" s="146"/>
      <c r="BG306" s="146"/>
      <c r="BH306" s="146"/>
      <c r="BI306" s="146"/>
      <c r="BJ306" s="146"/>
    </row>
    <row r="307" spans="1:62" ht="4.5" customHeight="1">
      <c r="A307" s="146"/>
      <c r="B307" s="140"/>
      <c r="C307" s="144"/>
      <c r="D307" s="146"/>
      <c r="E307" s="140"/>
      <c r="F307" s="143"/>
      <c r="G307" s="174"/>
      <c r="H307" s="174"/>
      <c r="I307" s="174"/>
      <c r="J307" s="140"/>
      <c r="K307" s="140"/>
      <c r="L307" s="140"/>
      <c r="M307" s="140"/>
      <c r="N307" s="143"/>
      <c r="O307" s="140"/>
      <c r="P307" s="140"/>
      <c r="Q307" s="140"/>
      <c r="R307" s="140"/>
      <c r="S307" s="174"/>
      <c r="T307" s="174"/>
      <c r="U307" s="174"/>
      <c r="V307" s="174"/>
      <c r="W307" s="174"/>
      <c r="X307" s="174"/>
      <c r="Y307" s="140"/>
      <c r="Z307" s="144"/>
      <c r="AA307" s="144"/>
      <c r="AB307" s="144"/>
      <c r="AC307" s="144"/>
      <c r="AD307" s="144"/>
      <c r="AE307" s="144"/>
      <c r="AF307" s="144"/>
      <c r="AG307" s="144"/>
      <c r="AH307" s="162"/>
      <c r="AI307" s="162"/>
      <c r="AJ307" s="162"/>
      <c r="AK307" s="162"/>
      <c r="AL307" s="162"/>
      <c r="AM307" s="146"/>
      <c r="AN307" s="146"/>
      <c r="AO307" s="144"/>
      <c r="AP307" s="144"/>
      <c r="AQ307" s="144"/>
      <c r="AR307" s="146"/>
      <c r="AS307" s="146"/>
      <c r="AT307" s="146"/>
      <c r="AU307" s="146"/>
      <c r="AV307" s="146"/>
      <c r="AW307" s="146"/>
      <c r="AX307" s="146"/>
      <c r="AY307" s="146"/>
      <c r="AZ307" s="146"/>
      <c r="BA307" s="146"/>
      <c r="BB307" s="144"/>
      <c r="BC307" s="144"/>
      <c r="BD307" s="144"/>
      <c r="BE307" s="144"/>
      <c r="BF307" s="146"/>
      <c r="BG307" s="146"/>
      <c r="BH307" s="146"/>
      <c r="BI307" s="146"/>
      <c r="BJ307" s="146"/>
    </row>
    <row r="308" spans="1:62" ht="15" customHeight="1">
      <c r="A308" s="232" t="s">
        <v>638</v>
      </c>
      <c r="B308" s="140"/>
      <c r="C308" s="140"/>
      <c r="D308" s="146"/>
      <c r="E308" s="140"/>
      <c r="F308" s="143"/>
      <c r="G308" s="174"/>
      <c r="H308" s="174"/>
      <c r="I308" s="174"/>
      <c r="J308" s="140"/>
      <c r="K308" s="140"/>
      <c r="L308" s="140"/>
      <c r="M308" s="140"/>
      <c r="N308" s="143"/>
      <c r="O308" s="140"/>
      <c r="P308" s="140"/>
      <c r="Q308" s="140"/>
      <c r="R308" s="140"/>
      <c r="S308" s="174"/>
      <c r="T308" s="174"/>
      <c r="U308" s="174"/>
      <c r="V308" s="174"/>
      <c r="W308" s="174"/>
      <c r="X308" s="174"/>
      <c r="Y308" s="140"/>
      <c r="Z308" s="196"/>
      <c r="AA308" s="196"/>
      <c r="AB308" s="196"/>
      <c r="AC308" s="196"/>
      <c r="AD308" s="196"/>
      <c r="AE308" s="196"/>
      <c r="AF308" s="196"/>
      <c r="AG308" s="196"/>
      <c r="AH308" s="196"/>
      <c r="AI308" s="196"/>
      <c r="AJ308" s="128"/>
      <c r="AK308" s="128"/>
      <c r="AL308" s="128"/>
      <c r="AM308" s="128"/>
      <c r="AN308" s="128"/>
      <c r="AO308" s="130"/>
      <c r="AP308" s="130"/>
      <c r="AQ308" s="130"/>
      <c r="AR308" s="130"/>
      <c r="AS308" s="130"/>
      <c r="AT308" s="130"/>
      <c r="AU308" s="130"/>
      <c r="AV308" s="130"/>
      <c r="AW308" s="130"/>
      <c r="AX308" s="128"/>
      <c r="AY308" s="130"/>
      <c r="AZ308" s="130"/>
      <c r="BA308" s="130"/>
      <c r="BB308" s="130"/>
      <c r="BC308" s="130"/>
      <c r="BD308" s="130"/>
      <c r="BE308" s="130"/>
      <c r="BF308" s="128"/>
      <c r="BG308" s="128"/>
      <c r="BH308" s="128"/>
      <c r="BI308" s="128"/>
      <c r="BJ308" s="128"/>
    </row>
    <row r="309" spans="1:62" ht="15" customHeight="1">
      <c r="A309" s="722" t="s">
        <v>639</v>
      </c>
      <c r="B309" s="707"/>
      <c r="C309" s="707"/>
      <c r="D309" s="707"/>
      <c r="E309" s="707"/>
      <c r="F309" s="707"/>
      <c r="G309" s="707"/>
      <c r="H309" s="707"/>
      <c r="I309" s="707"/>
      <c r="J309" s="707"/>
      <c r="K309" s="707"/>
      <c r="L309" s="128"/>
      <c r="M309" s="128"/>
      <c r="N309" s="721" t="s">
        <v>640</v>
      </c>
      <c r="O309" s="707"/>
      <c r="P309" s="757" t="s">
        <v>641</v>
      </c>
      <c r="Q309" s="721" t="s">
        <v>642</v>
      </c>
      <c r="R309" s="757" t="s">
        <v>643</v>
      </c>
      <c r="S309" s="760" t="s">
        <v>644</v>
      </c>
      <c r="T309" s="724"/>
      <c r="U309" s="140"/>
      <c r="V309" s="174"/>
      <c r="W309" s="721" t="s">
        <v>640</v>
      </c>
      <c r="X309" s="707"/>
      <c r="Y309" s="721" t="s">
        <v>262</v>
      </c>
      <c r="Z309" s="721">
        <f>(('Veri Girişi'!C74/2)+130)-'Veri Girişi'!F112+('Veri Girişi'!C74/8)</f>
        <v>323.75</v>
      </c>
      <c r="AA309" s="707"/>
      <c r="AB309" s="707"/>
      <c r="AC309" s="722" t="s">
        <v>122</v>
      </c>
      <c r="AD309" s="707"/>
      <c r="AE309" s="196"/>
      <c r="AF309" s="721" t="s">
        <v>645</v>
      </c>
      <c r="AG309" s="707"/>
      <c r="AH309" s="196"/>
      <c r="AI309" s="721" t="s">
        <v>646</v>
      </c>
      <c r="AJ309" s="707"/>
      <c r="AK309" s="757" t="s">
        <v>641</v>
      </c>
      <c r="AL309" s="721" t="s">
        <v>647</v>
      </c>
      <c r="AM309" s="707"/>
      <c r="AN309" s="757" t="s">
        <v>641</v>
      </c>
      <c r="AO309" s="721">
        <v>0</v>
      </c>
      <c r="AP309" s="707"/>
      <c r="AQ309" s="722" t="s">
        <v>122</v>
      </c>
      <c r="AR309" s="707"/>
      <c r="AS309" s="130"/>
      <c r="AT309" s="130"/>
      <c r="AU309" s="130"/>
      <c r="AV309" s="130"/>
      <c r="AW309" s="130"/>
      <c r="AX309" s="128"/>
      <c r="AY309" s="130"/>
      <c r="AZ309" s="130"/>
      <c r="BA309" s="130"/>
      <c r="BB309" s="130"/>
      <c r="BC309" s="130"/>
      <c r="BD309" s="130"/>
      <c r="BE309" s="130"/>
      <c r="BF309" s="128"/>
      <c r="BG309" s="128"/>
      <c r="BH309" s="128"/>
      <c r="BI309" s="128"/>
      <c r="BJ309" s="128"/>
    </row>
    <row r="310" spans="1:62" ht="15" customHeight="1">
      <c r="A310" s="707"/>
      <c r="B310" s="707"/>
      <c r="C310" s="707"/>
      <c r="D310" s="707"/>
      <c r="E310" s="707"/>
      <c r="F310" s="707"/>
      <c r="G310" s="707"/>
      <c r="H310" s="707"/>
      <c r="I310" s="707"/>
      <c r="J310" s="707"/>
      <c r="K310" s="707"/>
      <c r="L310" s="128"/>
      <c r="M310" s="128"/>
      <c r="N310" s="707"/>
      <c r="O310" s="707"/>
      <c r="P310" s="707"/>
      <c r="Q310" s="707"/>
      <c r="R310" s="707"/>
      <c r="S310" s="779">
        <v>8</v>
      </c>
      <c r="T310" s="637"/>
      <c r="U310" s="140"/>
      <c r="V310" s="174"/>
      <c r="W310" s="707"/>
      <c r="X310" s="707"/>
      <c r="Y310" s="707"/>
      <c r="Z310" s="707"/>
      <c r="AA310" s="707"/>
      <c r="AB310" s="707"/>
      <c r="AC310" s="707"/>
      <c r="AD310" s="707"/>
      <c r="AE310" s="196"/>
      <c r="AF310" s="707"/>
      <c r="AG310" s="707"/>
      <c r="AH310" s="196"/>
      <c r="AI310" s="707"/>
      <c r="AJ310" s="707"/>
      <c r="AK310" s="707"/>
      <c r="AL310" s="707"/>
      <c r="AM310" s="707"/>
      <c r="AN310" s="707"/>
      <c r="AO310" s="707"/>
      <c r="AP310" s="707"/>
      <c r="AQ310" s="707"/>
      <c r="AR310" s="707"/>
      <c r="AS310" s="130"/>
      <c r="AT310" s="130"/>
      <c r="AU310" s="130"/>
      <c r="AV310" s="130"/>
      <c r="AW310" s="130"/>
      <c r="AX310" s="128"/>
      <c r="AY310" s="130"/>
      <c r="AZ310" s="130"/>
      <c r="BA310" s="130"/>
      <c r="BB310" s="130"/>
      <c r="BC310" s="130"/>
      <c r="BD310" s="130"/>
      <c r="BE310" s="130"/>
      <c r="BF310" s="128"/>
      <c r="BG310" s="128"/>
      <c r="BH310" s="128"/>
      <c r="BI310" s="128"/>
      <c r="BJ310" s="128"/>
    </row>
    <row r="311" spans="1:62" ht="4.5" customHeight="1">
      <c r="A311" s="146"/>
      <c r="B311" s="140"/>
      <c r="C311" s="140"/>
      <c r="D311" s="146"/>
      <c r="E311" s="140"/>
      <c r="F311" s="143"/>
      <c r="G311" s="174"/>
      <c r="H311" s="174"/>
      <c r="I311" s="174"/>
      <c r="J311" s="140"/>
      <c r="K311" s="140"/>
      <c r="L311" s="140"/>
      <c r="M311" s="140"/>
      <c r="N311" s="143"/>
      <c r="O311" s="140"/>
      <c r="P311" s="140"/>
      <c r="Q311" s="140"/>
      <c r="R311" s="140"/>
      <c r="S311" s="174"/>
      <c r="T311" s="174"/>
      <c r="U311" s="174"/>
      <c r="V311" s="174"/>
      <c r="W311" s="174"/>
      <c r="X311" s="174"/>
      <c r="Y311" s="140"/>
      <c r="Z311" s="196"/>
      <c r="AA311" s="196"/>
      <c r="AB311" s="196"/>
      <c r="AC311" s="196"/>
      <c r="AD311" s="196"/>
      <c r="AE311" s="196"/>
      <c r="AF311" s="196"/>
      <c r="AG311" s="196"/>
      <c r="AH311" s="196"/>
      <c r="AI311" s="196"/>
      <c r="AJ311" s="128"/>
      <c r="AK311" s="128"/>
      <c r="AL311" s="128"/>
      <c r="AM311" s="128"/>
      <c r="AN311" s="128"/>
      <c r="AO311" s="130"/>
      <c r="AP311" s="130"/>
      <c r="AQ311" s="130"/>
      <c r="AR311" s="130"/>
      <c r="AS311" s="130"/>
      <c r="AT311" s="130"/>
      <c r="AU311" s="130"/>
      <c r="AV311" s="130"/>
      <c r="AW311" s="130"/>
      <c r="AX311" s="128"/>
      <c r="AY311" s="130"/>
      <c r="AZ311" s="130"/>
      <c r="BA311" s="130"/>
      <c r="BB311" s="130"/>
      <c r="BC311" s="130"/>
      <c r="BD311" s="130"/>
      <c r="BE311" s="130"/>
      <c r="BF311" s="128"/>
      <c r="BG311" s="128"/>
      <c r="BH311" s="128"/>
      <c r="BI311" s="128"/>
      <c r="BJ311" s="128"/>
    </row>
    <row r="312" spans="1:62" ht="15" customHeight="1">
      <c r="A312" s="722" t="s">
        <v>648</v>
      </c>
      <c r="B312" s="707"/>
      <c r="C312" s="707"/>
      <c r="D312" s="707"/>
      <c r="E312" s="707"/>
      <c r="F312" s="707"/>
      <c r="G312" s="707"/>
      <c r="H312" s="707"/>
      <c r="I312" s="707"/>
      <c r="J312" s="707"/>
      <c r="K312" s="707"/>
      <c r="L312" s="128"/>
      <c r="M312" s="128"/>
      <c r="N312" s="721" t="s">
        <v>646</v>
      </c>
      <c r="O312" s="707"/>
      <c r="P312" s="757" t="s">
        <v>641</v>
      </c>
      <c r="Q312" s="721" t="s">
        <v>647</v>
      </c>
      <c r="R312" s="757" t="s">
        <v>643</v>
      </c>
      <c r="S312" s="760" t="s">
        <v>649</v>
      </c>
      <c r="T312" s="724"/>
      <c r="U312" s="140"/>
      <c r="V312" s="174"/>
      <c r="W312" s="721" t="s">
        <v>646</v>
      </c>
      <c r="X312" s="707"/>
      <c r="Y312" s="721" t="s">
        <v>262</v>
      </c>
      <c r="Z312" s="721">
        <f>0+'Veri Girişi'!C73/8</f>
        <v>181.25</v>
      </c>
      <c r="AA312" s="707"/>
      <c r="AB312" s="707"/>
      <c r="AC312" s="722" t="s">
        <v>122</v>
      </c>
      <c r="AD312" s="707"/>
      <c r="AE312" s="196"/>
      <c r="AF312" s="721" t="s">
        <v>645</v>
      </c>
      <c r="AG312" s="707"/>
      <c r="AH312" s="196"/>
      <c r="AI312" s="721" t="s">
        <v>640</v>
      </c>
      <c r="AJ312" s="707"/>
      <c r="AK312" s="757" t="s">
        <v>641</v>
      </c>
      <c r="AL312" s="721" t="s">
        <v>642</v>
      </c>
      <c r="AM312" s="707"/>
      <c r="AN312" s="757" t="s">
        <v>641</v>
      </c>
      <c r="AO312" s="721">
        <v>0</v>
      </c>
      <c r="AP312" s="707"/>
      <c r="AQ312" s="722" t="s">
        <v>122</v>
      </c>
      <c r="AR312" s="707"/>
      <c r="AS312" s="130"/>
      <c r="AT312" s="130"/>
      <c r="AU312" s="130"/>
      <c r="AV312" s="130"/>
      <c r="AW312" s="130"/>
      <c r="AX312" s="128"/>
      <c r="AY312" s="130"/>
      <c r="AZ312" s="130"/>
      <c r="BA312" s="130"/>
      <c r="BB312" s="130"/>
      <c r="BC312" s="130"/>
      <c r="BD312" s="130"/>
      <c r="BE312" s="130"/>
      <c r="BF312" s="128"/>
      <c r="BG312" s="128"/>
      <c r="BH312" s="128"/>
      <c r="BI312" s="128"/>
      <c r="BJ312" s="128"/>
    </row>
    <row r="313" spans="1:62" ht="15" customHeight="1">
      <c r="A313" s="707"/>
      <c r="B313" s="707"/>
      <c r="C313" s="707"/>
      <c r="D313" s="707"/>
      <c r="E313" s="707"/>
      <c r="F313" s="707"/>
      <c r="G313" s="707"/>
      <c r="H313" s="707"/>
      <c r="I313" s="707"/>
      <c r="J313" s="707"/>
      <c r="K313" s="707"/>
      <c r="L313" s="128"/>
      <c r="M313" s="128"/>
      <c r="N313" s="707"/>
      <c r="O313" s="707"/>
      <c r="P313" s="707"/>
      <c r="Q313" s="707"/>
      <c r="R313" s="707"/>
      <c r="S313" s="779">
        <v>8</v>
      </c>
      <c r="T313" s="637"/>
      <c r="U313" s="140"/>
      <c r="V313" s="174"/>
      <c r="W313" s="707"/>
      <c r="X313" s="707"/>
      <c r="Y313" s="707"/>
      <c r="Z313" s="707"/>
      <c r="AA313" s="707"/>
      <c r="AB313" s="707"/>
      <c r="AC313" s="707"/>
      <c r="AD313" s="707"/>
      <c r="AE313" s="196"/>
      <c r="AF313" s="707"/>
      <c r="AG313" s="707"/>
      <c r="AH313" s="196"/>
      <c r="AI313" s="707"/>
      <c r="AJ313" s="707"/>
      <c r="AK313" s="707"/>
      <c r="AL313" s="707"/>
      <c r="AM313" s="707"/>
      <c r="AN313" s="707"/>
      <c r="AO313" s="707"/>
      <c r="AP313" s="707"/>
      <c r="AQ313" s="707"/>
      <c r="AR313" s="707"/>
      <c r="AS313" s="130"/>
      <c r="AT313" s="130"/>
      <c r="AU313" s="130"/>
      <c r="AV313" s="130"/>
      <c r="AW313" s="130"/>
      <c r="AX313" s="128"/>
      <c r="AY313" s="130"/>
      <c r="AZ313" s="130"/>
      <c r="BA313" s="130"/>
      <c r="BB313" s="130"/>
      <c r="BC313" s="130"/>
      <c r="BD313" s="130"/>
      <c r="BE313" s="130"/>
      <c r="BF313" s="128"/>
      <c r="BG313" s="128"/>
      <c r="BH313" s="128"/>
      <c r="BI313" s="128"/>
      <c r="BJ313" s="128"/>
    </row>
    <row r="314" spans="1:62" ht="10.5" customHeight="1">
      <c r="A314" s="146"/>
      <c r="B314" s="140"/>
      <c r="C314" s="140"/>
      <c r="D314" s="146"/>
      <c r="E314" s="140"/>
      <c r="F314" s="143"/>
      <c r="G314" s="174"/>
      <c r="H314" s="174"/>
      <c r="I314" s="174"/>
      <c r="J314" s="140"/>
      <c r="K314" s="140"/>
      <c r="L314" s="140"/>
      <c r="M314" s="140"/>
      <c r="N314" s="143"/>
      <c r="O314" s="140"/>
      <c r="P314" s="140"/>
      <c r="Q314" s="140"/>
      <c r="R314" s="140"/>
      <c r="S314" s="174"/>
      <c r="T314" s="174"/>
      <c r="U314" s="174"/>
      <c r="V314" s="174"/>
      <c r="W314" s="174"/>
      <c r="X314" s="174"/>
      <c r="Y314" s="140"/>
      <c r="Z314" s="196"/>
      <c r="AA314" s="196"/>
      <c r="AB314" s="196"/>
      <c r="AC314" s="196"/>
      <c r="AD314" s="196"/>
      <c r="AE314" s="196"/>
      <c r="AF314" s="196"/>
      <c r="AG314" s="196"/>
      <c r="AH314" s="196"/>
      <c r="AI314" s="196"/>
      <c r="AJ314" s="128"/>
      <c r="AK314" s="128"/>
      <c r="AL314" s="128"/>
      <c r="AM314" s="128"/>
      <c r="AN314" s="128"/>
      <c r="AO314" s="130"/>
      <c r="AP314" s="130"/>
      <c r="AQ314" s="130"/>
      <c r="AR314" s="130"/>
      <c r="AS314" s="130"/>
      <c r="AT314" s="130"/>
      <c r="AU314" s="130"/>
      <c r="AV314" s="130"/>
      <c r="AW314" s="130"/>
      <c r="AX314" s="128"/>
      <c r="AY314" s="130"/>
      <c r="AZ314" s="130"/>
      <c r="BA314" s="130"/>
      <c r="BB314" s="130"/>
      <c r="BC314" s="130"/>
      <c r="BD314" s="130"/>
      <c r="BE314" s="130"/>
      <c r="BF314" s="128"/>
      <c r="BG314" s="128"/>
      <c r="BH314" s="128"/>
      <c r="BI314" s="128"/>
      <c r="BJ314" s="128"/>
    </row>
    <row r="315" spans="1:62" ht="10.5" customHeight="1">
      <c r="A315" s="146"/>
      <c r="B315" s="140"/>
      <c r="C315" s="140"/>
      <c r="D315" s="146"/>
      <c r="E315" s="140"/>
      <c r="F315" s="143"/>
      <c r="G315" s="174"/>
      <c r="H315" s="174"/>
      <c r="I315" s="174"/>
      <c r="J315" s="140"/>
      <c r="K315" s="140"/>
      <c r="L315" s="140"/>
      <c r="M315" s="140"/>
      <c r="N315" s="143"/>
      <c r="O315" s="140"/>
      <c r="P315" s="140"/>
      <c r="Q315" s="140"/>
      <c r="R315" s="140"/>
      <c r="S315" s="174"/>
      <c r="T315" s="174"/>
      <c r="U315" s="174"/>
      <c r="V315" s="174"/>
      <c r="W315" s="174"/>
      <c r="X315" s="174"/>
      <c r="Y315" s="140"/>
      <c r="Z315" s="196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28"/>
      <c r="AK315" s="128"/>
      <c r="AL315" s="128"/>
      <c r="AM315" s="128"/>
      <c r="AN315" s="128"/>
      <c r="AO315" s="130"/>
      <c r="AP315" s="130"/>
      <c r="AQ315" s="130"/>
      <c r="AR315" s="130"/>
      <c r="AS315" s="130"/>
      <c r="AT315" s="130"/>
      <c r="AU315" s="130"/>
      <c r="AV315" s="130"/>
      <c r="AW315" s="130"/>
      <c r="AX315" s="128"/>
      <c r="AY315" s="130"/>
      <c r="AZ315" s="130" t="s">
        <v>650</v>
      </c>
      <c r="BA315" s="130"/>
      <c r="BB315" s="130"/>
      <c r="BC315" s="130"/>
      <c r="BD315" s="130"/>
      <c r="BE315" s="130"/>
      <c r="BF315" s="128"/>
      <c r="BG315" s="128"/>
      <c r="BH315" s="128"/>
      <c r="BI315" s="128"/>
      <c r="BJ315" s="128"/>
    </row>
    <row r="316" spans="1:62" ht="14.25" customHeight="1">
      <c r="A316" s="146"/>
      <c r="B316" s="140"/>
      <c r="C316" s="140"/>
      <c r="D316" s="146"/>
      <c r="E316" s="140"/>
      <c r="F316" s="143"/>
      <c r="G316" s="174"/>
      <c r="H316" s="174"/>
      <c r="I316" s="174"/>
      <c r="J316" s="140"/>
      <c r="K316" s="140"/>
      <c r="L316" s="140"/>
      <c r="M316" s="140"/>
      <c r="N316" s="143"/>
      <c r="O316" s="140"/>
      <c r="P316" s="140"/>
      <c r="Q316" s="140"/>
      <c r="R316" s="140"/>
      <c r="S316" s="174"/>
      <c r="T316" s="174"/>
      <c r="U316" s="174"/>
      <c r="V316" s="174"/>
      <c r="W316" s="174"/>
      <c r="X316" s="174"/>
      <c r="Y316" s="140"/>
      <c r="Z316" s="196"/>
      <c r="AA316" s="196"/>
      <c r="AB316" s="196"/>
      <c r="AC316" s="196"/>
      <c r="AD316" s="196"/>
      <c r="AE316" s="196"/>
      <c r="AF316" s="196"/>
      <c r="AG316" s="196"/>
      <c r="AH316" s="196"/>
      <c r="AI316" s="196"/>
      <c r="AJ316" s="128"/>
      <c r="AK316" s="128"/>
      <c r="AL316" s="128"/>
      <c r="AM316" s="128"/>
      <c r="AN316" s="128"/>
      <c r="AO316" s="130"/>
      <c r="AP316" s="130"/>
      <c r="AQ316" s="130"/>
      <c r="AR316" s="130"/>
      <c r="AS316" s="130"/>
      <c r="AT316" s="130"/>
      <c r="AU316" s="130"/>
      <c r="AV316" s="130"/>
      <c r="AW316" s="130"/>
      <c r="AX316" s="128"/>
      <c r="AY316" s="130"/>
      <c r="AZ316" s="130"/>
      <c r="BA316" s="130"/>
      <c r="BB316" s="130"/>
      <c r="BC316" s="130"/>
      <c r="BD316" s="130"/>
      <c r="BE316" s="130"/>
      <c r="BF316" s="128"/>
      <c r="BG316" s="128"/>
      <c r="BH316" s="128"/>
      <c r="BI316" s="128"/>
      <c r="BJ316" s="128"/>
    </row>
    <row r="317" spans="1:62" ht="15" customHeight="1">
      <c r="A317" s="233" t="s">
        <v>651</v>
      </c>
      <c r="B317" s="140"/>
      <c r="C317" s="140"/>
      <c r="D317" s="146"/>
      <c r="E317" s="140"/>
      <c r="F317" s="143"/>
      <c r="G317" s="174"/>
      <c r="H317" s="174"/>
      <c r="I317" s="174"/>
      <c r="J317" s="140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30"/>
      <c r="AU317" s="130"/>
      <c r="AV317" s="130"/>
      <c r="AW317" s="130"/>
      <c r="AX317" s="128"/>
      <c r="AY317" s="130"/>
      <c r="AZ317" s="130"/>
      <c r="BA317" s="130"/>
      <c r="BB317" s="130"/>
      <c r="BC317" s="130"/>
      <c r="BD317" s="130"/>
      <c r="BE317" s="130"/>
      <c r="BF317" s="128"/>
      <c r="BG317" s="128"/>
      <c r="BH317" s="128"/>
      <c r="BI317" s="128"/>
      <c r="BJ317" s="128"/>
    </row>
    <row r="318" spans="1:62" ht="4.5" customHeight="1">
      <c r="A318" s="233"/>
      <c r="B318" s="140"/>
      <c r="C318" s="140"/>
      <c r="D318" s="146"/>
      <c r="E318" s="140"/>
      <c r="F318" s="143"/>
      <c r="G318" s="174"/>
      <c r="H318" s="174"/>
      <c r="I318" s="174"/>
      <c r="J318" s="140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30"/>
      <c r="AU318" s="130"/>
      <c r="AV318" s="130"/>
      <c r="AW318" s="130"/>
      <c r="AX318" s="128"/>
      <c r="AY318" s="130"/>
      <c r="AZ318" s="130"/>
      <c r="BA318" s="130"/>
      <c r="BB318" s="130"/>
      <c r="BC318" s="130"/>
      <c r="BD318" s="130"/>
      <c r="BE318" s="130"/>
      <c r="BF318" s="128"/>
      <c r="BG318" s="128"/>
      <c r="BH318" s="128"/>
      <c r="BI318" s="128"/>
      <c r="BJ318" s="128"/>
    </row>
    <row r="319" spans="1:62" ht="15" customHeight="1">
      <c r="A319" s="146" t="s">
        <v>652</v>
      </c>
      <c r="B319" s="140"/>
      <c r="C319" s="140"/>
      <c r="D319" s="146"/>
      <c r="E319" s="140"/>
      <c r="F319" s="143"/>
      <c r="G319" s="174"/>
      <c r="H319" s="174"/>
      <c r="I319" s="174"/>
      <c r="J319" s="140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30"/>
      <c r="AU319" s="130"/>
      <c r="AV319" s="130"/>
      <c r="AW319" s="130"/>
      <c r="AX319" s="128"/>
      <c r="AY319" s="130"/>
      <c r="AZ319" s="130"/>
      <c r="BA319" s="130"/>
      <c r="BB319" s="130"/>
      <c r="BC319" s="130"/>
      <c r="BD319" s="130"/>
      <c r="BE319" s="130"/>
      <c r="BF319" s="128"/>
      <c r="BG319" s="128"/>
      <c r="BH319" s="128"/>
      <c r="BI319" s="128"/>
      <c r="BJ319" s="128"/>
    </row>
    <row r="320" spans="1:62" ht="12.75" customHeight="1">
      <c r="A320" s="128" t="s">
        <v>653</v>
      </c>
      <c r="B320" s="140"/>
      <c r="C320" s="140"/>
      <c r="D320" s="146"/>
      <c r="E320" s="140"/>
      <c r="F320" s="143"/>
      <c r="G320" s="174"/>
      <c r="H320" s="174"/>
      <c r="I320" s="174"/>
      <c r="J320" s="140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30"/>
      <c r="AU320" s="130"/>
      <c r="AV320" s="130"/>
      <c r="AW320" s="130"/>
      <c r="AX320" s="128"/>
      <c r="AY320" s="130"/>
      <c r="AZ320" s="130"/>
      <c r="BA320" s="130"/>
      <c r="BB320" s="130"/>
      <c r="BC320" s="130"/>
      <c r="BD320" s="130"/>
      <c r="BE320" s="130"/>
      <c r="BF320" s="128"/>
      <c r="BG320" s="128"/>
      <c r="BH320" s="128"/>
      <c r="BI320" s="128"/>
      <c r="BJ320" s="128"/>
    </row>
    <row r="321" spans="1:62" ht="15" customHeight="1">
      <c r="A321" s="721" t="s">
        <v>654</v>
      </c>
      <c r="B321" s="707"/>
      <c r="C321" s="751" t="s">
        <v>655</v>
      </c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140"/>
      <c r="P321" s="140"/>
      <c r="Q321" s="721" t="s">
        <v>654</v>
      </c>
      <c r="R321" s="707"/>
      <c r="S321" s="234">
        <f>$AB$31</f>
        <v>2</v>
      </c>
      <c r="T321" s="234" t="s">
        <v>357</v>
      </c>
      <c r="U321" s="751">
        <v>9.81</v>
      </c>
      <c r="V321" s="724"/>
      <c r="W321" s="724"/>
      <c r="X321" s="206" t="s">
        <v>357</v>
      </c>
      <c r="Y321" s="235" t="s">
        <v>413</v>
      </c>
      <c r="Z321" s="756">
        <f>'Veri Girişi'!$C$59</f>
        <v>800</v>
      </c>
      <c r="AA321" s="724"/>
      <c r="AB321" s="724"/>
      <c r="AC321" s="235" t="s">
        <v>357</v>
      </c>
      <c r="AD321" s="738">
        <f>Z309</f>
        <v>323.75</v>
      </c>
      <c r="AE321" s="724"/>
      <c r="AF321" s="235" t="s">
        <v>316</v>
      </c>
      <c r="AG321" s="756">
        <f>'Veri Girişi'!$C$75</f>
        <v>700</v>
      </c>
      <c r="AH321" s="724"/>
      <c r="AI321" s="724"/>
      <c r="AJ321" s="217" t="s">
        <v>357</v>
      </c>
      <c r="AK321" s="768">
        <f>$AH$295</f>
        <v>77.678571428571431</v>
      </c>
      <c r="AL321" s="724"/>
      <c r="AM321" s="217" t="s">
        <v>414</v>
      </c>
      <c r="AN321" s="146"/>
      <c r="AO321" s="721" t="s">
        <v>654</v>
      </c>
      <c r="AP321" s="707"/>
      <c r="AQ321" s="768">
        <f>S321*U321*((Z321*AD321)+(AG321*AK321))</f>
        <v>6148417.5</v>
      </c>
      <c r="AR321" s="724"/>
      <c r="AS321" s="724"/>
      <c r="AT321" s="724"/>
      <c r="AU321" s="146"/>
      <c r="AV321" s="144"/>
      <c r="AW321" s="721" t="s">
        <v>654</v>
      </c>
      <c r="AX321" s="707"/>
      <c r="AY321" s="721">
        <f>AQ321/AQ322</f>
        <v>904.17904411764709</v>
      </c>
      <c r="AZ321" s="707"/>
      <c r="BA321" s="707"/>
      <c r="BB321" s="707"/>
      <c r="BC321" s="721" t="s">
        <v>374</v>
      </c>
      <c r="BD321" s="151"/>
      <c r="BE321" s="144"/>
      <c r="BF321" s="146"/>
      <c r="BG321" s="146"/>
      <c r="BH321" s="146"/>
      <c r="BI321" s="146"/>
      <c r="BJ321" s="146"/>
    </row>
    <row r="322" spans="1:62" ht="15" customHeight="1">
      <c r="A322" s="707"/>
      <c r="B322" s="707"/>
      <c r="C322" s="742" t="s">
        <v>656</v>
      </c>
      <c r="D322" s="637"/>
      <c r="E322" s="637"/>
      <c r="F322" s="637"/>
      <c r="G322" s="637"/>
      <c r="H322" s="637"/>
      <c r="I322" s="637"/>
      <c r="J322" s="637"/>
      <c r="K322" s="637"/>
      <c r="L322" s="637"/>
      <c r="M322" s="637"/>
      <c r="N322" s="637"/>
      <c r="O322" s="140"/>
      <c r="P322" s="140"/>
      <c r="Q322" s="707"/>
      <c r="R322" s="707"/>
      <c r="S322" s="174"/>
      <c r="T322" s="174"/>
      <c r="U322" s="174"/>
      <c r="V322" s="174"/>
      <c r="W322" s="174"/>
      <c r="X322" s="140"/>
      <c r="Y322" s="144"/>
      <c r="Z322" s="144"/>
      <c r="AA322" s="144">
        <f>'Veri Girişi'!$B$115</f>
        <v>2</v>
      </c>
      <c r="AB322" s="144" t="s">
        <v>357</v>
      </c>
      <c r="AC322" s="800">
        <f>$AH$289</f>
        <v>3400</v>
      </c>
      <c r="AD322" s="637"/>
      <c r="AE322" s="637"/>
      <c r="AF322" s="144"/>
      <c r="AG322" s="144"/>
      <c r="AH322" s="144"/>
      <c r="AI322" s="146"/>
      <c r="AJ322" s="146"/>
      <c r="AK322" s="146"/>
      <c r="AL322" s="146"/>
      <c r="AM322" s="146"/>
      <c r="AN322" s="146"/>
      <c r="AO322" s="707"/>
      <c r="AP322" s="707"/>
      <c r="AQ322" s="753">
        <f>AA322*AC322</f>
        <v>6800</v>
      </c>
      <c r="AR322" s="637"/>
      <c r="AS322" s="637"/>
      <c r="AT322" s="637"/>
      <c r="AU322" s="146"/>
      <c r="AV322" s="144"/>
      <c r="AW322" s="707"/>
      <c r="AX322" s="707"/>
      <c r="AY322" s="707"/>
      <c r="AZ322" s="707"/>
      <c r="BA322" s="707"/>
      <c r="BB322" s="707"/>
      <c r="BC322" s="707"/>
      <c r="BD322" s="151"/>
      <c r="BE322" s="144"/>
      <c r="BF322" s="146"/>
      <c r="BG322" s="146"/>
      <c r="BH322" s="146"/>
      <c r="BI322" s="146"/>
      <c r="BJ322" s="146"/>
    </row>
    <row r="323" spans="1:62" ht="4.5" customHeight="1">
      <c r="A323" s="146"/>
      <c r="B323" s="140"/>
      <c r="C323" s="140"/>
      <c r="D323" s="146"/>
      <c r="E323" s="140"/>
      <c r="F323" s="143"/>
      <c r="G323" s="174"/>
      <c r="H323" s="174"/>
      <c r="I323" s="174"/>
      <c r="J323" s="140"/>
      <c r="K323" s="140"/>
      <c r="L323" s="140"/>
      <c r="M323" s="140"/>
      <c r="N323" s="143"/>
      <c r="O323" s="140"/>
      <c r="P323" s="140"/>
      <c r="Q323" s="140"/>
      <c r="R323" s="140"/>
      <c r="S323" s="174"/>
      <c r="T323" s="174"/>
      <c r="U323" s="174"/>
      <c r="V323" s="174"/>
      <c r="W323" s="174"/>
      <c r="X323" s="174"/>
      <c r="Y323" s="140"/>
      <c r="Z323" s="196"/>
      <c r="AA323" s="196"/>
      <c r="AB323" s="196"/>
      <c r="AC323" s="196"/>
      <c r="AD323" s="196"/>
      <c r="AE323" s="196"/>
      <c r="AF323" s="196"/>
      <c r="AG323" s="196"/>
      <c r="AH323" s="196"/>
      <c r="AI323" s="196"/>
      <c r="AJ323" s="128"/>
      <c r="AK323" s="128"/>
      <c r="AL323" s="128"/>
      <c r="AM323" s="128"/>
      <c r="AN323" s="128"/>
      <c r="AO323" s="130"/>
      <c r="AP323" s="130"/>
      <c r="AQ323" s="130"/>
      <c r="AR323" s="130"/>
      <c r="AS323" s="130"/>
      <c r="AT323" s="130"/>
      <c r="AU323" s="130"/>
      <c r="AV323" s="130"/>
      <c r="AW323" s="130"/>
      <c r="AX323" s="128"/>
      <c r="AY323" s="130"/>
      <c r="AZ323" s="130"/>
      <c r="BA323" s="130"/>
      <c r="BB323" s="130"/>
      <c r="BC323" s="130"/>
      <c r="BD323" s="130"/>
      <c r="BE323" s="130"/>
      <c r="BF323" s="128"/>
      <c r="BG323" s="128"/>
      <c r="BH323" s="128"/>
      <c r="BI323" s="128"/>
      <c r="BJ323" s="128"/>
    </row>
    <row r="324" spans="1:62" ht="15" customHeight="1">
      <c r="A324" s="722" t="s">
        <v>657</v>
      </c>
      <c r="B324" s="707"/>
      <c r="C324" s="735" t="s">
        <v>262</v>
      </c>
      <c r="D324" s="738" t="s">
        <v>658</v>
      </c>
      <c r="E324" s="724"/>
      <c r="F324" s="724"/>
      <c r="G324" s="724"/>
      <c r="H324" s="174"/>
      <c r="I324" s="174"/>
      <c r="J324" s="721" t="s">
        <v>657</v>
      </c>
      <c r="K324" s="707"/>
      <c r="L324" s="735" t="s">
        <v>262</v>
      </c>
      <c r="M324" s="206">
        <v>3</v>
      </c>
      <c r="N324" s="206" t="s">
        <v>357</v>
      </c>
      <c r="O324" s="751">
        <f>AY321</f>
        <v>904.17904411764709</v>
      </c>
      <c r="P324" s="724"/>
      <c r="Q324" s="724"/>
      <c r="R324" s="724"/>
      <c r="S324" s="234" t="s">
        <v>357</v>
      </c>
      <c r="T324" s="751">
        <f>'Veri Girişi'!$B$111</f>
        <v>3000</v>
      </c>
      <c r="U324" s="724"/>
      <c r="V324" s="724"/>
      <c r="W324" s="174"/>
      <c r="X324" s="174"/>
      <c r="Y324" s="721" t="s">
        <v>657</v>
      </c>
      <c r="Z324" s="707"/>
      <c r="AA324" s="735" t="s">
        <v>262</v>
      </c>
      <c r="AB324" s="721">
        <f>M324*O324*T324/M325</f>
        <v>508600.71231617645</v>
      </c>
      <c r="AC324" s="707"/>
      <c r="AD324" s="707"/>
      <c r="AE324" s="707"/>
      <c r="AF324" s="721" t="s">
        <v>428</v>
      </c>
      <c r="AG324" s="707"/>
      <c r="AH324" s="707"/>
      <c r="AI324" s="164"/>
      <c r="AJ324" s="146"/>
      <c r="AK324" s="729" t="s">
        <v>659</v>
      </c>
      <c r="AL324" s="707"/>
      <c r="AM324" s="721" t="s">
        <v>262</v>
      </c>
      <c r="AN324" s="738" t="s">
        <v>657</v>
      </c>
      <c r="AO324" s="724"/>
      <c r="AP324" s="144"/>
      <c r="AQ324" s="144"/>
      <c r="AR324" s="729" t="s">
        <v>659</v>
      </c>
      <c r="AS324" s="707"/>
      <c r="AT324" s="721" t="s">
        <v>262</v>
      </c>
      <c r="AU324" s="721">
        <f>AB324/VLOOKUP('Veri Girişi'!$E$73,TABLOLAR!$I$60:$S$65,7,0)</f>
        <v>43.174933133801055</v>
      </c>
      <c r="AV324" s="707"/>
      <c r="AW324" s="707"/>
      <c r="AX324" s="730" t="s">
        <v>406</v>
      </c>
      <c r="AY324" s="707"/>
      <c r="AZ324" s="707"/>
      <c r="BA324" s="707"/>
      <c r="BB324" s="707"/>
      <c r="BC324" s="144"/>
      <c r="BD324" s="144"/>
      <c r="BE324" s="144"/>
      <c r="BF324" s="146"/>
      <c r="BG324" s="146"/>
      <c r="BH324" s="146"/>
      <c r="BI324" s="146"/>
      <c r="BJ324" s="146"/>
    </row>
    <row r="325" spans="1:62" ht="15" customHeight="1">
      <c r="A325" s="707"/>
      <c r="B325" s="707"/>
      <c r="C325" s="707"/>
      <c r="D325" s="753">
        <v>16</v>
      </c>
      <c r="E325" s="637"/>
      <c r="F325" s="637"/>
      <c r="G325" s="637"/>
      <c r="H325" s="174"/>
      <c r="I325" s="174"/>
      <c r="J325" s="707"/>
      <c r="K325" s="707"/>
      <c r="L325" s="707"/>
      <c r="M325" s="742">
        <v>16</v>
      </c>
      <c r="N325" s="637"/>
      <c r="O325" s="637"/>
      <c r="P325" s="637"/>
      <c r="Q325" s="637"/>
      <c r="R325" s="637"/>
      <c r="S325" s="637"/>
      <c r="T325" s="637"/>
      <c r="U325" s="637"/>
      <c r="V325" s="637"/>
      <c r="W325" s="174"/>
      <c r="X325" s="174"/>
      <c r="Y325" s="707"/>
      <c r="Z325" s="707"/>
      <c r="AA325" s="707"/>
      <c r="AB325" s="707"/>
      <c r="AC325" s="707"/>
      <c r="AD325" s="707"/>
      <c r="AE325" s="707"/>
      <c r="AF325" s="707"/>
      <c r="AG325" s="707"/>
      <c r="AH325" s="707"/>
      <c r="AI325" s="164"/>
      <c r="AJ325" s="146"/>
      <c r="AK325" s="707"/>
      <c r="AL325" s="707"/>
      <c r="AM325" s="707"/>
      <c r="AN325" s="753" t="s">
        <v>660</v>
      </c>
      <c r="AO325" s="637"/>
      <c r="AP325" s="144"/>
      <c r="AQ325" s="144"/>
      <c r="AR325" s="707"/>
      <c r="AS325" s="707"/>
      <c r="AT325" s="707"/>
      <c r="AU325" s="707"/>
      <c r="AV325" s="707"/>
      <c r="AW325" s="707"/>
      <c r="AX325" s="707"/>
      <c r="AY325" s="707"/>
      <c r="AZ325" s="707"/>
      <c r="BA325" s="707"/>
      <c r="BB325" s="707"/>
      <c r="BC325" s="144"/>
      <c r="BD325" s="144"/>
      <c r="BE325" s="144"/>
      <c r="BF325" s="146"/>
      <c r="BG325" s="146"/>
      <c r="BH325" s="146"/>
      <c r="BI325" s="146"/>
      <c r="BJ325" s="146"/>
    </row>
    <row r="326" spans="1:62" ht="4.5" customHeight="1">
      <c r="A326" s="146"/>
      <c r="B326" s="140"/>
      <c r="C326" s="140"/>
      <c r="D326" s="146"/>
      <c r="E326" s="140"/>
      <c r="F326" s="143"/>
      <c r="G326" s="174"/>
      <c r="H326" s="174"/>
      <c r="I326" s="174"/>
      <c r="J326" s="140"/>
      <c r="K326" s="140"/>
      <c r="L326" s="140"/>
      <c r="M326" s="140"/>
      <c r="N326" s="143"/>
      <c r="O326" s="140"/>
      <c r="P326" s="140"/>
      <c r="Q326" s="140"/>
      <c r="R326" s="140"/>
      <c r="S326" s="174"/>
      <c r="T326" s="174"/>
      <c r="U326" s="174"/>
      <c r="V326" s="174"/>
      <c r="W326" s="174"/>
      <c r="X326" s="174"/>
      <c r="Y326" s="140"/>
      <c r="Z326" s="196"/>
      <c r="AA326" s="196"/>
      <c r="AB326" s="196"/>
      <c r="AC326" s="196"/>
      <c r="AD326" s="196"/>
      <c r="AE326" s="196"/>
      <c r="AF326" s="196"/>
      <c r="AG326" s="196"/>
      <c r="AH326" s="196"/>
      <c r="AI326" s="196"/>
      <c r="AJ326" s="128"/>
      <c r="AK326" s="128"/>
      <c r="AL326" s="128"/>
      <c r="AM326" s="128"/>
      <c r="AN326" s="128"/>
      <c r="AO326" s="130"/>
      <c r="AP326" s="130"/>
      <c r="AQ326" s="130"/>
      <c r="AR326" s="130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30"/>
      <c r="BD326" s="130"/>
      <c r="BE326" s="130"/>
      <c r="BF326" s="128"/>
      <c r="BG326" s="128"/>
      <c r="BH326" s="128"/>
      <c r="BI326" s="128"/>
      <c r="BJ326" s="128"/>
    </row>
    <row r="327" spans="1:62" ht="15" customHeight="1">
      <c r="A327" s="721" t="s">
        <v>661</v>
      </c>
      <c r="B327" s="707"/>
      <c r="C327" s="751" t="s">
        <v>662</v>
      </c>
      <c r="D327" s="724"/>
      <c r="E327" s="724"/>
      <c r="F327" s="724"/>
      <c r="G327" s="724"/>
      <c r="H327" s="724"/>
      <c r="I327" s="724"/>
      <c r="J327" s="724"/>
      <c r="K327" s="724"/>
      <c r="L327" s="724"/>
      <c r="M327" s="724"/>
      <c r="N327" s="724"/>
      <c r="O327" s="140"/>
      <c r="P327" s="140"/>
      <c r="Q327" s="721" t="s">
        <v>661</v>
      </c>
      <c r="R327" s="707"/>
      <c r="S327" s="234">
        <f>$AB$31</f>
        <v>2</v>
      </c>
      <c r="T327" s="234" t="s">
        <v>357</v>
      </c>
      <c r="U327" s="751">
        <v>9.81</v>
      </c>
      <c r="V327" s="724"/>
      <c r="W327" s="724"/>
      <c r="X327" s="206" t="s">
        <v>357</v>
      </c>
      <c r="Y327" s="235" t="s">
        <v>413</v>
      </c>
      <c r="Z327" s="756">
        <f>'Veri Girişi'!$C$59</f>
        <v>800</v>
      </c>
      <c r="AA327" s="724"/>
      <c r="AB327" s="724"/>
      <c r="AC327" s="235" t="s">
        <v>357</v>
      </c>
      <c r="AD327" s="738">
        <f>AO309</f>
        <v>0</v>
      </c>
      <c r="AE327" s="724"/>
      <c r="AF327" s="235" t="s">
        <v>316</v>
      </c>
      <c r="AG327" s="756">
        <f>'Veri Girişi'!$C$75</f>
        <v>700</v>
      </c>
      <c r="AH327" s="724"/>
      <c r="AI327" s="724"/>
      <c r="AJ327" s="217" t="s">
        <v>357</v>
      </c>
      <c r="AK327" s="217">
        <v>0</v>
      </c>
      <c r="AL327" s="217" t="s">
        <v>414</v>
      </c>
      <c r="AM327" s="146"/>
      <c r="AN327" s="146"/>
      <c r="AO327" s="721" t="s">
        <v>661</v>
      </c>
      <c r="AP327" s="707"/>
      <c r="AQ327" s="738">
        <f>S327*U327*((Z327*AD327)+(AG327*AK327))</f>
        <v>0</v>
      </c>
      <c r="AR327" s="724"/>
      <c r="AS327" s="724"/>
      <c r="AT327" s="724"/>
      <c r="AU327" s="146"/>
      <c r="AV327" s="144"/>
      <c r="AW327" s="721" t="s">
        <v>661</v>
      </c>
      <c r="AX327" s="707"/>
      <c r="AY327" s="721">
        <f>AQ327/AQ328</f>
        <v>0</v>
      </c>
      <c r="AZ327" s="707"/>
      <c r="BA327" s="707"/>
      <c r="BB327" s="707"/>
      <c r="BC327" s="721" t="s">
        <v>374</v>
      </c>
      <c r="BD327" s="151"/>
      <c r="BE327" s="144"/>
      <c r="BF327" s="128"/>
      <c r="BG327" s="128"/>
      <c r="BH327" s="128"/>
      <c r="BI327" s="128"/>
      <c r="BJ327" s="128"/>
    </row>
    <row r="328" spans="1:62" ht="15" customHeight="1">
      <c r="A328" s="707"/>
      <c r="B328" s="707"/>
      <c r="C328" s="742" t="s">
        <v>663</v>
      </c>
      <c r="D328" s="637"/>
      <c r="E328" s="637"/>
      <c r="F328" s="637"/>
      <c r="G328" s="637"/>
      <c r="H328" s="637"/>
      <c r="I328" s="637"/>
      <c r="J328" s="637"/>
      <c r="K328" s="637"/>
      <c r="L328" s="637"/>
      <c r="M328" s="637"/>
      <c r="N328" s="637"/>
      <c r="O328" s="140"/>
      <c r="P328" s="140"/>
      <c r="Q328" s="707"/>
      <c r="R328" s="707"/>
      <c r="S328" s="174"/>
      <c r="T328" s="174"/>
      <c r="U328" s="174"/>
      <c r="V328" s="174"/>
      <c r="W328" s="174"/>
      <c r="X328" s="140"/>
      <c r="Y328" s="144">
        <f>'Veri Girişi'!$B$115</f>
        <v>2</v>
      </c>
      <c r="Z328" s="144" t="s">
        <v>436</v>
      </c>
      <c r="AA328" s="146">
        <v>2</v>
      </c>
      <c r="AB328" s="144" t="s">
        <v>357</v>
      </c>
      <c r="AC328" s="800">
        <f>$AH$289</f>
        <v>3400</v>
      </c>
      <c r="AD328" s="637"/>
      <c r="AE328" s="637"/>
      <c r="AF328" s="144"/>
      <c r="AG328" s="144"/>
      <c r="AH328" s="144"/>
      <c r="AI328" s="146"/>
      <c r="AJ328" s="146"/>
      <c r="AK328" s="146"/>
      <c r="AL328" s="146"/>
      <c r="AM328" s="146"/>
      <c r="AN328" s="146"/>
      <c r="AO328" s="707"/>
      <c r="AP328" s="707"/>
      <c r="AQ328" s="753">
        <f>Y328/2*AC328</f>
        <v>3400</v>
      </c>
      <c r="AR328" s="637"/>
      <c r="AS328" s="637"/>
      <c r="AT328" s="637"/>
      <c r="AU328" s="146"/>
      <c r="AV328" s="144"/>
      <c r="AW328" s="707"/>
      <c r="AX328" s="707"/>
      <c r="AY328" s="707"/>
      <c r="AZ328" s="707"/>
      <c r="BA328" s="707"/>
      <c r="BB328" s="707"/>
      <c r="BC328" s="707"/>
      <c r="BD328" s="151"/>
      <c r="BE328" s="144"/>
      <c r="BF328" s="146"/>
      <c r="BG328" s="146"/>
      <c r="BH328" s="146"/>
      <c r="BI328" s="146"/>
      <c r="BJ328" s="146"/>
    </row>
    <row r="329" spans="1:62" ht="4.5" customHeight="1">
      <c r="A329" s="146"/>
      <c r="B329" s="140"/>
      <c r="C329" s="140"/>
      <c r="D329" s="146"/>
      <c r="E329" s="140"/>
      <c r="F329" s="143"/>
      <c r="G329" s="174"/>
      <c r="H329" s="174"/>
      <c r="I329" s="174"/>
      <c r="J329" s="140"/>
      <c r="K329" s="140"/>
      <c r="L329" s="140"/>
      <c r="M329" s="140"/>
      <c r="N329" s="143"/>
      <c r="O329" s="140"/>
      <c r="P329" s="140"/>
      <c r="Q329" s="140"/>
      <c r="R329" s="140"/>
      <c r="S329" s="174"/>
      <c r="T329" s="174"/>
      <c r="U329" s="174"/>
      <c r="V329" s="174"/>
      <c r="W329" s="174"/>
      <c r="X329" s="174"/>
      <c r="Y329" s="140"/>
      <c r="Z329" s="196"/>
      <c r="AA329" s="196"/>
      <c r="AB329" s="196"/>
      <c r="AC329" s="196"/>
      <c r="AD329" s="196"/>
      <c r="AE329" s="196"/>
      <c r="AF329" s="196"/>
      <c r="AG329" s="196"/>
      <c r="AH329" s="196"/>
      <c r="AI329" s="196"/>
      <c r="AJ329" s="128"/>
      <c r="AK329" s="128"/>
      <c r="AL329" s="128"/>
      <c r="AM329" s="128"/>
      <c r="AN329" s="128"/>
      <c r="AO329" s="130"/>
      <c r="AP329" s="130"/>
      <c r="AQ329" s="130"/>
      <c r="AR329" s="130"/>
      <c r="AS329" s="130"/>
      <c r="AT329" s="130"/>
      <c r="AU329" s="130"/>
      <c r="AV329" s="130"/>
      <c r="AW329" s="130"/>
      <c r="AX329" s="128"/>
      <c r="AY329" s="130"/>
      <c r="AZ329" s="130"/>
      <c r="BA329" s="130"/>
      <c r="BB329" s="130"/>
      <c r="BC329" s="130"/>
      <c r="BD329" s="130"/>
      <c r="BE329" s="130"/>
      <c r="BF329" s="128"/>
      <c r="BG329" s="128"/>
      <c r="BH329" s="128"/>
      <c r="BI329" s="128"/>
      <c r="BJ329" s="128"/>
    </row>
    <row r="330" spans="1:62" ht="15" customHeight="1">
      <c r="A330" s="722" t="s">
        <v>664</v>
      </c>
      <c r="B330" s="707"/>
      <c r="C330" s="735" t="s">
        <v>262</v>
      </c>
      <c r="D330" s="738" t="s">
        <v>665</v>
      </c>
      <c r="E330" s="724"/>
      <c r="F330" s="724"/>
      <c r="G330" s="724"/>
      <c r="H330" s="174"/>
      <c r="I330" s="174"/>
      <c r="J330" s="721" t="s">
        <v>664</v>
      </c>
      <c r="K330" s="707"/>
      <c r="L330" s="735" t="s">
        <v>262</v>
      </c>
      <c r="M330" s="206">
        <v>3</v>
      </c>
      <c r="N330" s="206" t="s">
        <v>357</v>
      </c>
      <c r="O330" s="751">
        <f>AY327</f>
        <v>0</v>
      </c>
      <c r="P330" s="724"/>
      <c r="Q330" s="724"/>
      <c r="R330" s="724"/>
      <c r="S330" s="234" t="s">
        <v>357</v>
      </c>
      <c r="T330" s="751">
        <f>'Veri Girişi'!$B$111</f>
        <v>3000</v>
      </c>
      <c r="U330" s="724"/>
      <c r="V330" s="724"/>
      <c r="W330" s="174"/>
      <c r="X330" s="174"/>
      <c r="Y330" s="721" t="s">
        <v>664</v>
      </c>
      <c r="Z330" s="707"/>
      <c r="AA330" s="735" t="s">
        <v>262</v>
      </c>
      <c r="AB330" s="721">
        <f>M330*O330*T330/M331</f>
        <v>0</v>
      </c>
      <c r="AC330" s="707"/>
      <c r="AD330" s="707"/>
      <c r="AE330" s="707"/>
      <c r="AF330" s="721" t="s">
        <v>428</v>
      </c>
      <c r="AG330" s="707"/>
      <c r="AH330" s="707"/>
      <c r="AI330" s="164"/>
      <c r="AJ330" s="146"/>
      <c r="AK330" s="729" t="s">
        <v>666</v>
      </c>
      <c r="AL330" s="707"/>
      <c r="AM330" s="721" t="s">
        <v>262</v>
      </c>
      <c r="AN330" s="738" t="s">
        <v>664</v>
      </c>
      <c r="AO330" s="724"/>
      <c r="AP330" s="144"/>
      <c r="AQ330" s="144"/>
      <c r="AR330" s="729" t="s">
        <v>666</v>
      </c>
      <c r="AS330" s="707"/>
      <c r="AT330" s="721" t="s">
        <v>262</v>
      </c>
      <c r="AU330" s="721">
        <f>AB330/VLOOKUP('Veri Girişi'!$E$73,TABLOLAR!$I$60:$S$65,6,0)</f>
        <v>0</v>
      </c>
      <c r="AV330" s="707"/>
      <c r="AW330" s="707"/>
      <c r="AX330" s="730" t="s">
        <v>406</v>
      </c>
      <c r="AY330" s="707"/>
      <c r="AZ330" s="707"/>
      <c r="BA330" s="707"/>
      <c r="BB330" s="707"/>
      <c r="BC330" s="144"/>
      <c r="BD330" s="144"/>
      <c r="BE330" s="144"/>
      <c r="BF330" s="128"/>
      <c r="BG330" s="128"/>
      <c r="BH330" s="128"/>
      <c r="BI330" s="128"/>
      <c r="BJ330" s="128"/>
    </row>
    <row r="331" spans="1:62" ht="15" customHeight="1">
      <c r="A331" s="707"/>
      <c r="B331" s="707"/>
      <c r="C331" s="707"/>
      <c r="D331" s="753">
        <v>16</v>
      </c>
      <c r="E331" s="637"/>
      <c r="F331" s="637"/>
      <c r="G331" s="637"/>
      <c r="H331" s="174"/>
      <c r="I331" s="174"/>
      <c r="J331" s="707"/>
      <c r="K331" s="707"/>
      <c r="L331" s="707"/>
      <c r="M331" s="742">
        <v>16</v>
      </c>
      <c r="N331" s="637"/>
      <c r="O331" s="637"/>
      <c r="P331" s="637"/>
      <c r="Q331" s="637"/>
      <c r="R331" s="637"/>
      <c r="S331" s="637"/>
      <c r="T331" s="637"/>
      <c r="U331" s="637"/>
      <c r="V331" s="637"/>
      <c r="W331" s="174"/>
      <c r="X331" s="174"/>
      <c r="Y331" s="707"/>
      <c r="Z331" s="707"/>
      <c r="AA331" s="707"/>
      <c r="AB331" s="707"/>
      <c r="AC331" s="707"/>
      <c r="AD331" s="707"/>
      <c r="AE331" s="707"/>
      <c r="AF331" s="707"/>
      <c r="AG331" s="707"/>
      <c r="AH331" s="707"/>
      <c r="AI331" s="164"/>
      <c r="AJ331" s="146"/>
      <c r="AK331" s="707"/>
      <c r="AL331" s="707"/>
      <c r="AM331" s="707"/>
      <c r="AN331" s="753" t="s">
        <v>407</v>
      </c>
      <c r="AO331" s="637"/>
      <c r="AP331" s="144"/>
      <c r="AQ331" s="144"/>
      <c r="AR331" s="707"/>
      <c r="AS331" s="707"/>
      <c r="AT331" s="707"/>
      <c r="AU331" s="707"/>
      <c r="AV331" s="707"/>
      <c r="AW331" s="707"/>
      <c r="AX331" s="707"/>
      <c r="AY331" s="707"/>
      <c r="AZ331" s="707"/>
      <c r="BA331" s="707"/>
      <c r="BB331" s="707"/>
      <c r="BC331" s="144"/>
      <c r="BD331" s="144"/>
      <c r="BE331" s="144"/>
      <c r="BF331" s="128"/>
      <c r="BG331" s="128"/>
      <c r="BH331" s="128"/>
      <c r="BI331" s="128"/>
      <c r="BJ331" s="128"/>
    </row>
    <row r="332" spans="1:62" ht="4.5" customHeight="1">
      <c r="A332" s="146"/>
      <c r="B332" s="140"/>
      <c r="C332" s="140"/>
      <c r="D332" s="146"/>
      <c r="E332" s="140"/>
      <c r="F332" s="143"/>
      <c r="G332" s="174"/>
      <c r="H332" s="174"/>
      <c r="I332" s="174"/>
      <c r="J332" s="140"/>
      <c r="K332" s="140"/>
      <c r="L332" s="140"/>
      <c r="M332" s="140"/>
      <c r="N332" s="143"/>
      <c r="O332" s="140"/>
      <c r="P332" s="140"/>
      <c r="Q332" s="140"/>
      <c r="R332" s="140"/>
      <c r="S332" s="174"/>
      <c r="T332" s="174"/>
      <c r="U332" s="174"/>
      <c r="V332" s="174"/>
      <c r="W332" s="174"/>
      <c r="X332" s="174"/>
      <c r="Y332" s="140"/>
      <c r="Z332" s="196"/>
      <c r="AA332" s="196"/>
      <c r="AB332" s="196"/>
      <c r="AC332" s="196"/>
      <c r="AD332" s="196"/>
      <c r="AE332" s="196"/>
      <c r="AF332" s="196"/>
      <c r="AG332" s="196"/>
      <c r="AH332" s="196"/>
      <c r="AI332" s="196"/>
      <c r="AJ332" s="128"/>
      <c r="AK332" s="128"/>
      <c r="AL332" s="128"/>
      <c r="AM332" s="128"/>
      <c r="AN332" s="128"/>
      <c r="AO332" s="130"/>
      <c r="AP332" s="130"/>
      <c r="AQ332" s="130"/>
      <c r="AR332" s="130"/>
      <c r="AS332" s="130"/>
      <c r="AT332" s="130"/>
      <c r="AU332" s="130"/>
      <c r="AV332" s="130"/>
      <c r="AW332" s="130"/>
      <c r="AX332" s="128"/>
      <c r="AY332" s="130"/>
      <c r="AZ332" s="130"/>
      <c r="BA332" s="130"/>
      <c r="BB332" s="130"/>
      <c r="BC332" s="130"/>
      <c r="BD332" s="130"/>
      <c r="BE332" s="130"/>
      <c r="BF332" s="128"/>
      <c r="BG332" s="128"/>
      <c r="BH332" s="128"/>
      <c r="BI332" s="128"/>
      <c r="BJ332" s="128"/>
    </row>
    <row r="333" spans="1:62" ht="12.75" customHeight="1">
      <c r="A333" s="128" t="s">
        <v>667</v>
      </c>
      <c r="B333" s="140"/>
      <c r="C333" s="140"/>
      <c r="D333" s="146"/>
      <c r="E333" s="140"/>
      <c r="F333" s="143"/>
      <c r="G333" s="174"/>
      <c r="H333" s="174"/>
      <c r="I333" s="174"/>
      <c r="J333" s="140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30"/>
      <c r="AU333" s="130"/>
      <c r="AV333" s="130"/>
      <c r="AW333" s="130"/>
      <c r="AX333" s="128"/>
      <c r="AY333" s="130"/>
      <c r="AZ333" s="130"/>
      <c r="BA333" s="130"/>
      <c r="BB333" s="130"/>
      <c r="BC333" s="130"/>
      <c r="BD333" s="130"/>
      <c r="BE333" s="130"/>
      <c r="BF333" s="128"/>
      <c r="BG333" s="128"/>
      <c r="BH333" s="128"/>
      <c r="BI333" s="128"/>
      <c r="BJ333" s="128"/>
    </row>
    <row r="334" spans="1:62" ht="4.5" customHeight="1">
      <c r="A334" s="146"/>
      <c r="B334" s="140"/>
      <c r="C334" s="140"/>
      <c r="D334" s="146"/>
      <c r="E334" s="140"/>
      <c r="F334" s="143"/>
      <c r="G334" s="174"/>
      <c r="H334" s="174"/>
      <c r="I334" s="174"/>
      <c r="J334" s="140"/>
      <c r="K334" s="140"/>
      <c r="L334" s="140"/>
      <c r="M334" s="140"/>
      <c r="N334" s="143"/>
      <c r="O334" s="140"/>
      <c r="P334" s="140"/>
      <c r="Q334" s="140"/>
      <c r="R334" s="140"/>
      <c r="S334" s="174"/>
      <c r="T334" s="174"/>
      <c r="U334" s="174"/>
      <c r="V334" s="174"/>
      <c r="W334" s="174"/>
      <c r="X334" s="174"/>
      <c r="Y334" s="140"/>
      <c r="Z334" s="196"/>
      <c r="AA334" s="196"/>
      <c r="AB334" s="196"/>
      <c r="AC334" s="196"/>
      <c r="AD334" s="196"/>
      <c r="AE334" s="196"/>
      <c r="AF334" s="196"/>
      <c r="AG334" s="196"/>
      <c r="AH334" s="196"/>
      <c r="AI334" s="196"/>
      <c r="AJ334" s="128"/>
      <c r="AK334" s="128"/>
      <c r="AL334" s="128"/>
      <c r="AM334" s="128"/>
      <c r="AN334" s="128"/>
      <c r="AO334" s="130"/>
      <c r="AP334" s="130"/>
      <c r="AQ334" s="130"/>
      <c r="AR334" s="130"/>
      <c r="AS334" s="130"/>
      <c r="AT334" s="130"/>
      <c r="AU334" s="130"/>
      <c r="AV334" s="130"/>
      <c r="AW334" s="130"/>
      <c r="AX334" s="128"/>
      <c r="AY334" s="130"/>
      <c r="AZ334" s="130"/>
      <c r="BA334" s="130"/>
      <c r="BB334" s="130"/>
      <c r="BC334" s="130"/>
      <c r="BD334" s="130"/>
      <c r="BE334" s="130"/>
      <c r="BF334" s="128"/>
      <c r="BG334" s="128"/>
      <c r="BH334" s="128"/>
      <c r="BI334" s="128"/>
      <c r="BJ334" s="128"/>
    </row>
    <row r="335" spans="1:62" ht="15" customHeight="1">
      <c r="A335" s="721" t="s">
        <v>654</v>
      </c>
      <c r="B335" s="707"/>
      <c r="C335" s="751" t="s">
        <v>655</v>
      </c>
      <c r="D335" s="724"/>
      <c r="E335" s="724"/>
      <c r="F335" s="724"/>
      <c r="G335" s="724"/>
      <c r="H335" s="724"/>
      <c r="I335" s="724"/>
      <c r="J335" s="724"/>
      <c r="K335" s="724"/>
      <c r="L335" s="724"/>
      <c r="M335" s="724"/>
      <c r="N335" s="724"/>
      <c r="O335" s="140"/>
      <c r="P335" s="140"/>
      <c r="Q335" s="721" t="s">
        <v>654</v>
      </c>
      <c r="R335" s="707"/>
      <c r="S335" s="234">
        <f>$AB$31</f>
        <v>2</v>
      </c>
      <c r="T335" s="234" t="s">
        <v>357</v>
      </c>
      <c r="U335" s="751">
        <v>9.81</v>
      </c>
      <c r="V335" s="724"/>
      <c r="W335" s="724"/>
      <c r="X335" s="206" t="s">
        <v>357</v>
      </c>
      <c r="Y335" s="235" t="s">
        <v>413</v>
      </c>
      <c r="Z335" s="756">
        <f>'Veri Girişi'!$C$59</f>
        <v>800</v>
      </c>
      <c r="AA335" s="724"/>
      <c r="AB335" s="724"/>
      <c r="AC335" s="235" t="s">
        <v>357</v>
      </c>
      <c r="AD335" s="738">
        <f>AO312</f>
        <v>0</v>
      </c>
      <c r="AE335" s="724"/>
      <c r="AF335" s="235" t="s">
        <v>316</v>
      </c>
      <c r="AG335" s="756">
        <f>'Veri Girişi'!$C$75</f>
        <v>700</v>
      </c>
      <c r="AH335" s="724"/>
      <c r="AI335" s="724"/>
      <c r="AJ335" s="217" t="s">
        <v>357</v>
      </c>
      <c r="AK335" s="768">
        <f>$AH$295</f>
        <v>77.678571428571431</v>
      </c>
      <c r="AL335" s="724"/>
      <c r="AM335" s="217" t="s">
        <v>414</v>
      </c>
      <c r="AN335" s="146"/>
      <c r="AO335" s="721" t="s">
        <v>654</v>
      </c>
      <c r="AP335" s="707"/>
      <c r="AQ335" s="768">
        <f>S335*U335*((Z335*AD335)+(AG335*AK335))</f>
        <v>1066837.5</v>
      </c>
      <c r="AR335" s="724"/>
      <c r="AS335" s="724"/>
      <c r="AT335" s="724"/>
      <c r="AU335" s="146"/>
      <c r="AV335" s="144"/>
      <c r="AW335" s="721" t="s">
        <v>654</v>
      </c>
      <c r="AX335" s="707"/>
      <c r="AY335" s="721">
        <f>AQ335/AQ336</f>
        <v>156.88786764705881</v>
      </c>
      <c r="AZ335" s="707"/>
      <c r="BA335" s="707"/>
      <c r="BB335" s="707"/>
      <c r="BC335" s="721" t="s">
        <v>374</v>
      </c>
      <c r="BD335" s="151"/>
      <c r="BE335" s="144"/>
      <c r="BF335" s="146"/>
      <c r="BG335" s="146"/>
      <c r="BH335" s="146"/>
      <c r="BI335" s="146"/>
      <c r="BJ335" s="146"/>
    </row>
    <row r="336" spans="1:62" ht="15" customHeight="1">
      <c r="A336" s="707"/>
      <c r="B336" s="707"/>
      <c r="C336" s="742" t="s">
        <v>656</v>
      </c>
      <c r="D336" s="637"/>
      <c r="E336" s="637"/>
      <c r="F336" s="637"/>
      <c r="G336" s="637"/>
      <c r="H336" s="637"/>
      <c r="I336" s="637"/>
      <c r="J336" s="637"/>
      <c r="K336" s="637"/>
      <c r="L336" s="637"/>
      <c r="M336" s="637"/>
      <c r="N336" s="637"/>
      <c r="O336" s="140"/>
      <c r="P336" s="140"/>
      <c r="Q336" s="707"/>
      <c r="R336" s="707"/>
      <c r="S336" s="174"/>
      <c r="T336" s="174"/>
      <c r="U336" s="174"/>
      <c r="V336" s="174"/>
      <c r="W336" s="174"/>
      <c r="X336" s="140"/>
      <c r="Y336" s="144"/>
      <c r="Z336" s="144"/>
      <c r="AA336" s="144">
        <f>'Veri Girişi'!$B$115</f>
        <v>2</v>
      </c>
      <c r="AB336" s="144" t="s">
        <v>357</v>
      </c>
      <c r="AC336" s="800">
        <f>$AH$289</f>
        <v>3400</v>
      </c>
      <c r="AD336" s="637"/>
      <c r="AE336" s="637"/>
      <c r="AF336" s="144"/>
      <c r="AG336" s="144"/>
      <c r="AH336" s="144"/>
      <c r="AI336" s="146"/>
      <c r="AJ336" s="146"/>
      <c r="AK336" s="146"/>
      <c r="AL336" s="146"/>
      <c r="AM336" s="146"/>
      <c r="AN336" s="146"/>
      <c r="AO336" s="707"/>
      <c r="AP336" s="707"/>
      <c r="AQ336" s="753">
        <f>AA336*AC336</f>
        <v>6800</v>
      </c>
      <c r="AR336" s="637"/>
      <c r="AS336" s="637"/>
      <c r="AT336" s="637"/>
      <c r="AU336" s="146"/>
      <c r="AV336" s="144"/>
      <c r="AW336" s="707"/>
      <c r="AX336" s="707"/>
      <c r="AY336" s="707"/>
      <c r="AZ336" s="707"/>
      <c r="BA336" s="707"/>
      <c r="BB336" s="707"/>
      <c r="BC336" s="707"/>
      <c r="BD336" s="151"/>
      <c r="BE336" s="144"/>
      <c r="BF336" s="146"/>
      <c r="BG336" s="146"/>
      <c r="BH336" s="146"/>
      <c r="BI336" s="146"/>
      <c r="BJ336" s="146"/>
    </row>
    <row r="337" spans="1:62" ht="4.5" customHeight="1">
      <c r="A337" s="146"/>
      <c r="B337" s="140"/>
      <c r="C337" s="140"/>
      <c r="D337" s="146"/>
      <c r="E337" s="140"/>
      <c r="F337" s="143"/>
      <c r="G337" s="174"/>
      <c r="H337" s="174"/>
      <c r="I337" s="174"/>
      <c r="J337" s="140"/>
      <c r="K337" s="140"/>
      <c r="L337" s="140"/>
      <c r="M337" s="140"/>
      <c r="N337" s="143"/>
      <c r="O337" s="140"/>
      <c r="P337" s="140"/>
      <c r="Q337" s="140"/>
      <c r="R337" s="140"/>
      <c r="S337" s="174"/>
      <c r="T337" s="174"/>
      <c r="U337" s="174"/>
      <c r="V337" s="174"/>
      <c r="W337" s="174"/>
      <c r="X337" s="174"/>
      <c r="Y337" s="140"/>
      <c r="Z337" s="196"/>
      <c r="AA337" s="196"/>
      <c r="AB337" s="196"/>
      <c r="AC337" s="196"/>
      <c r="AD337" s="196"/>
      <c r="AE337" s="196"/>
      <c r="AF337" s="196"/>
      <c r="AG337" s="196"/>
      <c r="AH337" s="196"/>
      <c r="AI337" s="196"/>
      <c r="AJ337" s="128"/>
      <c r="AK337" s="128"/>
      <c r="AL337" s="128"/>
      <c r="AM337" s="128"/>
      <c r="AN337" s="128"/>
      <c r="AO337" s="130"/>
      <c r="AP337" s="130"/>
      <c r="AQ337" s="130"/>
      <c r="AR337" s="130"/>
      <c r="AS337" s="130"/>
      <c r="AT337" s="130"/>
      <c r="AU337" s="130"/>
      <c r="AV337" s="130"/>
      <c r="AW337" s="130"/>
      <c r="AX337" s="128"/>
      <c r="AY337" s="130"/>
      <c r="AZ337" s="130"/>
      <c r="BA337" s="130"/>
      <c r="BB337" s="130"/>
      <c r="BC337" s="130"/>
      <c r="BD337" s="130"/>
      <c r="BE337" s="130"/>
      <c r="BF337" s="128"/>
      <c r="BG337" s="128"/>
      <c r="BH337" s="128"/>
      <c r="BI337" s="128"/>
      <c r="BJ337" s="128"/>
    </row>
    <row r="338" spans="1:62" ht="15" customHeight="1">
      <c r="A338" s="722" t="s">
        <v>657</v>
      </c>
      <c r="B338" s="707"/>
      <c r="C338" s="735" t="s">
        <v>262</v>
      </c>
      <c r="D338" s="738" t="s">
        <v>658</v>
      </c>
      <c r="E338" s="724"/>
      <c r="F338" s="724"/>
      <c r="G338" s="724"/>
      <c r="H338" s="174"/>
      <c r="I338" s="174"/>
      <c r="J338" s="721" t="s">
        <v>657</v>
      </c>
      <c r="K338" s="707"/>
      <c r="L338" s="735" t="s">
        <v>262</v>
      </c>
      <c r="M338" s="206">
        <v>3</v>
      </c>
      <c r="N338" s="206" t="s">
        <v>357</v>
      </c>
      <c r="O338" s="723">
        <f>AY335</f>
        <v>156.88786764705881</v>
      </c>
      <c r="P338" s="724"/>
      <c r="Q338" s="724"/>
      <c r="R338" s="724"/>
      <c r="S338" s="234" t="s">
        <v>357</v>
      </c>
      <c r="T338" s="751">
        <f>'Veri Girişi'!$B$111</f>
        <v>3000</v>
      </c>
      <c r="U338" s="724"/>
      <c r="V338" s="724"/>
      <c r="W338" s="174"/>
      <c r="X338" s="174"/>
      <c r="Y338" s="721" t="s">
        <v>657</v>
      </c>
      <c r="Z338" s="707"/>
      <c r="AA338" s="735" t="s">
        <v>262</v>
      </c>
      <c r="AB338" s="721">
        <f>M338*O338*T338/M339</f>
        <v>88249.425551470587</v>
      </c>
      <c r="AC338" s="707"/>
      <c r="AD338" s="707"/>
      <c r="AE338" s="707"/>
      <c r="AF338" s="721" t="s">
        <v>428</v>
      </c>
      <c r="AG338" s="707"/>
      <c r="AH338" s="707"/>
      <c r="AI338" s="164"/>
      <c r="AJ338" s="146"/>
      <c r="AK338" s="729" t="s">
        <v>659</v>
      </c>
      <c r="AL338" s="707"/>
      <c r="AM338" s="721" t="s">
        <v>262</v>
      </c>
      <c r="AN338" s="738" t="s">
        <v>657</v>
      </c>
      <c r="AO338" s="724"/>
      <c r="AP338" s="144"/>
      <c r="AQ338" s="144"/>
      <c r="AR338" s="729" t="s">
        <v>659</v>
      </c>
      <c r="AS338" s="707"/>
      <c r="AT338" s="721" t="s">
        <v>262</v>
      </c>
      <c r="AU338" s="721">
        <f>AB338/VLOOKUP('Veri Girişi'!$E$73,TABLOLAR!$I$60:$S$65,7,0)</f>
        <v>7.4914622709228</v>
      </c>
      <c r="AV338" s="707"/>
      <c r="AW338" s="707"/>
      <c r="AX338" s="730" t="s">
        <v>406</v>
      </c>
      <c r="AY338" s="707"/>
      <c r="AZ338" s="707"/>
      <c r="BA338" s="707"/>
      <c r="BB338" s="707"/>
      <c r="BC338" s="144"/>
      <c r="BD338" s="144"/>
      <c r="BE338" s="144"/>
      <c r="BF338" s="146"/>
      <c r="BG338" s="146"/>
      <c r="BH338" s="146"/>
      <c r="BI338" s="146"/>
      <c r="BJ338" s="146"/>
    </row>
    <row r="339" spans="1:62" ht="15" customHeight="1">
      <c r="A339" s="707"/>
      <c r="B339" s="707"/>
      <c r="C339" s="707"/>
      <c r="D339" s="753">
        <v>16</v>
      </c>
      <c r="E339" s="637"/>
      <c r="F339" s="637"/>
      <c r="G339" s="637"/>
      <c r="H339" s="174"/>
      <c r="I339" s="174"/>
      <c r="J339" s="707"/>
      <c r="K339" s="707"/>
      <c r="L339" s="707"/>
      <c r="M339" s="742">
        <v>16</v>
      </c>
      <c r="N339" s="637"/>
      <c r="O339" s="637"/>
      <c r="P339" s="637"/>
      <c r="Q339" s="637"/>
      <c r="R339" s="637"/>
      <c r="S339" s="637"/>
      <c r="T339" s="637"/>
      <c r="U339" s="637"/>
      <c r="V339" s="637"/>
      <c r="W339" s="174"/>
      <c r="X339" s="174"/>
      <c r="Y339" s="707"/>
      <c r="Z339" s="707"/>
      <c r="AA339" s="707"/>
      <c r="AB339" s="707"/>
      <c r="AC339" s="707"/>
      <c r="AD339" s="707"/>
      <c r="AE339" s="707"/>
      <c r="AF339" s="707"/>
      <c r="AG339" s="707"/>
      <c r="AH339" s="707"/>
      <c r="AI339" s="164"/>
      <c r="AJ339" s="146"/>
      <c r="AK339" s="707"/>
      <c r="AL339" s="707"/>
      <c r="AM339" s="707"/>
      <c r="AN339" s="753" t="s">
        <v>660</v>
      </c>
      <c r="AO339" s="637"/>
      <c r="AP339" s="144"/>
      <c r="AQ339" s="144"/>
      <c r="AR339" s="707"/>
      <c r="AS339" s="707"/>
      <c r="AT339" s="707"/>
      <c r="AU339" s="707"/>
      <c r="AV339" s="707"/>
      <c r="AW339" s="707"/>
      <c r="AX339" s="707"/>
      <c r="AY339" s="707"/>
      <c r="AZ339" s="707"/>
      <c r="BA339" s="707"/>
      <c r="BB339" s="707"/>
      <c r="BC339" s="144"/>
      <c r="BD339" s="144"/>
      <c r="BE339" s="144"/>
      <c r="BF339" s="146"/>
      <c r="BG339" s="146"/>
      <c r="BH339" s="146"/>
      <c r="BI339" s="146"/>
      <c r="BJ339" s="146"/>
    </row>
    <row r="340" spans="1:62" ht="4.5" customHeight="1">
      <c r="A340" s="146"/>
      <c r="B340" s="140"/>
      <c r="C340" s="140"/>
      <c r="D340" s="146"/>
      <c r="E340" s="140"/>
      <c r="F340" s="143"/>
      <c r="G340" s="174"/>
      <c r="H340" s="174"/>
      <c r="I340" s="174"/>
      <c r="J340" s="140"/>
      <c r="K340" s="140"/>
      <c r="L340" s="140"/>
      <c r="M340" s="140"/>
      <c r="N340" s="143"/>
      <c r="O340" s="140"/>
      <c r="P340" s="140"/>
      <c r="Q340" s="140"/>
      <c r="R340" s="140"/>
      <c r="S340" s="174"/>
      <c r="T340" s="174"/>
      <c r="U340" s="174"/>
      <c r="V340" s="174"/>
      <c r="W340" s="174"/>
      <c r="X340" s="174"/>
      <c r="Y340" s="140"/>
      <c r="Z340" s="196"/>
      <c r="AA340" s="196"/>
      <c r="AB340" s="196"/>
      <c r="AC340" s="196"/>
      <c r="AD340" s="196"/>
      <c r="AE340" s="196"/>
      <c r="AF340" s="196"/>
      <c r="AG340" s="196"/>
      <c r="AH340" s="196"/>
      <c r="AI340" s="196"/>
      <c r="AJ340" s="128"/>
      <c r="AK340" s="128"/>
      <c r="AL340" s="128"/>
      <c r="AM340" s="128"/>
      <c r="AN340" s="128"/>
      <c r="AO340" s="130"/>
      <c r="AP340" s="130"/>
      <c r="AQ340" s="130"/>
      <c r="AR340" s="130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30"/>
      <c r="BD340" s="130"/>
      <c r="BE340" s="130"/>
      <c r="BF340" s="128"/>
      <c r="BG340" s="128"/>
      <c r="BH340" s="128"/>
      <c r="BI340" s="128"/>
      <c r="BJ340" s="128"/>
    </row>
    <row r="341" spans="1:62" ht="15" customHeight="1">
      <c r="A341" s="721" t="s">
        <v>661</v>
      </c>
      <c r="B341" s="707"/>
      <c r="C341" s="751" t="s">
        <v>662</v>
      </c>
      <c r="D341" s="724"/>
      <c r="E341" s="724"/>
      <c r="F341" s="724"/>
      <c r="G341" s="724"/>
      <c r="H341" s="724"/>
      <c r="I341" s="724"/>
      <c r="J341" s="724"/>
      <c r="K341" s="724"/>
      <c r="L341" s="724"/>
      <c r="M341" s="724"/>
      <c r="N341" s="724"/>
      <c r="O341" s="140"/>
      <c r="P341" s="140"/>
      <c r="Q341" s="721" t="s">
        <v>661</v>
      </c>
      <c r="R341" s="707"/>
      <c r="S341" s="234">
        <f>$AB$31</f>
        <v>2</v>
      </c>
      <c r="T341" s="234" t="s">
        <v>357</v>
      </c>
      <c r="U341" s="751">
        <v>9.81</v>
      </c>
      <c r="V341" s="724"/>
      <c r="W341" s="724"/>
      <c r="X341" s="206" t="s">
        <v>357</v>
      </c>
      <c r="Y341" s="235" t="s">
        <v>413</v>
      </c>
      <c r="Z341" s="756">
        <f>'Veri Girişi'!$C$59</f>
        <v>800</v>
      </c>
      <c r="AA341" s="724"/>
      <c r="AB341" s="724"/>
      <c r="AC341" s="235" t="s">
        <v>357</v>
      </c>
      <c r="AD341" s="738">
        <f>Z312</f>
        <v>181.25</v>
      </c>
      <c r="AE341" s="724"/>
      <c r="AF341" s="235" t="s">
        <v>316</v>
      </c>
      <c r="AG341" s="756">
        <f>'Veri Girişi'!$C$75</f>
        <v>700</v>
      </c>
      <c r="AH341" s="724"/>
      <c r="AI341" s="724"/>
      <c r="AJ341" s="217" t="s">
        <v>357</v>
      </c>
      <c r="AK341" s="217">
        <v>0</v>
      </c>
      <c r="AL341" s="217" t="s">
        <v>414</v>
      </c>
      <c r="AM341" s="146"/>
      <c r="AN341" s="146"/>
      <c r="AO341" s="128"/>
      <c r="AP341" s="128"/>
      <c r="AQ341" s="128"/>
      <c r="AR341" s="128"/>
      <c r="AS341" s="747"/>
      <c r="AT341" s="707"/>
      <c r="AU341" s="707"/>
      <c r="AV341" s="707"/>
      <c r="AW341" s="707"/>
      <c r="AX341" s="707"/>
      <c r="AY341" s="707"/>
      <c r="AZ341" s="707"/>
      <c r="BA341" s="707"/>
      <c r="BB341" s="707"/>
      <c r="BC341" s="128"/>
      <c r="BD341" s="128"/>
      <c r="BE341" s="144"/>
      <c r="BF341" s="128"/>
      <c r="BG341" s="128"/>
      <c r="BH341" s="128"/>
      <c r="BI341" s="128"/>
      <c r="BJ341" s="128"/>
    </row>
    <row r="342" spans="1:62" ht="12" customHeight="1">
      <c r="A342" s="707"/>
      <c r="B342" s="707"/>
      <c r="C342" s="742" t="s">
        <v>663</v>
      </c>
      <c r="D342" s="637"/>
      <c r="E342" s="637"/>
      <c r="F342" s="637"/>
      <c r="G342" s="637"/>
      <c r="H342" s="637"/>
      <c r="I342" s="637"/>
      <c r="J342" s="637"/>
      <c r="K342" s="637"/>
      <c r="L342" s="637"/>
      <c r="M342" s="637"/>
      <c r="N342" s="637"/>
      <c r="O342" s="140"/>
      <c r="P342" s="140"/>
      <c r="Q342" s="707"/>
      <c r="R342" s="707"/>
      <c r="S342" s="174"/>
      <c r="T342" s="174"/>
      <c r="U342" s="174"/>
      <c r="V342" s="174"/>
      <c r="W342" s="174"/>
      <c r="X342" s="140"/>
      <c r="Y342" s="144">
        <f>'Veri Girişi'!$B$115</f>
        <v>2</v>
      </c>
      <c r="Z342" s="144" t="s">
        <v>436</v>
      </c>
      <c r="AA342" s="146">
        <v>2</v>
      </c>
      <c r="AB342" s="144" t="s">
        <v>357</v>
      </c>
      <c r="AC342" s="800">
        <f>$AH$289</f>
        <v>3400</v>
      </c>
      <c r="AD342" s="637"/>
      <c r="AE342" s="637"/>
      <c r="AF342" s="144"/>
      <c r="AG342" s="144"/>
      <c r="AH342" s="144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747"/>
      <c r="AT342" s="707"/>
      <c r="AU342" s="707"/>
      <c r="AV342" s="707"/>
      <c r="AW342" s="707"/>
      <c r="AX342" s="707"/>
      <c r="AY342" s="707"/>
      <c r="AZ342" s="707"/>
      <c r="BA342" s="707"/>
      <c r="BB342" s="707"/>
      <c r="BC342" s="146"/>
      <c r="BD342" s="146"/>
      <c r="BE342" s="144"/>
      <c r="BF342" s="146"/>
      <c r="BG342" s="146"/>
      <c r="BH342" s="146"/>
      <c r="BI342" s="146"/>
      <c r="BJ342" s="146"/>
    </row>
    <row r="343" spans="1:62" ht="4.5" customHeight="1">
      <c r="A343" s="146"/>
      <c r="B343" s="140"/>
      <c r="C343" s="140"/>
      <c r="D343" s="146"/>
      <c r="E343" s="140"/>
      <c r="F343" s="143"/>
      <c r="G343" s="174"/>
      <c r="H343" s="174"/>
      <c r="I343" s="174"/>
      <c r="J343" s="140"/>
      <c r="K343" s="140"/>
      <c r="L343" s="140"/>
      <c r="M343" s="140"/>
      <c r="N343" s="143"/>
      <c r="O343" s="140"/>
      <c r="P343" s="140"/>
      <c r="Q343" s="140"/>
      <c r="R343" s="140"/>
      <c r="S343" s="174"/>
      <c r="T343" s="174"/>
      <c r="U343" s="174"/>
      <c r="V343" s="174"/>
      <c r="W343" s="174"/>
      <c r="X343" s="174"/>
      <c r="Y343" s="140"/>
      <c r="Z343" s="196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28"/>
      <c r="AK343" s="128"/>
      <c r="AL343" s="128"/>
      <c r="AM343" s="128"/>
      <c r="AN343" s="128"/>
      <c r="AO343" s="130"/>
      <c r="AP343" s="130"/>
      <c r="AQ343" s="130"/>
      <c r="AR343" s="130"/>
      <c r="AS343" s="788"/>
      <c r="AT343" s="707"/>
      <c r="AU343" s="707"/>
      <c r="AV343" s="707"/>
      <c r="AW343" s="707"/>
      <c r="AX343" s="707"/>
      <c r="AY343" s="707"/>
      <c r="AZ343" s="707"/>
      <c r="BA343" s="707"/>
      <c r="BB343" s="707"/>
      <c r="BC343" s="130"/>
      <c r="BD343" s="130"/>
      <c r="BE343" s="130"/>
      <c r="BF343" s="128"/>
      <c r="BG343" s="128"/>
      <c r="BH343" s="128"/>
      <c r="BI343" s="128"/>
      <c r="BJ343" s="128"/>
    </row>
    <row r="344" spans="1:62" ht="15" customHeight="1">
      <c r="A344" s="721" t="s">
        <v>661</v>
      </c>
      <c r="B344" s="707"/>
      <c r="C344" s="738">
        <f>S341*U341*((Z341*AD341)+(AG341*AK341))</f>
        <v>2844900</v>
      </c>
      <c r="D344" s="724"/>
      <c r="E344" s="724"/>
      <c r="F344" s="724"/>
      <c r="G344" s="146"/>
      <c r="H344" s="144"/>
      <c r="I344" s="721" t="s">
        <v>661</v>
      </c>
      <c r="J344" s="707"/>
      <c r="K344" s="734">
        <f>C344/C345</f>
        <v>836.73529411764707</v>
      </c>
      <c r="L344" s="707"/>
      <c r="M344" s="707"/>
      <c r="N344" s="707"/>
      <c r="O344" s="721" t="s">
        <v>374</v>
      </c>
      <c r="P344" s="171"/>
      <c r="Q344" s="171"/>
      <c r="R344" s="171"/>
      <c r="S344" s="174"/>
      <c r="T344" s="171"/>
      <c r="U344" s="171"/>
      <c r="V344" s="171"/>
      <c r="W344" s="174"/>
      <c r="X344" s="174"/>
      <c r="Y344" s="146"/>
      <c r="Z344" s="146"/>
      <c r="AA344" s="171"/>
      <c r="AB344" s="146"/>
      <c r="AC344" s="146"/>
      <c r="AD344" s="146"/>
      <c r="AE344" s="146"/>
      <c r="AF344" s="146"/>
      <c r="AG344" s="146"/>
      <c r="AH344" s="146"/>
      <c r="AI344" s="164"/>
      <c r="AJ344" s="146"/>
      <c r="AK344" s="231"/>
      <c r="AL344" s="231"/>
      <c r="AM344" s="146"/>
      <c r="AN344" s="146"/>
      <c r="AO344" s="146"/>
      <c r="AP344" s="144"/>
      <c r="AQ344" s="144"/>
      <c r="AR344" s="231"/>
      <c r="AS344" s="707"/>
      <c r="AT344" s="707"/>
      <c r="AU344" s="707"/>
      <c r="AV344" s="707"/>
      <c r="AW344" s="707"/>
      <c r="AX344" s="707"/>
      <c r="AY344" s="707"/>
      <c r="AZ344" s="707"/>
      <c r="BA344" s="707"/>
      <c r="BB344" s="707"/>
      <c r="BC344" s="144"/>
      <c r="BD344" s="144"/>
      <c r="BE344" s="144"/>
      <c r="BF344" s="128"/>
      <c r="BG344" s="128"/>
      <c r="BH344" s="128"/>
      <c r="BI344" s="128"/>
      <c r="BJ344" s="128"/>
    </row>
    <row r="345" spans="1:62" ht="15" customHeight="1">
      <c r="A345" s="707"/>
      <c r="B345" s="707"/>
      <c r="C345" s="753">
        <f>Y342/2*AC342</f>
        <v>3400</v>
      </c>
      <c r="D345" s="637"/>
      <c r="E345" s="637"/>
      <c r="F345" s="637"/>
      <c r="G345" s="146"/>
      <c r="H345" s="144"/>
      <c r="I345" s="707"/>
      <c r="J345" s="707"/>
      <c r="K345" s="707"/>
      <c r="L345" s="707"/>
      <c r="M345" s="707"/>
      <c r="N345" s="707"/>
      <c r="O345" s="707"/>
      <c r="P345" s="171"/>
      <c r="Q345" s="171"/>
      <c r="R345" s="171"/>
      <c r="S345" s="171"/>
      <c r="T345" s="171"/>
      <c r="U345" s="171"/>
      <c r="V345" s="171"/>
      <c r="W345" s="174"/>
      <c r="X345" s="174"/>
      <c r="Y345" s="146"/>
      <c r="Z345" s="146"/>
      <c r="AA345" s="171"/>
      <c r="AB345" s="146"/>
      <c r="AC345" s="146"/>
      <c r="AD345" s="146"/>
      <c r="AE345" s="146"/>
      <c r="AF345" s="146"/>
      <c r="AG345" s="146"/>
      <c r="AH345" s="146"/>
      <c r="AI345" s="164"/>
      <c r="AJ345" s="146"/>
      <c r="AK345" s="231"/>
      <c r="AL345" s="231"/>
      <c r="AM345" s="146"/>
      <c r="AN345" s="146"/>
      <c r="AO345" s="146"/>
      <c r="AP345" s="144"/>
      <c r="AQ345" s="144"/>
      <c r="AR345" s="231"/>
      <c r="AS345" s="231"/>
      <c r="AT345" s="146"/>
      <c r="AU345" s="146"/>
      <c r="AV345" s="146"/>
      <c r="AW345" s="146"/>
      <c r="AX345" s="171"/>
      <c r="AY345" s="171"/>
      <c r="AZ345" s="171"/>
      <c r="BA345" s="171"/>
      <c r="BB345" s="146"/>
      <c r="BC345" s="144"/>
      <c r="BD345" s="144"/>
      <c r="BE345" s="144"/>
      <c r="BF345" s="128"/>
      <c r="BG345" s="128"/>
      <c r="BH345" s="128"/>
      <c r="BI345" s="128"/>
      <c r="BJ345" s="128"/>
    </row>
    <row r="346" spans="1:62" ht="6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129"/>
      <c r="AN346" s="129"/>
      <c r="AO346" s="130"/>
      <c r="AP346" s="130"/>
      <c r="AQ346" s="130"/>
      <c r="AR346" s="130"/>
      <c r="AS346" s="130"/>
      <c r="AT346" s="130"/>
      <c r="AU346" s="130"/>
      <c r="AV346" s="130"/>
      <c r="AW346" s="130"/>
      <c r="AX346" s="128"/>
      <c r="AY346" s="130"/>
      <c r="AZ346" s="130"/>
      <c r="BA346" s="130"/>
      <c r="BB346" s="130"/>
      <c r="BC346" s="130"/>
      <c r="BD346" s="130"/>
      <c r="BE346" s="130"/>
      <c r="BF346" s="128"/>
      <c r="BG346" s="128"/>
      <c r="BH346" s="128"/>
      <c r="BI346" s="128"/>
      <c r="BJ346" s="128"/>
    </row>
    <row r="347" spans="1:62" ht="15" customHeight="1">
      <c r="A347" s="722" t="s">
        <v>664</v>
      </c>
      <c r="B347" s="707"/>
      <c r="C347" s="735" t="s">
        <v>262</v>
      </c>
      <c r="D347" s="738" t="s">
        <v>665</v>
      </c>
      <c r="E347" s="724"/>
      <c r="F347" s="724"/>
      <c r="G347" s="724"/>
      <c r="H347" s="174"/>
      <c r="I347" s="174"/>
      <c r="J347" s="721" t="s">
        <v>664</v>
      </c>
      <c r="K347" s="707"/>
      <c r="L347" s="735" t="s">
        <v>262</v>
      </c>
      <c r="M347" s="206">
        <v>3</v>
      </c>
      <c r="N347" s="206" t="s">
        <v>357</v>
      </c>
      <c r="O347" s="723">
        <f>K344</f>
        <v>836.73529411764707</v>
      </c>
      <c r="P347" s="724"/>
      <c r="Q347" s="724"/>
      <c r="R347" s="724"/>
      <c r="S347" s="234" t="s">
        <v>357</v>
      </c>
      <c r="T347" s="751">
        <f>'Veri Girişi'!$B$111</f>
        <v>3000</v>
      </c>
      <c r="U347" s="724"/>
      <c r="V347" s="724"/>
      <c r="W347" s="174"/>
      <c r="X347" s="174"/>
      <c r="Y347" s="721" t="s">
        <v>664</v>
      </c>
      <c r="Z347" s="707"/>
      <c r="AA347" s="735" t="s">
        <v>262</v>
      </c>
      <c r="AB347" s="721">
        <f>M347*O347*T347/M348</f>
        <v>470663.6029411765</v>
      </c>
      <c r="AC347" s="707"/>
      <c r="AD347" s="707"/>
      <c r="AE347" s="707"/>
      <c r="AF347" s="721" t="s">
        <v>428</v>
      </c>
      <c r="AG347" s="707"/>
      <c r="AH347" s="707"/>
      <c r="AI347" s="164"/>
      <c r="AJ347" s="146"/>
      <c r="AK347" s="729" t="s">
        <v>666</v>
      </c>
      <c r="AL347" s="707"/>
      <c r="AM347" s="721" t="s">
        <v>262</v>
      </c>
      <c r="AN347" s="738" t="s">
        <v>664</v>
      </c>
      <c r="AO347" s="724"/>
      <c r="AP347" s="144"/>
      <c r="AQ347" s="144"/>
      <c r="AR347" s="729" t="s">
        <v>666</v>
      </c>
      <c r="AS347" s="707"/>
      <c r="AT347" s="721" t="s">
        <v>262</v>
      </c>
      <c r="AU347" s="721">
        <f>AB347/VLOOKUP('Veri Girişi'!$E$73,TABLOLAR!$I$60:$S$65,6,0)</f>
        <v>32.798857347817176</v>
      </c>
      <c r="AV347" s="707"/>
      <c r="AW347" s="707"/>
      <c r="AX347" s="730" t="s">
        <v>406</v>
      </c>
      <c r="AY347" s="707"/>
      <c r="AZ347" s="707"/>
      <c r="BA347" s="707"/>
      <c r="BB347" s="707"/>
      <c r="BC347" s="144"/>
      <c r="BD347" s="144"/>
      <c r="BE347" s="144"/>
      <c r="BF347" s="128"/>
      <c r="BG347" s="128"/>
      <c r="BH347" s="128"/>
      <c r="BI347" s="128"/>
      <c r="BJ347" s="128"/>
    </row>
    <row r="348" spans="1:62" ht="15" customHeight="1">
      <c r="A348" s="707"/>
      <c r="B348" s="707"/>
      <c r="C348" s="707"/>
      <c r="D348" s="753">
        <v>16</v>
      </c>
      <c r="E348" s="637"/>
      <c r="F348" s="637"/>
      <c r="G348" s="637"/>
      <c r="H348" s="174"/>
      <c r="I348" s="174"/>
      <c r="J348" s="707"/>
      <c r="K348" s="707"/>
      <c r="L348" s="707"/>
      <c r="M348" s="742">
        <v>16</v>
      </c>
      <c r="N348" s="637"/>
      <c r="O348" s="637"/>
      <c r="P348" s="637"/>
      <c r="Q348" s="637"/>
      <c r="R348" s="637"/>
      <c r="S348" s="637"/>
      <c r="T348" s="637"/>
      <c r="U348" s="637"/>
      <c r="V348" s="637"/>
      <c r="W348" s="174"/>
      <c r="X348" s="174"/>
      <c r="Y348" s="707"/>
      <c r="Z348" s="707"/>
      <c r="AA348" s="707"/>
      <c r="AB348" s="707"/>
      <c r="AC348" s="707"/>
      <c r="AD348" s="707"/>
      <c r="AE348" s="707"/>
      <c r="AF348" s="707"/>
      <c r="AG348" s="707"/>
      <c r="AH348" s="707"/>
      <c r="AI348" s="164"/>
      <c r="AJ348" s="146"/>
      <c r="AK348" s="707"/>
      <c r="AL348" s="707"/>
      <c r="AM348" s="707"/>
      <c r="AN348" s="753" t="s">
        <v>407</v>
      </c>
      <c r="AO348" s="637"/>
      <c r="AP348" s="144"/>
      <c r="AQ348" s="144"/>
      <c r="AR348" s="707"/>
      <c r="AS348" s="707"/>
      <c r="AT348" s="707"/>
      <c r="AU348" s="707"/>
      <c r="AV348" s="707"/>
      <c r="AW348" s="707"/>
      <c r="AX348" s="707"/>
      <c r="AY348" s="707"/>
      <c r="AZ348" s="707"/>
      <c r="BA348" s="707"/>
      <c r="BB348" s="707"/>
      <c r="BC348" s="144"/>
      <c r="BD348" s="144"/>
      <c r="BE348" s="144"/>
      <c r="BF348" s="128"/>
      <c r="BG348" s="128"/>
      <c r="BH348" s="128"/>
      <c r="BI348" s="128"/>
      <c r="BJ348" s="128"/>
    </row>
    <row r="349" spans="1:62" ht="15" customHeight="1">
      <c r="A349" s="128" t="s">
        <v>668</v>
      </c>
      <c r="B349" s="140"/>
      <c r="C349" s="140"/>
      <c r="D349" s="146"/>
      <c r="E349" s="140"/>
      <c r="F349" s="143"/>
      <c r="G349" s="174"/>
      <c r="H349" s="174"/>
      <c r="I349" s="174"/>
      <c r="J349" s="140"/>
      <c r="K349" s="140"/>
      <c r="L349" s="140"/>
      <c r="M349" s="140"/>
      <c r="N349" s="143"/>
      <c r="O349" s="140"/>
      <c r="P349" s="140"/>
      <c r="Q349" s="140"/>
      <c r="R349" s="140"/>
      <c r="S349" s="174"/>
      <c r="T349" s="174"/>
      <c r="U349" s="174"/>
      <c r="V349" s="174"/>
      <c r="W349" s="174"/>
      <c r="X349" s="174"/>
      <c r="Y349" s="140"/>
      <c r="Z349" s="196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28"/>
      <c r="AK349" s="128"/>
      <c r="AL349" s="128"/>
      <c r="AM349" s="128"/>
      <c r="AN349" s="128"/>
      <c r="AO349" s="130"/>
      <c r="AP349" s="130"/>
      <c r="AQ349" s="130"/>
      <c r="AR349" s="130"/>
      <c r="AS349" s="130"/>
      <c r="AT349" s="130"/>
      <c r="AU349" s="130"/>
      <c r="AV349" s="130"/>
      <c r="AW349" s="130"/>
      <c r="AX349" s="128"/>
      <c r="AY349" s="130"/>
      <c r="AZ349" s="130"/>
      <c r="BA349" s="130"/>
      <c r="BB349" s="130"/>
      <c r="BC349" s="130"/>
      <c r="BD349" s="130"/>
      <c r="BE349" s="130"/>
      <c r="BF349" s="128"/>
      <c r="BG349" s="128"/>
      <c r="BH349" s="128"/>
      <c r="BI349" s="128"/>
      <c r="BJ349" s="128"/>
    </row>
    <row r="350" spans="1:62" ht="4.5" customHeight="1">
      <c r="A350" s="146"/>
      <c r="B350" s="140"/>
      <c r="C350" s="140"/>
      <c r="D350" s="146"/>
      <c r="E350" s="140"/>
      <c r="F350" s="143"/>
      <c r="G350" s="174"/>
      <c r="H350" s="174"/>
      <c r="I350" s="174"/>
      <c r="J350" s="140"/>
      <c r="K350" s="140"/>
      <c r="L350" s="140"/>
      <c r="M350" s="140"/>
      <c r="N350" s="143"/>
      <c r="O350" s="140"/>
      <c r="P350" s="140"/>
      <c r="Q350" s="140"/>
      <c r="R350" s="140"/>
      <c r="S350" s="174"/>
      <c r="T350" s="174"/>
      <c r="U350" s="174"/>
      <c r="V350" s="174"/>
      <c r="W350" s="174"/>
      <c r="X350" s="174"/>
      <c r="Y350" s="140"/>
      <c r="Z350" s="196"/>
      <c r="AA350" s="196"/>
      <c r="AB350" s="196"/>
      <c r="AC350" s="196"/>
      <c r="AD350" s="196"/>
      <c r="AE350" s="196"/>
      <c r="AF350" s="196"/>
      <c r="AG350" s="196"/>
      <c r="AH350" s="196"/>
      <c r="AI350" s="196"/>
      <c r="AJ350" s="128"/>
      <c r="AK350" s="128"/>
      <c r="AL350" s="128"/>
      <c r="AM350" s="128"/>
      <c r="AN350" s="128"/>
      <c r="AO350" s="130"/>
      <c r="AP350" s="130"/>
      <c r="AQ350" s="130"/>
      <c r="AR350" s="130"/>
      <c r="AS350" s="130"/>
      <c r="AT350" s="130"/>
      <c r="AU350" s="130"/>
      <c r="AV350" s="130"/>
      <c r="AW350" s="130"/>
      <c r="AX350" s="128"/>
      <c r="AY350" s="130"/>
      <c r="AZ350" s="130"/>
      <c r="BA350" s="130"/>
      <c r="BB350" s="130"/>
      <c r="BC350" s="130"/>
      <c r="BD350" s="130"/>
      <c r="BE350" s="130"/>
      <c r="BF350" s="128"/>
      <c r="BG350" s="128"/>
      <c r="BH350" s="128"/>
      <c r="BI350" s="128"/>
      <c r="BJ350" s="128"/>
    </row>
    <row r="351" spans="1:62" ht="15" customHeight="1">
      <c r="A351" s="721" t="s">
        <v>669</v>
      </c>
      <c r="B351" s="707"/>
      <c r="C351" s="757" t="s">
        <v>641</v>
      </c>
      <c r="D351" s="751" t="s">
        <v>670</v>
      </c>
      <c r="E351" s="724"/>
      <c r="F351" s="724"/>
      <c r="G351" s="724"/>
      <c r="H351" s="724"/>
      <c r="I351" s="724"/>
      <c r="J351" s="724"/>
      <c r="K351" s="724"/>
      <c r="L351" s="730" t="s">
        <v>316</v>
      </c>
      <c r="M351" s="730" t="s">
        <v>671</v>
      </c>
      <c r="N351" s="707"/>
      <c r="O351" s="707"/>
      <c r="P351" s="707"/>
      <c r="Q351" s="707"/>
      <c r="R351" s="707"/>
      <c r="S351" s="128"/>
      <c r="T351" s="721" t="s">
        <v>669</v>
      </c>
      <c r="U351" s="707"/>
      <c r="V351" s="721" t="s">
        <v>641</v>
      </c>
      <c r="W351" s="234">
        <f>$AB$31</f>
        <v>2</v>
      </c>
      <c r="X351" s="206" t="s">
        <v>357</v>
      </c>
      <c r="Y351" s="751">
        <v>9.81</v>
      </c>
      <c r="Z351" s="724"/>
      <c r="AA351" s="724"/>
      <c r="AB351" s="234" t="s">
        <v>357</v>
      </c>
      <c r="AC351" s="234" t="s">
        <v>413</v>
      </c>
      <c r="AD351" s="756">
        <f>'Veri Girişi'!$C$75</f>
        <v>700</v>
      </c>
      <c r="AE351" s="724"/>
      <c r="AF351" s="724"/>
      <c r="AG351" s="237" t="s">
        <v>316</v>
      </c>
      <c r="AH351" s="218">
        <f>'Veri Girişi'!$C$59</f>
        <v>800</v>
      </c>
      <c r="AI351" s="238" t="s">
        <v>414</v>
      </c>
      <c r="AJ351" s="721" t="s">
        <v>316</v>
      </c>
      <c r="AK351" s="734">
        <f>AH291</f>
        <v>329.30800000000005</v>
      </c>
      <c r="AL351" s="721" t="s">
        <v>357</v>
      </c>
      <c r="AM351" s="721">
        <f>Y351</f>
        <v>9.81</v>
      </c>
      <c r="AN351" s="707"/>
      <c r="AO351" s="721" t="s">
        <v>316</v>
      </c>
      <c r="AP351" s="721">
        <v>0</v>
      </c>
      <c r="AQ351" s="707"/>
      <c r="AR351" s="128"/>
      <c r="AS351" s="721" t="s">
        <v>669</v>
      </c>
      <c r="AT351" s="721" t="s">
        <v>641</v>
      </c>
      <c r="AU351" s="734">
        <f>W351*Y351*(AD351+AH351)/W352+(AK351*AM351)+AP351</f>
        <v>17945.511480000001</v>
      </c>
      <c r="AV351" s="707"/>
      <c r="AW351" s="707"/>
      <c r="AX351" s="707"/>
      <c r="AY351" s="707"/>
      <c r="AZ351" s="721" t="s">
        <v>374</v>
      </c>
      <c r="BA351" s="128"/>
      <c r="BB351" s="128"/>
      <c r="BC351" s="128"/>
      <c r="BD351" s="130"/>
      <c r="BE351" s="130"/>
      <c r="BF351" s="128"/>
      <c r="BG351" s="128"/>
      <c r="BH351" s="128"/>
      <c r="BI351" s="128"/>
      <c r="BJ351" s="128"/>
    </row>
    <row r="352" spans="1:62" ht="15" customHeight="1">
      <c r="A352" s="707"/>
      <c r="B352" s="707"/>
      <c r="C352" s="707"/>
      <c r="D352" s="753" t="s">
        <v>672</v>
      </c>
      <c r="E352" s="637"/>
      <c r="F352" s="637"/>
      <c r="G352" s="637"/>
      <c r="H352" s="637"/>
      <c r="I352" s="637"/>
      <c r="J352" s="637"/>
      <c r="K352" s="637"/>
      <c r="L352" s="707"/>
      <c r="M352" s="707"/>
      <c r="N352" s="707"/>
      <c r="O352" s="707"/>
      <c r="P352" s="707"/>
      <c r="Q352" s="707"/>
      <c r="R352" s="707"/>
      <c r="S352" s="128"/>
      <c r="T352" s="707"/>
      <c r="U352" s="707"/>
      <c r="V352" s="707"/>
      <c r="W352" s="742">
        <f>'Veri Girişi'!$B$115</f>
        <v>2</v>
      </c>
      <c r="X352" s="637"/>
      <c r="Y352" s="637"/>
      <c r="Z352" s="637"/>
      <c r="AA352" s="637"/>
      <c r="AB352" s="637"/>
      <c r="AC352" s="637"/>
      <c r="AD352" s="637"/>
      <c r="AE352" s="637"/>
      <c r="AF352" s="637"/>
      <c r="AG352" s="637"/>
      <c r="AH352" s="637"/>
      <c r="AI352" s="637"/>
      <c r="AJ352" s="707"/>
      <c r="AK352" s="707"/>
      <c r="AL352" s="707"/>
      <c r="AM352" s="707"/>
      <c r="AN352" s="707"/>
      <c r="AO352" s="707"/>
      <c r="AP352" s="707"/>
      <c r="AQ352" s="707"/>
      <c r="AR352" s="128"/>
      <c r="AS352" s="707"/>
      <c r="AT352" s="707"/>
      <c r="AU352" s="707"/>
      <c r="AV352" s="707"/>
      <c r="AW352" s="707"/>
      <c r="AX352" s="707"/>
      <c r="AY352" s="707"/>
      <c r="AZ352" s="707"/>
      <c r="BA352" s="128"/>
      <c r="BB352" s="128"/>
      <c r="BC352" s="128"/>
      <c r="BD352" s="130"/>
      <c r="BE352" s="130"/>
      <c r="BF352" s="128"/>
      <c r="BG352" s="128"/>
      <c r="BH352" s="128"/>
      <c r="BI352" s="128"/>
      <c r="BJ352" s="128"/>
    </row>
    <row r="353" spans="1:62" ht="4.5" customHeight="1">
      <c r="A353" s="146"/>
      <c r="B353" s="140"/>
      <c r="C353" s="140"/>
      <c r="D353" s="146"/>
      <c r="E353" s="140"/>
      <c r="F353" s="143"/>
      <c r="G353" s="174"/>
      <c r="H353" s="174"/>
      <c r="I353" s="174"/>
      <c r="J353" s="140"/>
      <c r="K353" s="140"/>
      <c r="L353" s="140"/>
      <c r="M353" s="140"/>
      <c r="N353" s="143"/>
      <c r="O353" s="140"/>
      <c r="P353" s="140"/>
      <c r="Q353" s="140"/>
      <c r="R353" s="140"/>
      <c r="S353" s="174"/>
      <c r="T353" s="174"/>
      <c r="U353" s="174"/>
      <c r="V353" s="174"/>
      <c r="W353" s="174"/>
      <c r="X353" s="174"/>
      <c r="Y353" s="140"/>
      <c r="Z353" s="196"/>
      <c r="AA353" s="196"/>
      <c r="AB353" s="196"/>
      <c r="AC353" s="196"/>
      <c r="AD353" s="196"/>
      <c r="AE353" s="196"/>
      <c r="AF353" s="196"/>
      <c r="AG353" s="196"/>
      <c r="AH353" s="196"/>
      <c r="AI353" s="196"/>
      <c r="AJ353" s="128"/>
      <c r="AK353" s="128"/>
      <c r="AL353" s="128"/>
      <c r="AM353" s="128"/>
      <c r="AN353" s="128"/>
      <c r="AO353" s="130"/>
      <c r="AP353" s="130"/>
      <c r="AQ353" s="130"/>
      <c r="AR353" s="130"/>
      <c r="AS353" s="130"/>
      <c r="AT353" s="130"/>
      <c r="AU353" s="130"/>
      <c r="AV353" s="130"/>
      <c r="AW353" s="130"/>
      <c r="AX353" s="128"/>
      <c r="AY353" s="130"/>
      <c r="AZ353" s="130"/>
      <c r="BA353" s="130"/>
      <c r="BB353" s="130"/>
      <c r="BC353" s="130"/>
      <c r="BD353" s="130"/>
      <c r="BE353" s="130"/>
      <c r="BF353" s="128"/>
      <c r="BG353" s="128"/>
      <c r="BH353" s="128"/>
      <c r="BI353" s="128"/>
      <c r="BJ353" s="128"/>
    </row>
    <row r="354" spans="1:62" ht="15" customHeight="1">
      <c r="A354" s="721" t="s">
        <v>673</v>
      </c>
      <c r="B354" s="707"/>
      <c r="C354" s="757" t="s">
        <v>641</v>
      </c>
      <c r="D354" s="738" t="s">
        <v>674</v>
      </c>
      <c r="E354" s="724"/>
      <c r="F354" s="724"/>
      <c r="G354" s="724"/>
      <c r="H354" s="724"/>
      <c r="I354" s="724"/>
      <c r="J354" s="724"/>
      <c r="K354" s="724"/>
      <c r="L354" s="140"/>
      <c r="M354" s="140"/>
      <c r="N354" s="721" t="s">
        <v>673</v>
      </c>
      <c r="O354" s="707"/>
      <c r="P354" s="757" t="s">
        <v>641</v>
      </c>
      <c r="Q354" s="206" t="s">
        <v>413</v>
      </c>
      <c r="R354" s="723">
        <f>AU351</f>
        <v>17945.511480000001</v>
      </c>
      <c r="S354" s="724"/>
      <c r="T354" s="724"/>
      <c r="U354" s="724"/>
      <c r="V354" s="234" t="s">
        <v>316</v>
      </c>
      <c r="W354" s="751">
        <v>1.2</v>
      </c>
      <c r="X354" s="724"/>
      <c r="Y354" s="235" t="s">
        <v>357</v>
      </c>
      <c r="Z354" s="738">
        <f>AH292</f>
        <v>150</v>
      </c>
      <c r="AA354" s="724"/>
      <c r="AB354" s="235" t="s">
        <v>414</v>
      </c>
      <c r="AC354" s="235" t="s">
        <v>357</v>
      </c>
      <c r="AD354" s="768">
        <f>VLOOKUP(AV355,TABLOLAR!A47:B277,2,0)</f>
        <v>4.0571017500000002</v>
      </c>
      <c r="AE354" s="724"/>
      <c r="AF354" s="724"/>
      <c r="AG354" s="151"/>
      <c r="AH354" s="146"/>
      <c r="AI354" s="721" t="s">
        <v>673</v>
      </c>
      <c r="AJ354" s="707"/>
      <c r="AK354" s="757" t="s">
        <v>641</v>
      </c>
      <c r="AL354" s="721">
        <f>(R354+(W354*Z354))*AD354/Q355</f>
        <v>46.630972951904312</v>
      </c>
      <c r="AM354" s="707"/>
      <c r="AN354" s="707"/>
      <c r="AO354" s="735" t="s">
        <v>406</v>
      </c>
      <c r="AP354" s="707"/>
      <c r="AQ354" s="707"/>
      <c r="AR354" s="707"/>
      <c r="AS354" s="144"/>
      <c r="AT354" s="144"/>
      <c r="AU354" s="144"/>
      <c r="AV354" s="777">
        <f>AH290/VLOOKUP('Veri Girişi'!E73,TABLOLAR!I60:S65,8,0)</f>
        <v>154.00410677618069</v>
      </c>
      <c r="AW354" s="707"/>
      <c r="AX354" s="146"/>
      <c r="AY354" s="144"/>
      <c r="AZ354" s="144"/>
      <c r="BA354" s="144"/>
      <c r="BB354" s="144"/>
      <c r="BC354" s="144"/>
      <c r="BD354" s="144"/>
      <c r="BE354" s="144"/>
      <c r="BF354" s="146"/>
      <c r="BG354" s="146"/>
      <c r="BH354" s="146"/>
      <c r="BI354" s="146"/>
      <c r="BJ354" s="146"/>
    </row>
    <row r="355" spans="1:62" ht="15" customHeight="1">
      <c r="A355" s="707"/>
      <c r="B355" s="707"/>
      <c r="C355" s="707"/>
      <c r="D355" s="753" t="s">
        <v>397</v>
      </c>
      <c r="E355" s="637"/>
      <c r="F355" s="637"/>
      <c r="G355" s="637"/>
      <c r="H355" s="637"/>
      <c r="I355" s="637"/>
      <c r="J355" s="637"/>
      <c r="K355" s="637"/>
      <c r="L355" s="140"/>
      <c r="M355" s="140"/>
      <c r="N355" s="707"/>
      <c r="O355" s="707"/>
      <c r="P355" s="707"/>
      <c r="Q355" s="742">
        <f>VLOOKUP('Veri Girişi'!$E$73,TABLOLAR!$I$60:$S$65,3,0)</f>
        <v>1577</v>
      </c>
      <c r="R355" s="637"/>
      <c r="S355" s="637"/>
      <c r="T355" s="637"/>
      <c r="U355" s="637"/>
      <c r="V355" s="637"/>
      <c r="W355" s="637"/>
      <c r="X355" s="637"/>
      <c r="Y355" s="637"/>
      <c r="Z355" s="637"/>
      <c r="AA355" s="637"/>
      <c r="AB355" s="637"/>
      <c r="AC355" s="637"/>
      <c r="AD355" s="637"/>
      <c r="AE355" s="637"/>
      <c r="AF355" s="637"/>
      <c r="AG355" s="171"/>
      <c r="AH355" s="171"/>
      <c r="AI355" s="707"/>
      <c r="AJ355" s="707"/>
      <c r="AK355" s="707"/>
      <c r="AL355" s="707"/>
      <c r="AM355" s="707"/>
      <c r="AN355" s="707"/>
      <c r="AO355" s="707"/>
      <c r="AP355" s="707"/>
      <c r="AQ355" s="707"/>
      <c r="AR355" s="707"/>
      <c r="AS355" s="144"/>
      <c r="AT355" s="128"/>
      <c r="AU355" s="128"/>
      <c r="AV355" s="737">
        <f>ROUNDUP(AV354,0)</f>
        <v>155</v>
      </c>
      <c r="AW355" s="707"/>
      <c r="AX355" s="128"/>
      <c r="AY355" s="128"/>
      <c r="AZ355" s="128"/>
      <c r="BA355" s="128"/>
      <c r="BB355" s="128"/>
      <c r="BC355" s="128"/>
      <c r="BD355" s="128"/>
      <c r="BE355" s="144"/>
      <c r="BF355" s="146"/>
      <c r="BG355" s="146"/>
      <c r="BH355" s="146"/>
      <c r="BI355" s="146"/>
      <c r="BJ355" s="146"/>
    </row>
    <row r="356" spans="1:62" ht="4.5" customHeight="1">
      <c r="A356" s="146"/>
      <c r="B356" s="140"/>
      <c r="C356" s="140"/>
      <c r="D356" s="146"/>
      <c r="E356" s="140"/>
      <c r="F356" s="143"/>
      <c r="G356" s="174"/>
      <c r="H356" s="174"/>
      <c r="I356" s="174"/>
      <c r="J356" s="140"/>
      <c r="K356" s="140"/>
      <c r="L356" s="140"/>
      <c r="M356" s="140"/>
      <c r="N356" s="143"/>
      <c r="O356" s="140"/>
      <c r="P356" s="140"/>
      <c r="Q356" s="140"/>
      <c r="R356" s="140"/>
      <c r="S356" s="174"/>
      <c r="T356" s="174"/>
      <c r="U356" s="174"/>
      <c r="V356" s="174"/>
      <c r="W356" s="174"/>
      <c r="X356" s="174"/>
      <c r="Y356" s="140"/>
      <c r="Z356" s="196"/>
      <c r="AA356" s="196"/>
      <c r="AB356" s="196"/>
      <c r="AC356" s="196"/>
      <c r="AD356" s="196"/>
      <c r="AE356" s="196"/>
      <c r="AF356" s="196"/>
      <c r="AG356" s="196"/>
      <c r="AH356" s="196"/>
      <c r="AI356" s="196"/>
      <c r="AJ356" s="128"/>
      <c r="AK356" s="128"/>
      <c r="AL356" s="128"/>
      <c r="AM356" s="128"/>
      <c r="AN356" s="128"/>
      <c r="AO356" s="130"/>
      <c r="AP356" s="130"/>
      <c r="AQ356" s="130"/>
      <c r="AR356" s="130"/>
      <c r="AS356" s="130"/>
      <c r="AT356" s="146"/>
      <c r="AU356" s="146"/>
      <c r="AV356" s="146"/>
      <c r="AW356" s="146"/>
      <c r="AX356" s="146"/>
      <c r="AY356" s="146"/>
      <c r="AZ356" s="146"/>
      <c r="BA356" s="146"/>
      <c r="BB356" s="146"/>
      <c r="BC356" s="146"/>
      <c r="BD356" s="146"/>
      <c r="BE356" s="130"/>
      <c r="BF356" s="128"/>
      <c r="BG356" s="128"/>
      <c r="BH356" s="128"/>
      <c r="BI356" s="128"/>
      <c r="BJ356" s="128"/>
    </row>
    <row r="357" spans="1:62" ht="15" customHeight="1">
      <c r="A357" s="146" t="s">
        <v>675</v>
      </c>
      <c r="B357" s="140"/>
      <c r="C357" s="140"/>
      <c r="D357" s="146"/>
      <c r="E357" s="140"/>
      <c r="F357" s="143"/>
      <c r="G357" s="174"/>
      <c r="H357" s="174"/>
      <c r="I357" s="174"/>
      <c r="J357" s="140"/>
      <c r="K357" s="140"/>
      <c r="L357" s="140"/>
      <c r="M357" s="140"/>
      <c r="N357" s="143"/>
      <c r="O357" s="140"/>
      <c r="P357" s="140"/>
      <c r="Q357" s="140"/>
      <c r="R357" s="140"/>
      <c r="S357" s="174"/>
      <c r="T357" s="174"/>
      <c r="U357" s="174"/>
      <c r="V357" s="174"/>
      <c r="W357" s="174"/>
      <c r="X357" s="174"/>
      <c r="Y357" s="140"/>
      <c r="Z357" s="196"/>
      <c r="AA357" s="196"/>
      <c r="AB357" s="196"/>
      <c r="AC357" s="196"/>
      <c r="AD357" s="196"/>
      <c r="AE357" s="196"/>
      <c r="AF357" s="196"/>
      <c r="AG357" s="196"/>
      <c r="AH357" s="196"/>
      <c r="AI357" s="196"/>
      <c r="AJ357" s="128"/>
      <c r="AK357" s="128"/>
      <c r="AL357" s="128"/>
      <c r="AM357" s="128"/>
      <c r="AN357" s="128"/>
      <c r="AO357" s="130"/>
      <c r="AP357" s="130"/>
      <c r="AQ357" s="130"/>
      <c r="AR357" s="130"/>
      <c r="AS357" s="130"/>
      <c r="AT357" s="146"/>
      <c r="AU357" s="146"/>
      <c r="AV357" s="146"/>
      <c r="AW357" s="146"/>
      <c r="AX357" s="146"/>
      <c r="AY357" s="146"/>
      <c r="AZ357" s="146"/>
      <c r="BA357" s="146"/>
      <c r="BB357" s="146"/>
      <c r="BC357" s="146"/>
      <c r="BD357" s="146"/>
      <c r="BE357" s="130"/>
      <c r="BF357" s="128"/>
      <c r="BG357" s="128"/>
      <c r="BH357" s="128"/>
      <c r="BI357" s="128"/>
      <c r="BJ357" s="128"/>
    </row>
    <row r="358" spans="1:62" ht="15" customHeight="1">
      <c r="A358" s="128" t="s">
        <v>653</v>
      </c>
      <c r="B358" s="140"/>
      <c r="C358" s="140"/>
      <c r="D358" s="146"/>
      <c r="E358" s="140"/>
      <c r="F358" s="143"/>
      <c r="G358" s="174"/>
      <c r="H358" s="174"/>
      <c r="I358" s="174"/>
      <c r="J358" s="140"/>
      <c r="K358" s="140"/>
      <c r="L358" s="140"/>
      <c r="M358" s="140"/>
      <c r="N358" s="143"/>
      <c r="O358" s="140"/>
      <c r="P358" s="140"/>
      <c r="Q358" s="140"/>
      <c r="R358" s="140"/>
      <c r="S358" s="174"/>
      <c r="T358" s="174"/>
      <c r="U358" s="174"/>
      <c r="V358" s="174"/>
      <c r="W358" s="174"/>
      <c r="X358" s="174"/>
      <c r="Y358" s="140"/>
      <c r="Z358" s="196"/>
      <c r="AA358" s="196"/>
      <c r="AB358" s="196"/>
      <c r="AC358" s="196"/>
      <c r="AD358" s="196"/>
      <c r="AE358" s="196"/>
      <c r="AF358" s="196"/>
      <c r="AG358" s="196"/>
      <c r="AH358" s="196"/>
      <c r="AI358" s="196"/>
      <c r="AJ358" s="128"/>
      <c r="AK358" s="128"/>
      <c r="AL358" s="128"/>
      <c r="AM358" s="128"/>
      <c r="AN358" s="128"/>
      <c r="AO358" s="130"/>
      <c r="AP358" s="130"/>
      <c r="AQ358" s="130"/>
      <c r="AR358" s="130"/>
      <c r="AS358" s="130"/>
      <c r="AT358" s="239"/>
      <c r="AU358" s="239"/>
      <c r="AV358" s="239"/>
      <c r="AW358" s="239"/>
      <c r="AX358" s="239"/>
      <c r="AY358" s="239"/>
      <c r="AZ358" s="239"/>
      <c r="BA358" s="239"/>
      <c r="BB358" s="239"/>
      <c r="BC358" s="239"/>
      <c r="BD358" s="239"/>
      <c r="BE358" s="130"/>
      <c r="BF358" s="128"/>
      <c r="BG358" s="128"/>
      <c r="BH358" s="128"/>
      <c r="BI358" s="128"/>
      <c r="BJ358" s="128"/>
    </row>
    <row r="359" spans="1:62" ht="4.5" customHeight="1">
      <c r="A359" s="128"/>
      <c r="B359" s="140"/>
      <c r="C359" s="140"/>
      <c r="D359" s="146"/>
      <c r="E359" s="140"/>
      <c r="F359" s="143"/>
      <c r="G359" s="174"/>
      <c r="H359" s="174"/>
      <c r="I359" s="174"/>
      <c r="J359" s="140"/>
      <c r="K359" s="140"/>
      <c r="L359" s="140"/>
      <c r="M359" s="140"/>
      <c r="N359" s="143"/>
      <c r="O359" s="140"/>
      <c r="P359" s="140"/>
      <c r="Q359" s="140"/>
      <c r="R359" s="140"/>
      <c r="S359" s="174"/>
      <c r="T359" s="174"/>
      <c r="U359" s="174"/>
      <c r="V359" s="174"/>
      <c r="W359" s="174"/>
      <c r="X359" s="174"/>
      <c r="Y359" s="140"/>
      <c r="Z359" s="196"/>
      <c r="AA359" s="196"/>
      <c r="AB359" s="196"/>
      <c r="AC359" s="196"/>
      <c r="AD359" s="196"/>
      <c r="AE359" s="196"/>
      <c r="AF359" s="196"/>
      <c r="AG359" s="196"/>
      <c r="AH359" s="196"/>
      <c r="AI359" s="196"/>
      <c r="AJ359" s="128"/>
      <c r="AK359" s="128"/>
      <c r="AL359" s="128"/>
      <c r="AM359" s="128"/>
      <c r="AN359" s="128"/>
      <c r="AO359" s="130"/>
      <c r="AP359" s="130"/>
      <c r="AQ359" s="130"/>
      <c r="AR359" s="130"/>
      <c r="AS359" s="130"/>
      <c r="AT359" s="130"/>
      <c r="AU359" s="130"/>
      <c r="AV359" s="130"/>
      <c r="AW359" s="130"/>
      <c r="AX359" s="128"/>
      <c r="AY359" s="130"/>
      <c r="AZ359" s="130"/>
      <c r="BA359" s="130"/>
      <c r="BB359" s="130"/>
      <c r="BC359" s="130"/>
      <c r="BD359" s="130"/>
      <c r="BE359" s="130"/>
      <c r="BF359" s="128"/>
      <c r="BG359" s="128"/>
      <c r="BH359" s="128"/>
      <c r="BI359" s="128"/>
      <c r="BJ359" s="128"/>
    </row>
    <row r="360" spans="1:62" ht="15" customHeight="1">
      <c r="A360" s="128" t="s">
        <v>676</v>
      </c>
      <c r="B360" s="128"/>
      <c r="C360" s="162" t="s">
        <v>641</v>
      </c>
      <c r="D360" s="128" t="s">
        <v>677</v>
      </c>
      <c r="E360" s="128"/>
      <c r="F360" s="146" t="s">
        <v>316</v>
      </c>
      <c r="G360" s="128" t="s">
        <v>678</v>
      </c>
      <c r="H360" s="137"/>
      <c r="I360" s="146" t="s">
        <v>448</v>
      </c>
      <c r="J360" s="128" t="s">
        <v>679</v>
      </c>
      <c r="K360" s="128"/>
      <c r="L360" s="128"/>
      <c r="M360" s="128"/>
      <c r="N360" s="240"/>
      <c r="O360" s="128" t="s">
        <v>676</v>
      </c>
      <c r="P360" s="128"/>
      <c r="Q360" s="162" t="s">
        <v>641</v>
      </c>
      <c r="R360" s="730">
        <f>AU330</f>
        <v>0</v>
      </c>
      <c r="S360" s="707"/>
      <c r="T360" s="707"/>
      <c r="U360" s="174" t="s">
        <v>316</v>
      </c>
      <c r="V360" s="730">
        <f>AU324</f>
        <v>43.174933133801055</v>
      </c>
      <c r="W360" s="707"/>
      <c r="X360" s="707"/>
      <c r="Y360" s="140" t="s">
        <v>262</v>
      </c>
      <c r="Z360" s="721">
        <f>R360+V360</f>
        <v>43.174933133801055</v>
      </c>
      <c r="AA360" s="707"/>
      <c r="AB360" s="707"/>
      <c r="AC360" s="146" t="s">
        <v>448</v>
      </c>
      <c r="AD360" s="721">
        <f>$AH$304</f>
        <v>205</v>
      </c>
      <c r="AE360" s="707"/>
      <c r="AF360" s="707"/>
      <c r="AG360" s="730" t="s">
        <v>406</v>
      </c>
      <c r="AH360" s="707"/>
      <c r="AI360" s="707"/>
      <c r="AJ360" s="707"/>
      <c r="AK360" s="128"/>
      <c r="AL360" s="128"/>
      <c r="AM360" s="128"/>
      <c r="AN360" s="128"/>
      <c r="AO360" s="130"/>
      <c r="AP360" s="725" t="str">
        <f>IF(Z360&lt;=AD360,"UYGUNDUR.","UYGUN DEĞİLDİR.")</f>
        <v>UYGUNDUR.</v>
      </c>
      <c r="AQ360" s="710"/>
      <c r="AR360" s="710"/>
      <c r="AS360" s="710"/>
      <c r="AT360" s="710"/>
      <c r="AU360" s="710"/>
      <c r="AV360" s="710"/>
      <c r="AW360" s="710"/>
      <c r="AX360" s="710"/>
      <c r="AY360" s="583"/>
      <c r="AZ360" s="130"/>
      <c r="BA360" s="130"/>
      <c r="BB360" s="130"/>
      <c r="BC360" s="130"/>
      <c r="BD360" s="130"/>
      <c r="BE360" s="130"/>
      <c r="BF360" s="128"/>
      <c r="BG360" s="128"/>
      <c r="BH360" s="128"/>
      <c r="BI360" s="128"/>
      <c r="BJ360" s="128"/>
    </row>
    <row r="361" spans="1:62" ht="4.5" customHeight="1">
      <c r="A361" s="146"/>
      <c r="B361" s="140"/>
      <c r="C361" s="140"/>
      <c r="D361" s="146"/>
      <c r="E361" s="140"/>
      <c r="F361" s="143"/>
      <c r="G361" s="174"/>
      <c r="H361" s="174"/>
      <c r="I361" s="174"/>
      <c r="J361" s="140"/>
      <c r="K361" s="140"/>
      <c r="L361" s="140"/>
      <c r="M361" s="140"/>
      <c r="N361" s="143"/>
      <c r="O361" s="140"/>
      <c r="P361" s="140"/>
      <c r="Q361" s="140"/>
      <c r="R361" s="140"/>
      <c r="S361" s="174"/>
      <c r="T361" s="174"/>
      <c r="U361" s="174"/>
      <c r="V361" s="174"/>
      <c r="W361" s="174"/>
      <c r="X361" s="174"/>
      <c r="Y361" s="140"/>
      <c r="Z361" s="196"/>
      <c r="AA361" s="196"/>
      <c r="AB361" s="196"/>
      <c r="AC361" s="171"/>
      <c r="AD361" s="171"/>
      <c r="AE361" s="171"/>
      <c r="AF361" s="171"/>
      <c r="AG361" s="196"/>
      <c r="AH361" s="196"/>
      <c r="AI361" s="196"/>
      <c r="AJ361" s="128"/>
      <c r="AK361" s="128"/>
      <c r="AL361" s="128"/>
      <c r="AM361" s="128"/>
      <c r="AN361" s="128"/>
      <c r="AO361" s="130"/>
      <c r="AP361" s="130"/>
      <c r="AQ361" s="130"/>
      <c r="AR361" s="130"/>
      <c r="AS361" s="130"/>
      <c r="AT361" s="130"/>
      <c r="AU361" s="130"/>
      <c r="AV361" s="130"/>
      <c r="AW361" s="130"/>
      <c r="AX361" s="128"/>
      <c r="AY361" s="130"/>
      <c r="AZ361" s="130"/>
      <c r="BA361" s="130"/>
      <c r="BB361" s="130"/>
      <c r="BC361" s="130"/>
      <c r="BD361" s="130"/>
      <c r="BE361" s="130"/>
      <c r="BF361" s="128"/>
      <c r="BG361" s="128"/>
      <c r="BH361" s="128"/>
      <c r="BI361" s="128"/>
      <c r="BJ361" s="128"/>
    </row>
    <row r="362" spans="1:62" ht="15" customHeight="1">
      <c r="A362" s="722" t="s">
        <v>680</v>
      </c>
      <c r="B362" s="707"/>
      <c r="C362" s="721" t="s">
        <v>681</v>
      </c>
      <c r="D362" s="707"/>
      <c r="E362" s="730" t="s">
        <v>316</v>
      </c>
      <c r="F362" s="738" t="s">
        <v>682</v>
      </c>
      <c r="G362" s="724"/>
      <c r="H362" s="724"/>
      <c r="I362" s="724"/>
      <c r="J362" s="724"/>
      <c r="K362" s="724"/>
      <c r="L362" s="721" t="s">
        <v>448</v>
      </c>
      <c r="M362" s="722" t="s">
        <v>679</v>
      </c>
      <c r="N362" s="707"/>
      <c r="O362" s="707"/>
      <c r="P362" s="140"/>
      <c r="Q362" s="722" t="s">
        <v>680</v>
      </c>
      <c r="R362" s="707"/>
      <c r="S362" s="730">
        <f>Z360</f>
        <v>43.174933133801055</v>
      </c>
      <c r="T362" s="707"/>
      <c r="U362" s="707"/>
      <c r="V362" s="730" t="s">
        <v>316</v>
      </c>
      <c r="W362" s="206" t="s">
        <v>413</v>
      </c>
      <c r="X362" s="723">
        <f>AU351</f>
        <v>17945.511480000001</v>
      </c>
      <c r="Y362" s="724"/>
      <c r="Z362" s="724"/>
      <c r="AA362" s="724"/>
      <c r="AB362" s="234" t="s">
        <v>316</v>
      </c>
      <c r="AC362" s="751">
        <v>1.2</v>
      </c>
      <c r="AD362" s="724"/>
      <c r="AE362" s="235" t="s">
        <v>357</v>
      </c>
      <c r="AF362" s="738">
        <f>$AH$292</f>
        <v>150</v>
      </c>
      <c r="AG362" s="724"/>
      <c r="AH362" s="235" t="s">
        <v>414</v>
      </c>
      <c r="AI362" s="730" t="s">
        <v>262</v>
      </c>
      <c r="AJ362" s="734">
        <f>(X362+(AC362*AF362))/W363+S362</f>
        <v>54.668599259355908</v>
      </c>
      <c r="AK362" s="707"/>
      <c r="AL362" s="707"/>
      <c r="AM362" s="721" t="s">
        <v>448</v>
      </c>
      <c r="AN362" s="721">
        <f>$AH$304</f>
        <v>205</v>
      </c>
      <c r="AO362" s="707"/>
      <c r="AP362" s="707"/>
      <c r="AQ362" s="735" t="s">
        <v>406</v>
      </c>
      <c r="AR362" s="707"/>
      <c r="AS362" s="707"/>
      <c r="AT362" s="707"/>
      <c r="AU362" s="128"/>
      <c r="AV362" s="725" t="str">
        <f>IF(AJ362&lt;=AN362,"UYGUNDUR.","UYGUN DEĞİLDİR.")</f>
        <v>UYGUNDUR.</v>
      </c>
      <c r="AW362" s="637"/>
      <c r="AX362" s="637"/>
      <c r="AY362" s="637"/>
      <c r="AZ362" s="637"/>
      <c r="BA362" s="637"/>
      <c r="BB362" s="637"/>
      <c r="BC362" s="637"/>
      <c r="BD362" s="637"/>
      <c r="BE362" s="690"/>
      <c r="BF362" s="128"/>
      <c r="BG362" s="128"/>
      <c r="BH362" s="128"/>
      <c r="BI362" s="128"/>
      <c r="BJ362" s="128"/>
    </row>
    <row r="363" spans="1:62" ht="15" customHeight="1">
      <c r="A363" s="707"/>
      <c r="B363" s="707"/>
      <c r="C363" s="707"/>
      <c r="D363" s="707"/>
      <c r="E363" s="707"/>
      <c r="F363" s="721" t="s">
        <v>397</v>
      </c>
      <c r="G363" s="707"/>
      <c r="H363" s="707"/>
      <c r="I363" s="707"/>
      <c r="J363" s="707"/>
      <c r="K363" s="707"/>
      <c r="L363" s="707"/>
      <c r="M363" s="707"/>
      <c r="N363" s="707"/>
      <c r="O363" s="707"/>
      <c r="P363" s="140"/>
      <c r="Q363" s="707"/>
      <c r="R363" s="707"/>
      <c r="S363" s="707"/>
      <c r="T363" s="707"/>
      <c r="U363" s="707"/>
      <c r="V363" s="707"/>
      <c r="W363" s="742">
        <f>VLOOKUP('Veri Girişi'!$E$73,TABLOLAR!$I$60:$S$65,3,0)</f>
        <v>1577</v>
      </c>
      <c r="X363" s="637"/>
      <c r="Y363" s="637"/>
      <c r="Z363" s="637"/>
      <c r="AA363" s="637"/>
      <c r="AB363" s="637"/>
      <c r="AC363" s="637"/>
      <c r="AD363" s="637"/>
      <c r="AE363" s="637"/>
      <c r="AF363" s="637"/>
      <c r="AG363" s="637"/>
      <c r="AH363" s="637"/>
      <c r="AI363" s="707"/>
      <c r="AJ363" s="707"/>
      <c r="AK363" s="707"/>
      <c r="AL363" s="707"/>
      <c r="AM363" s="707"/>
      <c r="AN363" s="707"/>
      <c r="AO363" s="707"/>
      <c r="AP363" s="707"/>
      <c r="AQ363" s="707"/>
      <c r="AR363" s="707"/>
      <c r="AS363" s="707"/>
      <c r="AT363" s="707"/>
      <c r="AU363" s="130"/>
      <c r="AV363" s="726"/>
      <c r="AW363" s="724"/>
      <c r="AX363" s="724"/>
      <c r="AY363" s="724"/>
      <c r="AZ363" s="724"/>
      <c r="BA363" s="724"/>
      <c r="BB363" s="724"/>
      <c r="BC363" s="724"/>
      <c r="BD363" s="724"/>
      <c r="BE363" s="727"/>
      <c r="BF363" s="128"/>
      <c r="BG363" s="128"/>
      <c r="BH363" s="128"/>
      <c r="BI363" s="128"/>
      <c r="BJ363" s="128"/>
    </row>
    <row r="364" spans="1:62" ht="4.5" customHeight="1">
      <c r="A364" s="146"/>
      <c r="B364" s="140"/>
      <c r="C364" s="140"/>
      <c r="D364" s="146"/>
      <c r="E364" s="140"/>
      <c r="F364" s="143"/>
      <c r="G364" s="174"/>
      <c r="H364" s="174"/>
      <c r="I364" s="174"/>
      <c r="J364" s="140"/>
      <c r="K364" s="140"/>
      <c r="L364" s="140"/>
      <c r="M364" s="140"/>
      <c r="N364" s="143"/>
      <c r="O364" s="140"/>
      <c r="P364" s="140"/>
      <c r="Q364" s="140"/>
      <c r="R364" s="140"/>
      <c r="S364" s="174"/>
      <c r="T364" s="174"/>
      <c r="U364" s="174"/>
      <c r="V364" s="174"/>
      <c r="W364" s="174"/>
      <c r="X364" s="174"/>
      <c r="Y364" s="140"/>
      <c r="Z364" s="196"/>
      <c r="AA364" s="196"/>
      <c r="AB364" s="196"/>
      <c r="AC364" s="196"/>
      <c r="AD364" s="196"/>
      <c r="AE364" s="196"/>
      <c r="AF364" s="196"/>
      <c r="AG364" s="196"/>
      <c r="AH364" s="196"/>
      <c r="AI364" s="196"/>
      <c r="AJ364" s="128"/>
      <c r="AK364" s="128"/>
      <c r="AL364" s="128"/>
      <c r="AM364" s="128"/>
      <c r="AN364" s="128"/>
      <c r="AO364" s="130"/>
      <c r="AP364" s="130"/>
      <c r="AQ364" s="130"/>
      <c r="AR364" s="130"/>
      <c r="AS364" s="130"/>
      <c r="AT364" s="130"/>
      <c r="AU364" s="130"/>
      <c r="AV364" s="130"/>
      <c r="AW364" s="130"/>
      <c r="AX364" s="128"/>
      <c r="AY364" s="130"/>
      <c r="AZ364" s="130"/>
      <c r="BA364" s="130"/>
      <c r="BB364" s="130"/>
      <c r="BC364" s="130"/>
      <c r="BD364" s="130"/>
      <c r="BE364" s="130"/>
      <c r="BF364" s="128"/>
      <c r="BG364" s="128"/>
      <c r="BH364" s="128"/>
      <c r="BI364" s="128"/>
      <c r="BJ364" s="128"/>
    </row>
    <row r="365" spans="1:62" ht="15" customHeight="1">
      <c r="A365" s="728" t="s">
        <v>676</v>
      </c>
      <c r="B365" s="707"/>
      <c r="C365" s="128" t="s">
        <v>262</v>
      </c>
      <c r="D365" s="128" t="s">
        <v>673</v>
      </c>
      <c r="E365" s="128"/>
      <c r="F365" s="128" t="s">
        <v>316</v>
      </c>
      <c r="G365" s="128" t="s">
        <v>683</v>
      </c>
      <c r="H365" s="128"/>
      <c r="I365" s="128"/>
      <c r="J365" s="128" t="s">
        <v>681</v>
      </c>
      <c r="K365" s="173"/>
      <c r="L365" s="146" t="s">
        <v>448</v>
      </c>
      <c r="M365" s="128" t="s">
        <v>679</v>
      </c>
      <c r="N365" s="128"/>
      <c r="O365" s="128"/>
      <c r="P365" s="128"/>
      <c r="Q365" s="737" t="s">
        <v>676</v>
      </c>
      <c r="R365" s="707"/>
      <c r="S365" s="128" t="s">
        <v>262</v>
      </c>
      <c r="T365" s="730">
        <f>AL354</f>
        <v>46.630972951904312</v>
      </c>
      <c r="U365" s="707"/>
      <c r="V365" s="707"/>
      <c r="W365" s="174" t="s">
        <v>316</v>
      </c>
      <c r="X365" s="730">
        <v>0.9</v>
      </c>
      <c r="Y365" s="707"/>
      <c r="Z365" s="174" t="s">
        <v>357</v>
      </c>
      <c r="AA365" s="730">
        <f>Z360</f>
        <v>43.174933133801055</v>
      </c>
      <c r="AB365" s="707"/>
      <c r="AC365" s="707"/>
      <c r="AD365" s="164" t="s">
        <v>262</v>
      </c>
      <c r="AE365" s="734">
        <f>T365+(X365*AA365)</f>
        <v>85.488412772325262</v>
      </c>
      <c r="AF365" s="707"/>
      <c r="AG365" s="707"/>
      <c r="AH365" s="730" t="s">
        <v>406</v>
      </c>
      <c r="AI365" s="707"/>
      <c r="AJ365" s="707"/>
      <c r="AK365" s="707"/>
      <c r="AL365" s="146" t="s">
        <v>448</v>
      </c>
      <c r="AM365" s="721">
        <f>AH304</f>
        <v>205</v>
      </c>
      <c r="AN365" s="707"/>
      <c r="AO365" s="707"/>
      <c r="AP365" s="730" t="s">
        <v>406</v>
      </c>
      <c r="AQ365" s="707"/>
      <c r="AR365" s="707"/>
      <c r="AS365" s="707"/>
      <c r="AT365" s="128"/>
      <c r="AU365" s="128"/>
      <c r="AV365" s="725" t="str">
        <f>IF(AE365&lt;=AM365,"UYGUNDUR.","UYGUN DEĞİLDİR.")</f>
        <v>UYGUNDUR.</v>
      </c>
      <c r="AW365" s="710"/>
      <c r="AX365" s="710"/>
      <c r="AY365" s="710"/>
      <c r="AZ365" s="710"/>
      <c r="BA365" s="710"/>
      <c r="BB365" s="710"/>
      <c r="BC365" s="710"/>
      <c r="BD365" s="710"/>
      <c r="BE365" s="583"/>
      <c r="BF365" s="128"/>
      <c r="BG365" s="128"/>
      <c r="BH365" s="128"/>
      <c r="BI365" s="128"/>
      <c r="BJ365" s="128"/>
    </row>
    <row r="366" spans="1:62" ht="4.5" customHeight="1">
      <c r="A366" s="146"/>
      <c r="B366" s="140"/>
      <c r="C366" s="140"/>
      <c r="D366" s="146"/>
      <c r="E366" s="140"/>
      <c r="F366" s="143"/>
      <c r="G366" s="174"/>
      <c r="H366" s="174"/>
      <c r="I366" s="174"/>
      <c r="J366" s="140"/>
      <c r="K366" s="140"/>
      <c r="L366" s="140"/>
      <c r="M366" s="140"/>
      <c r="N366" s="143"/>
      <c r="O366" s="140"/>
      <c r="P366" s="140"/>
      <c r="Q366" s="140"/>
      <c r="R366" s="140"/>
      <c r="S366" s="174"/>
      <c r="T366" s="174"/>
      <c r="U366" s="174"/>
      <c r="V366" s="174"/>
      <c r="W366" s="174"/>
      <c r="X366" s="174"/>
      <c r="Y366" s="140"/>
      <c r="Z366" s="196"/>
      <c r="AA366" s="196"/>
      <c r="AB366" s="196"/>
      <c r="AC366" s="196"/>
      <c r="AD366" s="196"/>
      <c r="AE366" s="196"/>
      <c r="AF366" s="196"/>
      <c r="AG366" s="196"/>
      <c r="AH366" s="196"/>
      <c r="AI366" s="196"/>
      <c r="AJ366" s="128"/>
      <c r="AK366" s="128"/>
      <c r="AL366" s="128"/>
      <c r="AM366" s="128"/>
      <c r="AN366" s="128"/>
      <c r="AO366" s="130"/>
      <c r="AP366" s="130"/>
      <c r="AQ366" s="130"/>
      <c r="AR366" s="130"/>
      <c r="AS366" s="130"/>
      <c r="AT366" s="130"/>
      <c r="AU366" s="130"/>
      <c r="AV366" s="130"/>
      <c r="AW366" s="130"/>
      <c r="AX366" s="128"/>
      <c r="AY366" s="130"/>
      <c r="AZ366" s="130"/>
      <c r="BA366" s="130"/>
      <c r="BB366" s="130"/>
      <c r="BC366" s="130"/>
      <c r="BD366" s="130"/>
      <c r="BE366" s="130"/>
      <c r="BF366" s="128"/>
      <c r="BG366" s="128"/>
      <c r="BH366" s="128"/>
      <c r="BI366" s="128"/>
      <c r="BJ366" s="128"/>
    </row>
    <row r="367" spans="1:62" ht="15" customHeight="1">
      <c r="A367" s="128" t="s">
        <v>667</v>
      </c>
      <c r="B367" s="140"/>
      <c r="C367" s="140"/>
      <c r="D367" s="146"/>
      <c r="E367" s="140"/>
      <c r="F367" s="143"/>
      <c r="G367" s="174"/>
      <c r="H367" s="174"/>
      <c r="I367" s="174"/>
      <c r="J367" s="140"/>
      <c r="K367" s="140"/>
      <c r="L367" s="140"/>
      <c r="M367" s="140"/>
      <c r="N367" s="143"/>
      <c r="O367" s="140"/>
      <c r="P367" s="140"/>
      <c r="Q367" s="140"/>
      <c r="R367" s="140"/>
      <c r="S367" s="174"/>
      <c r="T367" s="174"/>
      <c r="U367" s="174"/>
      <c r="V367" s="174"/>
      <c r="W367" s="174"/>
      <c r="X367" s="174"/>
      <c r="Y367" s="140"/>
      <c r="Z367" s="196"/>
      <c r="AA367" s="196"/>
      <c r="AB367" s="196"/>
      <c r="AC367" s="196"/>
      <c r="AD367" s="196"/>
      <c r="AE367" s="196"/>
      <c r="AF367" s="196"/>
      <c r="AG367" s="196"/>
      <c r="AH367" s="196"/>
      <c r="AI367" s="196"/>
      <c r="AJ367" s="128"/>
      <c r="AK367" s="128"/>
      <c r="AL367" s="128"/>
      <c r="AM367" s="128"/>
      <c r="AN367" s="128"/>
      <c r="AO367" s="130"/>
      <c r="AP367" s="130"/>
      <c r="AQ367" s="130"/>
      <c r="AR367" s="130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239"/>
      <c r="BD367" s="239"/>
      <c r="BE367" s="130"/>
      <c r="BF367" s="128"/>
      <c r="BG367" s="128"/>
      <c r="BH367" s="128"/>
      <c r="BI367" s="128"/>
      <c r="BJ367" s="128"/>
    </row>
    <row r="368" spans="1:62" ht="4.5" customHeight="1">
      <c r="A368" s="128"/>
      <c r="B368" s="140"/>
      <c r="C368" s="140"/>
      <c r="D368" s="146"/>
      <c r="E368" s="140"/>
      <c r="F368" s="143"/>
      <c r="G368" s="174"/>
      <c r="H368" s="174"/>
      <c r="I368" s="174"/>
      <c r="J368" s="140"/>
      <c r="K368" s="140"/>
      <c r="L368" s="140"/>
      <c r="M368" s="140"/>
      <c r="N368" s="143"/>
      <c r="O368" s="140"/>
      <c r="P368" s="140"/>
      <c r="Q368" s="140"/>
      <c r="R368" s="140"/>
      <c r="S368" s="174"/>
      <c r="T368" s="174"/>
      <c r="U368" s="174"/>
      <c r="V368" s="174"/>
      <c r="W368" s="174"/>
      <c r="X368" s="174"/>
      <c r="Y368" s="140"/>
      <c r="Z368" s="196"/>
      <c r="AA368" s="196"/>
      <c r="AB368" s="196"/>
      <c r="AC368" s="196"/>
      <c r="AD368" s="196"/>
      <c r="AE368" s="196"/>
      <c r="AF368" s="196"/>
      <c r="AG368" s="196"/>
      <c r="AH368" s="196"/>
      <c r="AI368" s="196"/>
      <c r="AJ368" s="128"/>
      <c r="AK368" s="128"/>
      <c r="AL368" s="128"/>
      <c r="AM368" s="128"/>
      <c r="AN368" s="128"/>
      <c r="AO368" s="130"/>
      <c r="AP368" s="130"/>
      <c r="AQ368" s="130"/>
      <c r="AR368" s="130"/>
      <c r="AS368" s="130"/>
      <c r="AT368" s="130"/>
      <c r="AU368" s="130"/>
      <c r="AV368" s="130"/>
      <c r="AW368" s="130"/>
      <c r="AX368" s="128"/>
      <c r="AY368" s="130"/>
      <c r="AZ368" s="130"/>
      <c r="BA368" s="130"/>
      <c r="BB368" s="130"/>
      <c r="BC368" s="130"/>
      <c r="BD368" s="130"/>
      <c r="BE368" s="130"/>
      <c r="BF368" s="128"/>
      <c r="BG368" s="128"/>
      <c r="BH368" s="128"/>
      <c r="BI368" s="128"/>
      <c r="BJ368" s="128"/>
    </row>
    <row r="369" spans="1:62" ht="15" customHeight="1">
      <c r="A369" s="128" t="s">
        <v>676</v>
      </c>
      <c r="B369" s="128"/>
      <c r="C369" s="162" t="s">
        <v>641</v>
      </c>
      <c r="D369" s="128" t="s">
        <v>677</v>
      </c>
      <c r="E369" s="128"/>
      <c r="F369" s="128" t="s">
        <v>316</v>
      </c>
      <c r="G369" s="128" t="s">
        <v>678</v>
      </c>
      <c r="H369" s="137"/>
      <c r="I369" s="146" t="s">
        <v>448</v>
      </c>
      <c r="J369" s="128" t="s">
        <v>679</v>
      </c>
      <c r="K369" s="128"/>
      <c r="L369" s="128"/>
      <c r="M369" s="128"/>
      <c r="N369" s="240"/>
      <c r="O369" s="128" t="s">
        <v>676</v>
      </c>
      <c r="P369" s="128"/>
      <c r="Q369" s="162" t="s">
        <v>641</v>
      </c>
      <c r="R369" s="730">
        <f>AU347</f>
        <v>32.798857347817176</v>
      </c>
      <c r="S369" s="707"/>
      <c r="T369" s="707"/>
      <c r="U369" s="174" t="s">
        <v>316</v>
      </c>
      <c r="V369" s="730">
        <f>AU338</f>
        <v>7.4914622709228</v>
      </c>
      <c r="W369" s="707"/>
      <c r="X369" s="707"/>
      <c r="Y369" s="140" t="s">
        <v>262</v>
      </c>
      <c r="Z369" s="721">
        <f>R369+V369</f>
        <v>40.290319618739979</v>
      </c>
      <c r="AA369" s="707"/>
      <c r="AB369" s="707"/>
      <c r="AC369" s="146" t="s">
        <v>448</v>
      </c>
      <c r="AD369" s="721">
        <f>$AH$304</f>
        <v>205</v>
      </c>
      <c r="AE369" s="707"/>
      <c r="AF369" s="707"/>
      <c r="AG369" s="730" t="s">
        <v>406</v>
      </c>
      <c r="AH369" s="707"/>
      <c r="AI369" s="707"/>
      <c r="AJ369" s="707"/>
      <c r="AK369" s="128"/>
      <c r="AL369" s="128"/>
      <c r="AM369" s="128"/>
      <c r="AN369" s="128"/>
      <c r="AO369" s="130"/>
      <c r="AP369" s="725" t="str">
        <f>IF(Z369&lt;=AD369,"UYGUNDUR.","UYGUN DEĞİLDİR.")</f>
        <v>UYGUNDUR.</v>
      </c>
      <c r="AQ369" s="710"/>
      <c r="AR369" s="710"/>
      <c r="AS369" s="710"/>
      <c r="AT369" s="710"/>
      <c r="AU369" s="710"/>
      <c r="AV369" s="710"/>
      <c r="AW369" s="710"/>
      <c r="AX369" s="710"/>
      <c r="AY369" s="583"/>
      <c r="AZ369" s="130"/>
      <c r="BA369" s="130"/>
      <c r="BB369" s="130"/>
      <c r="BC369" s="130"/>
      <c r="BD369" s="130"/>
      <c r="BE369" s="130"/>
      <c r="BF369" s="128"/>
      <c r="BG369" s="128"/>
      <c r="BH369" s="128"/>
      <c r="BI369" s="128"/>
      <c r="BJ369" s="128"/>
    </row>
    <row r="370" spans="1:62" ht="4.5" customHeight="1">
      <c r="A370" s="146"/>
      <c r="B370" s="140"/>
      <c r="C370" s="140"/>
      <c r="D370" s="146"/>
      <c r="E370" s="140"/>
      <c r="F370" s="143"/>
      <c r="G370" s="174"/>
      <c r="H370" s="174"/>
      <c r="I370" s="174"/>
      <c r="J370" s="140"/>
      <c r="K370" s="140"/>
      <c r="L370" s="140"/>
      <c r="M370" s="140"/>
      <c r="N370" s="143"/>
      <c r="O370" s="140"/>
      <c r="P370" s="140"/>
      <c r="Q370" s="140"/>
      <c r="R370" s="140"/>
      <c r="S370" s="174"/>
      <c r="T370" s="174"/>
      <c r="U370" s="174"/>
      <c r="V370" s="174"/>
      <c r="W370" s="174"/>
      <c r="X370" s="174"/>
      <c r="Y370" s="140"/>
      <c r="Z370" s="196"/>
      <c r="AA370" s="196"/>
      <c r="AB370" s="196"/>
      <c r="AC370" s="171"/>
      <c r="AD370" s="171"/>
      <c r="AE370" s="171"/>
      <c r="AF370" s="171"/>
      <c r="AG370" s="196"/>
      <c r="AH370" s="196"/>
      <c r="AI370" s="196"/>
      <c r="AJ370" s="128"/>
      <c r="AK370" s="128"/>
      <c r="AL370" s="128"/>
      <c r="AM370" s="128"/>
      <c r="AN370" s="128"/>
      <c r="AO370" s="130"/>
      <c r="AP370" s="130"/>
      <c r="AQ370" s="130"/>
      <c r="AR370" s="130"/>
      <c r="AS370" s="130"/>
      <c r="AT370" s="130"/>
      <c r="AU370" s="130"/>
      <c r="AV370" s="130"/>
      <c r="AW370" s="130"/>
      <c r="AX370" s="128"/>
      <c r="AY370" s="130"/>
      <c r="AZ370" s="130"/>
      <c r="BA370" s="130"/>
      <c r="BB370" s="130"/>
      <c r="BC370" s="130"/>
      <c r="BD370" s="130"/>
      <c r="BE370" s="130"/>
      <c r="BF370" s="128"/>
      <c r="BG370" s="128"/>
      <c r="BH370" s="128"/>
      <c r="BI370" s="128"/>
      <c r="BJ370" s="128"/>
    </row>
    <row r="371" spans="1:62" ht="15" customHeight="1">
      <c r="A371" s="722" t="s">
        <v>680</v>
      </c>
      <c r="B371" s="707"/>
      <c r="C371" s="721" t="s">
        <v>681</v>
      </c>
      <c r="D371" s="707"/>
      <c r="E371" s="730" t="s">
        <v>316</v>
      </c>
      <c r="F371" s="738" t="s">
        <v>682</v>
      </c>
      <c r="G371" s="724"/>
      <c r="H371" s="724"/>
      <c r="I371" s="724"/>
      <c r="J371" s="724"/>
      <c r="K371" s="724"/>
      <c r="L371" s="721" t="s">
        <v>448</v>
      </c>
      <c r="M371" s="722" t="s">
        <v>679</v>
      </c>
      <c r="N371" s="707"/>
      <c r="O371" s="707"/>
      <c r="P371" s="140"/>
      <c r="Q371" s="722" t="s">
        <v>680</v>
      </c>
      <c r="R371" s="707"/>
      <c r="S371" s="730">
        <f>Z369</f>
        <v>40.290319618739979</v>
      </c>
      <c r="T371" s="707"/>
      <c r="U371" s="707"/>
      <c r="V371" s="730" t="s">
        <v>316</v>
      </c>
      <c r="W371" s="206" t="s">
        <v>413</v>
      </c>
      <c r="X371" s="723">
        <f>AU351</f>
        <v>17945.511480000001</v>
      </c>
      <c r="Y371" s="724"/>
      <c r="Z371" s="724"/>
      <c r="AA371" s="724"/>
      <c r="AB371" s="234" t="s">
        <v>316</v>
      </c>
      <c r="AC371" s="751">
        <v>1.2</v>
      </c>
      <c r="AD371" s="724"/>
      <c r="AE371" s="235" t="s">
        <v>357</v>
      </c>
      <c r="AF371" s="738">
        <f>$AH$292</f>
        <v>150</v>
      </c>
      <c r="AG371" s="724"/>
      <c r="AH371" s="235" t="s">
        <v>414</v>
      </c>
      <c r="AI371" s="730" t="s">
        <v>262</v>
      </c>
      <c r="AJ371" s="734">
        <f>(X371+(AC371*AF371))/W372+S371</f>
        <v>51.783985744294831</v>
      </c>
      <c r="AK371" s="707"/>
      <c r="AL371" s="707"/>
      <c r="AM371" s="721" t="s">
        <v>448</v>
      </c>
      <c r="AN371" s="721">
        <f>$AH$304</f>
        <v>205</v>
      </c>
      <c r="AO371" s="707"/>
      <c r="AP371" s="707"/>
      <c r="AQ371" s="735" t="s">
        <v>406</v>
      </c>
      <c r="AR371" s="707"/>
      <c r="AS371" s="707"/>
      <c r="AT371" s="707"/>
      <c r="AU371" s="128"/>
      <c r="AV371" s="725" t="str">
        <f>IF(AJ371&lt;=AN371,"UYGUNDUR.","UYGUN DEĞİLDİR.")</f>
        <v>UYGUNDUR.</v>
      </c>
      <c r="AW371" s="637"/>
      <c r="AX371" s="637"/>
      <c r="AY371" s="637"/>
      <c r="AZ371" s="637"/>
      <c r="BA371" s="637"/>
      <c r="BB371" s="637"/>
      <c r="BC371" s="637"/>
      <c r="BD371" s="637"/>
      <c r="BE371" s="690"/>
      <c r="BF371" s="128"/>
      <c r="BG371" s="128"/>
      <c r="BH371" s="128"/>
      <c r="BI371" s="128"/>
      <c r="BJ371" s="128"/>
    </row>
    <row r="372" spans="1:62" ht="15" customHeight="1">
      <c r="A372" s="707"/>
      <c r="B372" s="707"/>
      <c r="C372" s="707"/>
      <c r="D372" s="707"/>
      <c r="E372" s="707"/>
      <c r="F372" s="721" t="s">
        <v>397</v>
      </c>
      <c r="G372" s="707"/>
      <c r="H372" s="707"/>
      <c r="I372" s="707"/>
      <c r="J372" s="707"/>
      <c r="K372" s="707"/>
      <c r="L372" s="707"/>
      <c r="M372" s="707"/>
      <c r="N372" s="707"/>
      <c r="O372" s="707"/>
      <c r="P372" s="140"/>
      <c r="Q372" s="707"/>
      <c r="R372" s="707"/>
      <c r="S372" s="707"/>
      <c r="T372" s="707"/>
      <c r="U372" s="707"/>
      <c r="V372" s="707"/>
      <c r="W372" s="742">
        <f>VLOOKUP('Veri Girişi'!$E$73,TABLOLAR!$I$60:$S$65,3,0)</f>
        <v>1577</v>
      </c>
      <c r="X372" s="637"/>
      <c r="Y372" s="637"/>
      <c r="Z372" s="637"/>
      <c r="AA372" s="637"/>
      <c r="AB372" s="637"/>
      <c r="AC372" s="637"/>
      <c r="AD372" s="637"/>
      <c r="AE372" s="637"/>
      <c r="AF372" s="637"/>
      <c r="AG372" s="637"/>
      <c r="AH372" s="637"/>
      <c r="AI372" s="707"/>
      <c r="AJ372" s="707"/>
      <c r="AK372" s="707"/>
      <c r="AL372" s="707"/>
      <c r="AM372" s="707"/>
      <c r="AN372" s="707"/>
      <c r="AO372" s="707"/>
      <c r="AP372" s="707"/>
      <c r="AQ372" s="707"/>
      <c r="AR372" s="707"/>
      <c r="AS372" s="707"/>
      <c r="AT372" s="707"/>
      <c r="AU372" s="130"/>
      <c r="AV372" s="726"/>
      <c r="AW372" s="724"/>
      <c r="AX372" s="724"/>
      <c r="AY372" s="724"/>
      <c r="AZ372" s="724"/>
      <c r="BA372" s="724"/>
      <c r="BB372" s="724"/>
      <c r="BC372" s="724"/>
      <c r="BD372" s="724"/>
      <c r="BE372" s="727"/>
      <c r="BF372" s="128"/>
      <c r="BG372" s="128"/>
      <c r="BH372" s="128"/>
      <c r="BI372" s="128"/>
      <c r="BJ372" s="128"/>
    </row>
    <row r="373" spans="1:62" ht="4.5" customHeight="1">
      <c r="A373" s="146"/>
      <c r="B373" s="140"/>
      <c r="C373" s="140"/>
      <c r="D373" s="146"/>
      <c r="E373" s="140"/>
      <c r="F373" s="143"/>
      <c r="G373" s="174"/>
      <c r="H373" s="174"/>
      <c r="I373" s="174"/>
      <c r="J373" s="140"/>
      <c r="K373" s="140"/>
      <c r="L373" s="140"/>
      <c r="M373" s="140"/>
      <c r="N373" s="143"/>
      <c r="O373" s="140"/>
      <c r="P373" s="140"/>
      <c r="Q373" s="140"/>
      <c r="R373" s="140"/>
      <c r="S373" s="174"/>
      <c r="T373" s="174"/>
      <c r="U373" s="174"/>
      <c r="V373" s="174"/>
      <c r="W373" s="174"/>
      <c r="X373" s="174"/>
      <c r="Y373" s="140"/>
      <c r="Z373" s="196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28"/>
      <c r="AK373" s="128"/>
      <c r="AL373" s="128"/>
      <c r="AM373" s="128"/>
      <c r="AN373" s="128"/>
      <c r="AO373" s="130"/>
      <c r="AP373" s="130"/>
      <c r="AQ373" s="130"/>
      <c r="AR373" s="130"/>
      <c r="AS373" s="130"/>
      <c r="AT373" s="130"/>
      <c r="AU373" s="130"/>
      <c r="AV373" s="130"/>
      <c r="AW373" s="130"/>
      <c r="AX373" s="128"/>
      <c r="AY373" s="130"/>
      <c r="AZ373" s="130"/>
      <c r="BA373" s="130"/>
      <c r="BB373" s="130"/>
      <c r="BC373" s="130"/>
      <c r="BD373" s="130"/>
      <c r="BE373" s="130"/>
      <c r="BF373" s="128"/>
      <c r="BG373" s="128"/>
      <c r="BH373" s="128"/>
      <c r="BI373" s="128"/>
      <c r="BJ373" s="128"/>
    </row>
    <row r="374" spans="1:62" ht="15" customHeight="1">
      <c r="A374" s="728" t="s">
        <v>676</v>
      </c>
      <c r="B374" s="707"/>
      <c r="C374" s="128" t="s">
        <v>262</v>
      </c>
      <c r="D374" s="128" t="s">
        <v>673</v>
      </c>
      <c r="E374" s="128"/>
      <c r="F374" s="146" t="s">
        <v>316</v>
      </c>
      <c r="G374" s="146" t="s">
        <v>683</v>
      </c>
      <c r="H374" s="128"/>
      <c r="I374" s="128"/>
      <c r="J374" s="128" t="s">
        <v>681</v>
      </c>
      <c r="K374" s="173"/>
      <c r="L374" s="146" t="s">
        <v>448</v>
      </c>
      <c r="M374" s="128" t="s">
        <v>679</v>
      </c>
      <c r="N374" s="128"/>
      <c r="O374" s="128"/>
      <c r="P374" s="128"/>
      <c r="Q374" s="737" t="s">
        <v>676</v>
      </c>
      <c r="R374" s="707"/>
      <c r="S374" s="128" t="s">
        <v>262</v>
      </c>
      <c r="T374" s="730">
        <f>AL354</f>
        <v>46.630972951904312</v>
      </c>
      <c r="U374" s="707"/>
      <c r="V374" s="707"/>
      <c r="W374" s="174" t="s">
        <v>316</v>
      </c>
      <c r="X374" s="730">
        <v>0.9</v>
      </c>
      <c r="Y374" s="707"/>
      <c r="Z374" s="174" t="s">
        <v>357</v>
      </c>
      <c r="AA374" s="730">
        <f>Z369</f>
        <v>40.290319618739979</v>
      </c>
      <c r="AB374" s="707"/>
      <c r="AC374" s="707"/>
      <c r="AD374" s="164" t="s">
        <v>262</v>
      </c>
      <c r="AE374" s="734">
        <f>T374+(X374*AA374)</f>
        <v>82.8922606087703</v>
      </c>
      <c r="AF374" s="707"/>
      <c r="AG374" s="707"/>
      <c r="AH374" s="730" t="s">
        <v>406</v>
      </c>
      <c r="AI374" s="707"/>
      <c r="AJ374" s="707"/>
      <c r="AK374" s="707"/>
      <c r="AL374" s="146" t="s">
        <v>448</v>
      </c>
      <c r="AM374" s="721">
        <f>AH304</f>
        <v>205</v>
      </c>
      <c r="AN374" s="707"/>
      <c r="AO374" s="707"/>
      <c r="AP374" s="730" t="s">
        <v>406</v>
      </c>
      <c r="AQ374" s="707"/>
      <c r="AR374" s="707"/>
      <c r="AS374" s="707"/>
      <c r="AT374" s="128"/>
      <c r="AU374" s="128"/>
      <c r="AV374" s="725" t="str">
        <f>IF(AE374&lt;=AM374,"UYGUNDUR.","UYGUN DEĞİLDİR.")</f>
        <v>UYGUNDUR.</v>
      </c>
      <c r="AW374" s="710"/>
      <c r="AX374" s="710"/>
      <c r="AY374" s="710"/>
      <c r="AZ374" s="710"/>
      <c r="BA374" s="710"/>
      <c r="BB374" s="710"/>
      <c r="BC374" s="710"/>
      <c r="BD374" s="710"/>
      <c r="BE374" s="583"/>
      <c r="BF374" s="128"/>
      <c r="BG374" s="128"/>
      <c r="BH374" s="128"/>
      <c r="BI374" s="128"/>
      <c r="BJ374" s="128"/>
    </row>
    <row r="375" spans="1:62" ht="4.5" customHeight="1">
      <c r="A375" s="146"/>
      <c r="B375" s="140"/>
      <c r="C375" s="140"/>
      <c r="D375" s="146"/>
      <c r="E375" s="140"/>
      <c r="F375" s="143"/>
      <c r="G375" s="174"/>
      <c r="H375" s="174"/>
      <c r="I375" s="174"/>
      <c r="J375" s="140"/>
      <c r="K375" s="140"/>
      <c r="L375" s="140"/>
      <c r="M375" s="140"/>
      <c r="N375" s="143"/>
      <c r="O375" s="140"/>
      <c r="P375" s="140"/>
      <c r="Q375" s="140"/>
      <c r="R375" s="140"/>
      <c r="S375" s="174"/>
      <c r="T375" s="174"/>
      <c r="U375" s="174"/>
      <c r="V375" s="174"/>
      <c r="W375" s="174"/>
      <c r="X375" s="174"/>
      <c r="Y375" s="140"/>
      <c r="Z375" s="196"/>
      <c r="AA375" s="196"/>
      <c r="AB375" s="196"/>
      <c r="AC375" s="196"/>
      <c r="AD375" s="196"/>
      <c r="AE375" s="196"/>
      <c r="AF375" s="196"/>
      <c r="AG375" s="196"/>
      <c r="AH375" s="196"/>
      <c r="AI375" s="196"/>
      <c r="AJ375" s="128"/>
      <c r="AK375" s="128"/>
      <c r="AL375" s="128"/>
      <c r="AM375" s="128"/>
      <c r="AN375" s="128"/>
      <c r="AO375" s="130"/>
      <c r="AP375" s="130"/>
      <c r="AQ375" s="130"/>
      <c r="AR375" s="130"/>
      <c r="AS375" s="130"/>
      <c r="AT375" s="130"/>
      <c r="AU375" s="130"/>
      <c r="AV375" s="130"/>
      <c r="AW375" s="130"/>
      <c r="AX375" s="128"/>
      <c r="AY375" s="130"/>
      <c r="AZ375" s="130"/>
      <c r="BA375" s="130"/>
      <c r="BB375" s="130"/>
      <c r="BC375" s="130"/>
      <c r="BD375" s="130"/>
      <c r="BE375" s="130"/>
      <c r="BF375" s="128"/>
      <c r="BG375" s="128"/>
      <c r="BH375" s="128"/>
      <c r="BI375" s="128"/>
      <c r="BJ375" s="128"/>
    </row>
    <row r="376" spans="1:62" ht="15" customHeight="1">
      <c r="A376" s="146" t="s">
        <v>684</v>
      </c>
      <c r="B376" s="140"/>
      <c r="C376" s="140"/>
      <c r="D376" s="146"/>
      <c r="E376" s="140"/>
      <c r="F376" s="143"/>
      <c r="G376" s="174"/>
      <c r="H376" s="174"/>
      <c r="I376" s="174"/>
      <c r="J376" s="140"/>
      <c r="K376" s="140"/>
      <c r="L376" s="140"/>
      <c r="M376" s="140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30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30"/>
      <c r="BC376" s="130"/>
      <c r="BD376" s="130"/>
      <c r="BE376" s="130"/>
      <c r="BF376" s="128"/>
      <c r="BG376" s="128"/>
      <c r="BH376" s="128"/>
      <c r="BI376" s="128"/>
      <c r="BJ376" s="128"/>
    </row>
    <row r="377" spans="1:62" ht="15" customHeight="1">
      <c r="A377" s="128" t="s">
        <v>653</v>
      </c>
      <c r="B377" s="140"/>
      <c r="C377" s="140"/>
      <c r="D377" s="146"/>
      <c r="E377" s="140"/>
      <c r="F377" s="143"/>
      <c r="G377" s="174"/>
      <c r="H377" s="174"/>
      <c r="I377" s="174"/>
      <c r="J377" s="140"/>
      <c r="K377" s="140"/>
      <c r="L377" s="140"/>
      <c r="M377" s="140"/>
      <c r="N377" s="143"/>
      <c r="O377" s="140"/>
      <c r="P377" s="140"/>
      <c r="Q377" s="140"/>
      <c r="R377" s="140"/>
      <c r="S377" s="174"/>
      <c r="T377" s="174"/>
      <c r="U377" s="174"/>
      <c r="V377" s="174"/>
      <c r="W377" s="174"/>
      <c r="X377" s="174"/>
      <c r="Y377" s="140"/>
      <c r="Z377" s="196"/>
      <c r="AA377" s="196"/>
      <c r="AB377" s="196"/>
      <c r="AC377" s="196"/>
      <c r="AD377" s="196"/>
      <c r="AE377" s="196"/>
      <c r="AF377" s="196"/>
      <c r="AG377" s="196"/>
      <c r="AH377" s="196"/>
      <c r="AI377" s="196"/>
      <c r="AJ377" s="128"/>
      <c r="AK377" s="128"/>
      <c r="AL377" s="128"/>
      <c r="AM377" s="128"/>
      <c r="AN377" s="128"/>
      <c r="AO377" s="130"/>
      <c r="AP377" s="130"/>
      <c r="AQ377" s="130"/>
      <c r="AR377" s="130"/>
      <c r="AS377" s="130"/>
      <c r="AT377" s="130"/>
      <c r="AU377" s="130"/>
      <c r="AV377" s="130"/>
      <c r="AW377" s="130"/>
      <c r="AX377" s="128"/>
      <c r="AY377" s="130"/>
      <c r="AZ377" s="130"/>
      <c r="BA377" s="130"/>
      <c r="BB377" s="130"/>
      <c r="BC377" s="130"/>
      <c r="BD377" s="130"/>
      <c r="BE377" s="130"/>
      <c r="BF377" s="128"/>
      <c r="BG377" s="128"/>
      <c r="BH377" s="128"/>
      <c r="BI377" s="128"/>
      <c r="BJ377" s="128"/>
    </row>
    <row r="378" spans="1:62" ht="4.5" customHeight="1">
      <c r="A378" s="146"/>
      <c r="B378" s="140"/>
      <c r="C378" s="140"/>
      <c r="D378" s="146"/>
      <c r="E378" s="140"/>
      <c r="F378" s="143"/>
      <c r="G378" s="174"/>
      <c r="H378" s="174"/>
      <c r="I378" s="174"/>
      <c r="J378" s="140"/>
      <c r="K378" s="140"/>
      <c r="L378" s="140"/>
      <c r="M378" s="140"/>
      <c r="N378" s="143"/>
      <c r="O378" s="140"/>
      <c r="P378" s="140"/>
      <c r="Q378" s="140"/>
      <c r="R378" s="140"/>
      <c r="S378" s="174"/>
      <c r="T378" s="174"/>
      <c r="U378" s="174"/>
      <c r="V378" s="174"/>
      <c r="W378" s="174"/>
      <c r="X378" s="174"/>
      <c r="Y378" s="140"/>
      <c r="Z378" s="196"/>
      <c r="AA378" s="196"/>
      <c r="AB378" s="196"/>
      <c r="AC378" s="196"/>
      <c r="AD378" s="196"/>
      <c r="AE378" s="196"/>
      <c r="AF378" s="196"/>
      <c r="AG378" s="196"/>
      <c r="AH378" s="196"/>
      <c r="AI378" s="196"/>
      <c r="AJ378" s="128"/>
      <c r="AK378" s="128"/>
      <c r="AL378" s="128"/>
      <c r="AM378" s="128"/>
      <c r="AN378" s="128"/>
      <c r="AO378" s="130"/>
      <c r="AP378" s="130"/>
      <c r="AQ378" s="130"/>
      <c r="AR378" s="130"/>
      <c r="AS378" s="130"/>
      <c r="AT378" s="130"/>
      <c r="AU378" s="130"/>
      <c r="AV378" s="130"/>
      <c r="AW378" s="130"/>
      <c r="AX378" s="128"/>
      <c r="AY378" s="130"/>
      <c r="AZ378" s="130"/>
      <c r="BA378" s="130"/>
      <c r="BB378" s="130"/>
      <c r="BC378" s="130"/>
      <c r="BD378" s="130"/>
      <c r="BE378" s="130"/>
      <c r="BF378" s="128"/>
      <c r="BG378" s="128"/>
      <c r="BH378" s="128"/>
      <c r="BI378" s="128"/>
      <c r="BJ378" s="128"/>
    </row>
    <row r="379" spans="1:62" ht="15" customHeight="1">
      <c r="A379" s="722" t="s">
        <v>685</v>
      </c>
      <c r="B379" s="707"/>
      <c r="C379" s="707"/>
      <c r="D379" s="738" t="s">
        <v>686</v>
      </c>
      <c r="E379" s="724"/>
      <c r="F379" s="724"/>
      <c r="G379" s="724"/>
      <c r="H379" s="724"/>
      <c r="I379" s="724"/>
      <c r="J379" s="721" t="s">
        <v>448</v>
      </c>
      <c r="K379" s="722" t="s">
        <v>679</v>
      </c>
      <c r="L379" s="707"/>
      <c r="M379" s="707"/>
      <c r="N379" s="722" t="s">
        <v>685</v>
      </c>
      <c r="O379" s="707"/>
      <c r="P379" s="707"/>
      <c r="Q379" s="751">
        <f>AY321</f>
        <v>904.17904411764709</v>
      </c>
      <c r="R379" s="724"/>
      <c r="S379" s="724"/>
      <c r="T379" s="234" t="s">
        <v>357</v>
      </c>
      <c r="U379" s="751">
        <f>(VLOOKUP('Veri Girişi'!E73,TABLOLAR!I69:N74,5,0))*6</f>
        <v>203.39999999999998</v>
      </c>
      <c r="V379" s="724"/>
      <c r="W379" s="724"/>
      <c r="X379" s="724"/>
      <c r="Y379" s="730" t="s">
        <v>262</v>
      </c>
      <c r="Z379" s="734">
        <f>Q379*U379/Q380</f>
        <v>19.822802803876975</v>
      </c>
      <c r="AA379" s="707"/>
      <c r="AB379" s="707"/>
      <c r="AC379" s="721" t="s">
        <v>448</v>
      </c>
      <c r="AD379" s="721">
        <f>AH304</f>
        <v>205</v>
      </c>
      <c r="AE379" s="707"/>
      <c r="AF379" s="707"/>
      <c r="AG379" s="735" t="s">
        <v>406</v>
      </c>
      <c r="AH379" s="707"/>
      <c r="AI379" s="707"/>
      <c r="AJ379" s="707"/>
      <c r="AK379" s="128"/>
      <c r="AL379" s="725" t="str">
        <f>IF(Z379&lt;=AD379,"UYGUNDUR.","UYGUN DEĞİLDİR.")</f>
        <v>UYGUNDUR.</v>
      </c>
      <c r="AM379" s="637"/>
      <c r="AN379" s="637"/>
      <c r="AO379" s="637"/>
      <c r="AP379" s="637"/>
      <c r="AQ379" s="637"/>
      <c r="AR379" s="637"/>
      <c r="AS379" s="637"/>
      <c r="AT379" s="637"/>
      <c r="AU379" s="690"/>
      <c r="AV379" s="130"/>
      <c r="AW379" s="130"/>
      <c r="AX379" s="128"/>
      <c r="AY379" s="130"/>
      <c r="AZ379" s="130"/>
      <c r="BA379" s="130"/>
      <c r="BB379" s="130"/>
      <c r="BC379" s="130"/>
      <c r="BD379" s="130"/>
      <c r="BE379" s="130"/>
      <c r="BF379" s="128"/>
      <c r="BG379" s="128"/>
      <c r="BH379" s="128"/>
      <c r="BI379" s="128"/>
      <c r="BJ379" s="128"/>
    </row>
    <row r="380" spans="1:62" ht="15" customHeight="1">
      <c r="A380" s="707"/>
      <c r="B380" s="707"/>
      <c r="C380" s="707"/>
      <c r="D380" s="753" t="s">
        <v>687</v>
      </c>
      <c r="E380" s="637"/>
      <c r="F380" s="637"/>
      <c r="G380" s="637"/>
      <c r="H380" s="637"/>
      <c r="I380" s="637"/>
      <c r="J380" s="707"/>
      <c r="K380" s="707"/>
      <c r="L380" s="707"/>
      <c r="M380" s="707"/>
      <c r="N380" s="707"/>
      <c r="O380" s="707"/>
      <c r="P380" s="707"/>
      <c r="Q380" s="742">
        <f>(((VLOOKUP('Veri Girişi'!E73,TABLOLAR!I60:S65,10,0))*(VLOOKUP('Veri Girişi'!E73,TABLOLAR!I60:S65,10,0)))*(1+2*(VLOOKUP('Veri Girişi'!E73,TABLOLAR!I69:N74,6,0))))</f>
        <v>9277.6999999999989</v>
      </c>
      <c r="R380" s="637"/>
      <c r="S380" s="637"/>
      <c r="T380" s="637"/>
      <c r="U380" s="637"/>
      <c r="V380" s="637"/>
      <c r="W380" s="637"/>
      <c r="X380" s="637"/>
      <c r="Y380" s="707"/>
      <c r="Z380" s="707"/>
      <c r="AA380" s="707"/>
      <c r="AB380" s="707"/>
      <c r="AC380" s="707"/>
      <c r="AD380" s="707"/>
      <c r="AE380" s="707"/>
      <c r="AF380" s="707"/>
      <c r="AG380" s="707"/>
      <c r="AH380" s="707"/>
      <c r="AI380" s="707"/>
      <c r="AJ380" s="707"/>
      <c r="AK380" s="128"/>
      <c r="AL380" s="726"/>
      <c r="AM380" s="724"/>
      <c r="AN380" s="724"/>
      <c r="AO380" s="724"/>
      <c r="AP380" s="724"/>
      <c r="AQ380" s="724"/>
      <c r="AR380" s="724"/>
      <c r="AS380" s="724"/>
      <c r="AT380" s="724"/>
      <c r="AU380" s="727"/>
      <c r="AV380" s="130"/>
      <c r="AW380" s="130"/>
      <c r="AX380" s="128"/>
      <c r="AY380" s="130"/>
      <c r="AZ380" s="130"/>
      <c r="BA380" s="130"/>
      <c r="BB380" s="130"/>
      <c r="BC380" s="130"/>
      <c r="BD380" s="130"/>
      <c r="BE380" s="130"/>
      <c r="BF380" s="128"/>
      <c r="BG380" s="128"/>
      <c r="BH380" s="128"/>
      <c r="BI380" s="128"/>
      <c r="BJ380" s="128"/>
    </row>
    <row r="381" spans="1:62" ht="4.5" customHeight="1">
      <c r="A381" s="146"/>
      <c r="B381" s="140"/>
      <c r="C381" s="140"/>
      <c r="D381" s="146"/>
      <c r="E381" s="140"/>
      <c r="F381" s="143"/>
      <c r="G381" s="174"/>
      <c r="H381" s="174"/>
      <c r="I381" s="174"/>
      <c r="J381" s="140"/>
      <c r="K381" s="140"/>
      <c r="L381" s="140"/>
      <c r="M381" s="140"/>
      <c r="N381" s="143"/>
      <c r="O381" s="140"/>
      <c r="P381" s="140"/>
      <c r="Q381" s="140"/>
      <c r="R381" s="140"/>
      <c r="S381" s="174"/>
      <c r="T381" s="174"/>
      <c r="U381" s="174"/>
      <c r="V381" s="174"/>
      <c r="W381" s="174"/>
      <c r="X381" s="174"/>
      <c r="Y381" s="140"/>
      <c r="Z381" s="241"/>
      <c r="AA381" s="241"/>
      <c r="AB381" s="241"/>
      <c r="AC381" s="196"/>
      <c r="AD381" s="196"/>
      <c r="AE381" s="196"/>
      <c r="AF381" s="196"/>
      <c r="AG381" s="196"/>
      <c r="AH381" s="196"/>
      <c r="AI381" s="196"/>
      <c r="AJ381" s="128"/>
      <c r="AK381" s="128"/>
      <c r="AL381" s="128"/>
      <c r="AM381" s="128"/>
      <c r="AN381" s="128"/>
      <c r="AO381" s="130"/>
      <c r="AP381" s="130"/>
      <c r="AQ381" s="130"/>
      <c r="AR381" s="130"/>
      <c r="AS381" s="130"/>
      <c r="AT381" s="130"/>
      <c r="AU381" s="130"/>
      <c r="AV381" s="130"/>
      <c r="AW381" s="130"/>
      <c r="AX381" s="128"/>
      <c r="AY381" s="130"/>
      <c r="AZ381" s="130"/>
      <c r="BA381" s="130"/>
      <c r="BB381" s="130"/>
      <c r="BC381" s="130"/>
      <c r="BD381" s="130"/>
      <c r="BE381" s="130"/>
      <c r="BF381" s="128"/>
      <c r="BG381" s="128"/>
      <c r="BH381" s="128"/>
      <c r="BI381" s="128"/>
      <c r="BJ381" s="128"/>
    </row>
    <row r="382" spans="1:62" ht="15" customHeight="1">
      <c r="A382" s="128" t="s">
        <v>667</v>
      </c>
      <c r="B382" s="140"/>
      <c r="C382" s="140"/>
      <c r="D382" s="146"/>
      <c r="E382" s="140"/>
      <c r="F382" s="143"/>
      <c r="G382" s="174"/>
      <c r="H382" s="174"/>
      <c r="I382" s="174"/>
      <c r="J382" s="140"/>
      <c r="K382" s="140"/>
      <c r="L382" s="140"/>
      <c r="M382" s="140"/>
      <c r="N382" s="143"/>
      <c r="O382" s="140"/>
      <c r="P382" s="140"/>
      <c r="Q382" s="140"/>
      <c r="R382" s="140"/>
      <c r="S382" s="174"/>
      <c r="T382" s="174"/>
      <c r="U382" s="174"/>
      <c r="V382" s="174"/>
      <c r="W382" s="174"/>
      <c r="X382" s="174"/>
      <c r="Y382" s="140"/>
      <c r="Z382" s="241"/>
      <c r="AA382" s="241"/>
      <c r="AB382" s="241"/>
      <c r="AC382" s="196"/>
      <c r="AD382" s="196"/>
      <c r="AE382" s="196"/>
      <c r="AF382" s="196"/>
      <c r="AG382" s="196"/>
      <c r="AH382" s="196"/>
      <c r="AI382" s="196"/>
      <c r="AJ382" s="128"/>
      <c r="AK382" s="128"/>
      <c r="AL382" s="128"/>
      <c r="AM382" s="128"/>
      <c r="AN382" s="128"/>
      <c r="AO382" s="130"/>
      <c r="AP382" s="130"/>
      <c r="AQ382" s="130"/>
      <c r="AR382" s="130"/>
      <c r="AS382" s="130"/>
      <c r="AT382" s="130"/>
      <c r="AU382" s="130"/>
      <c r="AV382" s="130"/>
      <c r="AW382" s="130"/>
      <c r="AX382" s="128"/>
      <c r="AY382" s="130"/>
      <c r="AZ382" s="130"/>
      <c r="BA382" s="130"/>
      <c r="BB382" s="130"/>
      <c r="BC382" s="130"/>
      <c r="BD382" s="130"/>
      <c r="BE382" s="130"/>
      <c r="BF382" s="128"/>
      <c r="BG382" s="128"/>
      <c r="BH382" s="128"/>
      <c r="BI382" s="128"/>
      <c r="BJ382" s="128"/>
    </row>
    <row r="383" spans="1:62" ht="4.5" customHeight="1">
      <c r="A383" s="146"/>
      <c r="B383" s="140"/>
      <c r="C383" s="140"/>
      <c r="D383" s="146"/>
      <c r="E383" s="140"/>
      <c r="F383" s="143"/>
      <c r="G383" s="174"/>
      <c r="H383" s="174"/>
      <c r="I383" s="174"/>
      <c r="J383" s="140"/>
      <c r="K383" s="140"/>
      <c r="L383" s="140"/>
      <c r="M383" s="140"/>
      <c r="N383" s="143"/>
      <c r="O383" s="140"/>
      <c r="P383" s="140"/>
      <c r="Q383" s="140"/>
      <c r="R383" s="140"/>
      <c r="S383" s="174"/>
      <c r="T383" s="174"/>
      <c r="U383" s="174"/>
      <c r="V383" s="174"/>
      <c r="W383" s="174"/>
      <c r="X383" s="174"/>
      <c r="Y383" s="140"/>
      <c r="Z383" s="241"/>
      <c r="AA383" s="241"/>
      <c r="AB383" s="241"/>
      <c r="AC383" s="196"/>
      <c r="AD383" s="196"/>
      <c r="AE383" s="196"/>
      <c r="AF383" s="196"/>
      <c r="AG383" s="196"/>
      <c r="AH383" s="196"/>
      <c r="AI383" s="196"/>
      <c r="AJ383" s="128"/>
      <c r="AK383" s="128"/>
      <c r="AL383" s="128"/>
      <c r="AM383" s="128"/>
      <c r="AN383" s="128"/>
      <c r="AO383" s="130"/>
      <c r="AP383" s="130"/>
      <c r="AQ383" s="130"/>
      <c r="AR383" s="130"/>
      <c r="AS383" s="130"/>
      <c r="AT383" s="130"/>
      <c r="AU383" s="130"/>
      <c r="AV383" s="130"/>
      <c r="AW383" s="130"/>
      <c r="AX383" s="128"/>
      <c r="AY383" s="130"/>
      <c r="AZ383" s="130"/>
      <c r="BA383" s="130"/>
      <c r="BB383" s="130"/>
      <c r="BC383" s="130"/>
      <c r="BD383" s="130"/>
      <c r="BE383" s="130"/>
      <c r="BF383" s="128"/>
      <c r="BG383" s="128"/>
      <c r="BH383" s="128"/>
      <c r="BI383" s="128"/>
      <c r="BJ383" s="128"/>
    </row>
    <row r="384" spans="1:62" ht="15" customHeight="1">
      <c r="A384" s="722" t="s">
        <v>685</v>
      </c>
      <c r="B384" s="707"/>
      <c r="C384" s="707"/>
      <c r="D384" s="738" t="s">
        <v>686</v>
      </c>
      <c r="E384" s="724"/>
      <c r="F384" s="724"/>
      <c r="G384" s="724"/>
      <c r="H384" s="724"/>
      <c r="I384" s="724"/>
      <c r="J384" s="721" t="s">
        <v>448</v>
      </c>
      <c r="K384" s="722" t="s">
        <v>679</v>
      </c>
      <c r="L384" s="707"/>
      <c r="M384" s="707"/>
      <c r="N384" s="722" t="s">
        <v>685</v>
      </c>
      <c r="O384" s="707"/>
      <c r="P384" s="707"/>
      <c r="Q384" s="751">
        <f>AY335</f>
        <v>156.88786764705881</v>
      </c>
      <c r="R384" s="724"/>
      <c r="S384" s="724"/>
      <c r="T384" s="234" t="s">
        <v>357</v>
      </c>
      <c r="U384" s="751">
        <f>(VLOOKUP('Veri Girişi'!E73,TABLOLAR!I69:N74,5,0))*6</f>
        <v>203.39999999999998</v>
      </c>
      <c r="V384" s="724"/>
      <c r="W384" s="724"/>
      <c r="X384" s="724"/>
      <c r="Y384" s="730" t="s">
        <v>262</v>
      </c>
      <c r="Z384" s="734">
        <f>Q384*U384/Q385</f>
        <v>3.4395369843185017</v>
      </c>
      <c r="AA384" s="707"/>
      <c r="AB384" s="707"/>
      <c r="AC384" s="721" t="s">
        <v>448</v>
      </c>
      <c r="AD384" s="721">
        <f>AH304</f>
        <v>205</v>
      </c>
      <c r="AE384" s="707"/>
      <c r="AF384" s="707"/>
      <c r="AG384" s="735" t="s">
        <v>406</v>
      </c>
      <c r="AH384" s="707"/>
      <c r="AI384" s="707"/>
      <c r="AJ384" s="707"/>
      <c r="AK384" s="128"/>
      <c r="AL384" s="725" t="str">
        <f>IF(Z384&lt;=AD384,"UYGUNDUR.","UYGUN DEĞİLDİR.")</f>
        <v>UYGUNDUR.</v>
      </c>
      <c r="AM384" s="637"/>
      <c r="AN384" s="637"/>
      <c r="AO384" s="637"/>
      <c r="AP384" s="637"/>
      <c r="AQ384" s="637"/>
      <c r="AR384" s="637"/>
      <c r="AS384" s="637"/>
      <c r="AT384" s="637"/>
      <c r="AU384" s="690"/>
      <c r="AV384" s="130"/>
      <c r="AW384" s="130"/>
      <c r="AX384" s="128"/>
      <c r="AY384" s="130"/>
      <c r="AZ384" s="130"/>
      <c r="BA384" s="130"/>
      <c r="BB384" s="130"/>
      <c r="BC384" s="130"/>
      <c r="BD384" s="130"/>
      <c r="BE384" s="130"/>
      <c r="BF384" s="128"/>
      <c r="BG384" s="128"/>
      <c r="BH384" s="128"/>
      <c r="BI384" s="128"/>
      <c r="BJ384" s="128"/>
    </row>
    <row r="385" spans="1:62" ht="15" customHeight="1">
      <c r="A385" s="707"/>
      <c r="B385" s="707"/>
      <c r="C385" s="707"/>
      <c r="D385" s="753" t="s">
        <v>687</v>
      </c>
      <c r="E385" s="637"/>
      <c r="F385" s="637"/>
      <c r="G385" s="637"/>
      <c r="H385" s="637"/>
      <c r="I385" s="637"/>
      <c r="J385" s="707"/>
      <c r="K385" s="707"/>
      <c r="L385" s="707"/>
      <c r="M385" s="707"/>
      <c r="N385" s="707"/>
      <c r="O385" s="707"/>
      <c r="P385" s="707"/>
      <c r="Q385" s="742">
        <f>(((VLOOKUP('Veri Girişi'!E73,TABLOLAR!I60:S65,10,0))*(VLOOKUP('Veri Girişi'!E73,TABLOLAR!I60:S65,10,0)))*(1+2*(VLOOKUP('Veri Girişi'!E73,TABLOLAR!I69:N74,6,0))))</f>
        <v>9277.6999999999989</v>
      </c>
      <c r="R385" s="637"/>
      <c r="S385" s="637"/>
      <c r="T385" s="637"/>
      <c r="U385" s="637"/>
      <c r="V385" s="637"/>
      <c r="W385" s="637"/>
      <c r="X385" s="637"/>
      <c r="Y385" s="707"/>
      <c r="Z385" s="707"/>
      <c r="AA385" s="707"/>
      <c r="AB385" s="707"/>
      <c r="AC385" s="707"/>
      <c r="AD385" s="707"/>
      <c r="AE385" s="707"/>
      <c r="AF385" s="707"/>
      <c r="AG385" s="707"/>
      <c r="AH385" s="707"/>
      <c r="AI385" s="707"/>
      <c r="AJ385" s="707"/>
      <c r="AK385" s="128"/>
      <c r="AL385" s="726"/>
      <c r="AM385" s="724"/>
      <c r="AN385" s="724"/>
      <c r="AO385" s="724"/>
      <c r="AP385" s="724"/>
      <c r="AQ385" s="724"/>
      <c r="AR385" s="724"/>
      <c r="AS385" s="724"/>
      <c r="AT385" s="724"/>
      <c r="AU385" s="727"/>
      <c r="AV385" s="130"/>
      <c r="AW385" s="130"/>
      <c r="AX385" s="128"/>
      <c r="AY385" s="130"/>
      <c r="AZ385" s="130"/>
      <c r="BA385" s="130"/>
      <c r="BB385" s="130"/>
      <c r="BC385" s="130"/>
      <c r="BD385" s="130"/>
      <c r="BE385" s="130"/>
      <c r="BF385" s="128"/>
      <c r="BG385" s="128"/>
      <c r="BH385" s="128"/>
      <c r="BI385" s="128"/>
      <c r="BJ385" s="128"/>
    </row>
    <row r="386" spans="1:62" ht="15" customHeight="1">
      <c r="A386" s="144"/>
      <c r="B386" s="144"/>
      <c r="C386" s="144"/>
      <c r="D386" s="151"/>
      <c r="E386" s="151"/>
      <c r="F386" s="151"/>
      <c r="G386" s="151"/>
      <c r="H386" s="151"/>
      <c r="I386" s="144"/>
      <c r="J386" s="144"/>
      <c r="K386" s="144"/>
      <c r="L386" s="140"/>
      <c r="M386" s="140"/>
      <c r="N386" s="144"/>
      <c r="O386" s="144"/>
      <c r="P386" s="144"/>
      <c r="Q386" s="140"/>
      <c r="R386" s="140"/>
      <c r="S386" s="140"/>
      <c r="T386" s="140"/>
      <c r="U386" s="140"/>
      <c r="V386" s="140"/>
      <c r="W386" s="140"/>
      <c r="X386" s="140"/>
      <c r="Y386" s="140"/>
      <c r="Z386" s="160"/>
      <c r="AA386" s="160"/>
      <c r="AB386" s="160"/>
      <c r="AC386" s="151"/>
      <c r="AD386" s="151"/>
      <c r="AE386" s="151"/>
      <c r="AF386" s="151"/>
      <c r="AG386" s="174"/>
      <c r="AH386" s="174"/>
      <c r="AI386" s="174"/>
      <c r="AJ386" s="174"/>
      <c r="AK386" s="128"/>
      <c r="AL386" s="168"/>
      <c r="AM386" s="168"/>
      <c r="AN386" s="168"/>
      <c r="AO386" s="168"/>
      <c r="AP386" s="168"/>
      <c r="AQ386" s="168"/>
      <c r="AR386" s="168"/>
      <c r="AS386" s="168"/>
      <c r="AT386" s="168"/>
      <c r="AU386" s="168"/>
      <c r="AV386" s="130"/>
      <c r="AW386" s="130"/>
      <c r="AX386" s="128"/>
      <c r="AY386" s="130"/>
      <c r="AZ386" s="130"/>
      <c r="BA386" s="130"/>
      <c r="BB386" s="130"/>
      <c r="BC386" s="130"/>
      <c r="BD386" s="130"/>
      <c r="BE386" s="130"/>
      <c r="BF386" s="128"/>
      <c r="BG386" s="128"/>
      <c r="BH386" s="128"/>
      <c r="BI386" s="128"/>
      <c r="BJ386" s="128"/>
    </row>
    <row r="387" spans="1:62" ht="15" customHeight="1">
      <c r="A387" s="144"/>
      <c r="B387" s="144"/>
      <c r="C387" s="144"/>
      <c r="D387" s="151"/>
      <c r="E387" s="151"/>
      <c r="F387" s="151"/>
      <c r="G387" s="151"/>
      <c r="H387" s="151"/>
      <c r="I387" s="144"/>
      <c r="J387" s="144"/>
      <c r="K387" s="144"/>
      <c r="L387" s="140"/>
      <c r="M387" s="140"/>
      <c r="N387" s="144"/>
      <c r="O387" s="144"/>
      <c r="P387" s="144"/>
      <c r="Q387" s="140"/>
      <c r="R387" s="140"/>
      <c r="S387" s="140"/>
      <c r="T387" s="140"/>
      <c r="U387" s="140"/>
      <c r="V387" s="140"/>
      <c r="W387" s="140"/>
      <c r="X387" s="140"/>
      <c r="Y387" s="140"/>
      <c r="Z387" s="160"/>
      <c r="AA387" s="160"/>
      <c r="AB387" s="160"/>
      <c r="AC387" s="151"/>
      <c r="AD387" s="151"/>
      <c r="AE387" s="151"/>
      <c r="AF387" s="151"/>
      <c r="AG387" s="174"/>
      <c r="AH387" s="174"/>
      <c r="AI387" s="174"/>
      <c r="AJ387" s="174"/>
      <c r="AK387" s="128"/>
      <c r="AL387" s="168"/>
      <c r="AM387" s="168"/>
      <c r="AN387" s="168"/>
      <c r="AO387" s="168"/>
      <c r="AP387" s="168"/>
      <c r="AQ387" s="168"/>
      <c r="AR387" s="168"/>
      <c r="AS387" s="168"/>
      <c r="AT387" s="168"/>
      <c r="AU387" s="168"/>
      <c r="AV387" s="130"/>
      <c r="AW387" s="130"/>
      <c r="AX387" s="128"/>
      <c r="AY387" s="130"/>
      <c r="AZ387" s="130"/>
      <c r="BA387" s="130"/>
      <c r="BB387" s="130"/>
      <c r="BC387" s="130"/>
      <c r="BD387" s="130"/>
      <c r="BE387" s="130"/>
      <c r="BF387" s="128"/>
      <c r="BG387" s="128"/>
      <c r="BH387" s="128"/>
      <c r="BI387" s="128"/>
      <c r="BJ387" s="128"/>
    </row>
    <row r="388" spans="1:62" ht="15" customHeight="1">
      <c r="A388" s="144"/>
      <c r="B388" s="144"/>
      <c r="C388" s="144"/>
      <c r="D388" s="151"/>
      <c r="E388" s="151"/>
      <c r="F388" s="151"/>
      <c r="G388" s="151"/>
      <c r="H388" s="151"/>
      <c r="I388" s="144"/>
      <c r="J388" s="144"/>
      <c r="K388" s="144"/>
      <c r="L388" s="140"/>
      <c r="M388" s="140"/>
      <c r="N388" s="144"/>
      <c r="O388" s="144"/>
      <c r="P388" s="144"/>
      <c r="Q388" s="140"/>
      <c r="R388" s="140"/>
      <c r="S388" s="140"/>
      <c r="T388" s="140"/>
      <c r="U388" s="140"/>
      <c r="V388" s="140"/>
      <c r="W388" s="140"/>
      <c r="X388" s="140"/>
      <c r="Y388" s="140"/>
      <c r="Z388" s="160"/>
      <c r="AA388" s="160"/>
      <c r="AB388" s="160"/>
      <c r="AC388" s="151"/>
      <c r="AD388" s="151"/>
      <c r="AE388" s="151"/>
      <c r="AF388" s="151"/>
      <c r="AG388" s="174"/>
      <c r="AH388" s="174"/>
      <c r="AI388" s="174"/>
      <c r="AJ388" s="174"/>
      <c r="AK388" s="128"/>
      <c r="AL388" s="168"/>
      <c r="AM388" s="168"/>
      <c r="AN388" s="168"/>
      <c r="AO388" s="168"/>
      <c r="AP388" s="168"/>
      <c r="AQ388" s="168"/>
      <c r="AR388" s="168"/>
      <c r="AS388" s="168"/>
      <c r="AT388" s="168"/>
      <c r="AU388" s="168"/>
      <c r="AV388" s="130"/>
      <c r="AW388" s="130"/>
      <c r="AX388" s="128"/>
      <c r="AY388" s="130"/>
      <c r="AZ388" s="130" t="s">
        <v>688</v>
      </c>
      <c r="BA388" s="130"/>
      <c r="BB388" s="130"/>
      <c r="BC388" s="130"/>
      <c r="BD388" s="130"/>
      <c r="BE388" s="130"/>
      <c r="BF388" s="128"/>
      <c r="BG388" s="128"/>
      <c r="BH388" s="128"/>
      <c r="BI388" s="128"/>
      <c r="BJ388" s="128"/>
    </row>
    <row r="389" spans="1:62" ht="9.75" customHeight="1">
      <c r="A389" s="146"/>
      <c r="B389" s="140"/>
      <c r="C389" s="140"/>
      <c r="D389" s="146"/>
      <c r="E389" s="140"/>
      <c r="F389" s="143"/>
      <c r="G389" s="174"/>
      <c r="H389" s="174"/>
      <c r="I389" s="174"/>
      <c r="J389" s="140"/>
      <c r="K389" s="140"/>
      <c r="L389" s="140"/>
      <c r="M389" s="140"/>
      <c r="N389" s="143"/>
      <c r="O389" s="140"/>
      <c r="P389" s="140"/>
      <c r="Q389" s="140"/>
      <c r="R389" s="140"/>
      <c r="S389" s="174"/>
      <c r="T389" s="174"/>
      <c r="U389" s="174"/>
      <c r="V389" s="174"/>
      <c r="W389" s="174"/>
      <c r="X389" s="174"/>
      <c r="Y389" s="140"/>
      <c r="Z389" s="196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28"/>
      <c r="AK389" s="128"/>
      <c r="AL389" s="128"/>
      <c r="AM389" s="128"/>
      <c r="AN389" s="128"/>
      <c r="AO389" s="130"/>
      <c r="AP389" s="130"/>
      <c r="AQ389" s="130"/>
      <c r="AR389" s="130"/>
      <c r="AS389" s="130"/>
      <c r="AT389" s="130"/>
      <c r="AU389" s="130"/>
      <c r="AV389" s="130"/>
      <c r="AW389" s="130"/>
      <c r="AX389" s="128"/>
      <c r="AY389" s="130"/>
      <c r="AZ389" s="130"/>
      <c r="BA389" s="130"/>
      <c r="BB389" s="130"/>
      <c r="BC389" s="130"/>
      <c r="BD389" s="130"/>
      <c r="BE389" s="130"/>
      <c r="BF389" s="128"/>
      <c r="BG389" s="128"/>
      <c r="BH389" s="128"/>
      <c r="BI389" s="128"/>
      <c r="BJ389" s="128"/>
    </row>
    <row r="390" spans="1:62" ht="15" customHeight="1">
      <c r="A390" s="146" t="s">
        <v>689</v>
      </c>
      <c r="B390" s="140"/>
      <c r="C390" s="140"/>
      <c r="D390" s="146"/>
      <c r="E390" s="140"/>
      <c r="F390" s="143"/>
      <c r="G390" s="174"/>
      <c r="H390" s="174"/>
      <c r="I390" s="174"/>
      <c r="J390" s="140"/>
      <c r="K390" s="140"/>
      <c r="L390" s="140"/>
      <c r="M390" s="140"/>
      <c r="N390" s="143"/>
      <c r="O390" s="140"/>
      <c r="P390" s="140"/>
      <c r="Q390" s="140"/>
      <c r="R390" s="140"/>
      <c r="S390" s="174"/>
      <c r="T390" s="174"/>
      <c r="U390" s="174"/>
      <c r="V390" s="174"/>
      <c r="W390" s="174"/>
      <c r="X390" s="174"/>
      <c r="Y390" s="140"/>
      <c r="Z390" s="196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28"/>
      <c r="AK390" s="128"/>
      <c r="AL390" s="128"/>
      <c r="AM390" s="128"/>
      <c r="AN390" s="128"/>
      <c r="AO390" s="130"/>
      <c r="AP390" s="130"/>
      <c r="AQ390" s="130"/>
      <c r="AR390" s="130"/>
      <c r="AS390" s="130"/>
      <c r="AT390" s="130"/>
      <c r="AU390" s="130"/>
      <c r="AV390" s="130"/>
      <c r="AW390" s="130"/>
      <c r="AX390" s="128"/>
      <c r="AY390" s="130"/>
      <c r="AZ390" s="130"/>
      <c r="BA390" s="130"/>
      <c r="BB390" s="130"/>
      <c r="BC390" s="130"/>
      <c r="BD390" s="130"/>
      <c r="BE390" s="130"/>
      <c r="BF390" s="128"/>
      <c r="BG390" s="128"/>
      <c r="BH390" s="128"/>
      <c r="BI390" s="128"/>
      <c r="BJ390" s="128"/>
    </row>
    <row r="391" spans="1:62" ht="15" customHeight="1">
      <c r="A391" s="128" t="s">
        <v>653</v>
      </c>
      <c r="B391" s="140"/>
      <c r="C391" s="140"/>
      <c r="D391" s="146"/>
      <c r="E391" s="140"/>
      <c r="F391" s="143"/>
      <c r="G391" s="174"/>
      <c r="H391" s="174"/>
      <c r="I391" s="174"/>
      <c r="J391" s="140"/>
      <c r="K391" s="140"/>
      <c r="L391" s="140"/>
      <c r="M391" s="140"/>
      <c r="N391" s="143"/>
      <c r="O391" s="140"/>
      <c r="P391" s="140"/>
      <c r="Q391" s="140"/>
      <c r="R391" s="140"/>
      <c r="S391" s="174"/>
      <c r="T391" s="174"/>
      <c r="U391" s="174"/>
      <c r="V391" s="174"/>
      <c r="W391" s="174"/>
      <c r="X391" s="174"/>
      <c r="Y391" s="140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28"/>
      <c r="AK391" s="128"/>
      <c r="AL391" s="128"/>
      <c r="AM391" s="128"/>
      <c r="AN391" s="128"/>
      <c r="AO391" s="130"/>
      <c r="AP391" s="130"/>
      <c r="AQ391" s="130"/>
      <c r="AR391" s="130"/>
      <c r="AS391" s="130"/>
      <c r="AT391" s="130"/>
      <c r="AU391" s="130"/>
      <c r="AV391" s="130"/>
      <c r="AW391" s="130"/>
      <c r="AX391" s="128"/>
      <c r="AY391" s="130"/>
      <c r="AZ391" s="130"/>
      <c r="BA391" s="130"/>
      <c r="BB391" s="130"/>
      <c r="BC391" s="130"/>
      <c r="BD391" s="130"/>
      <c r="BE391" s="130"/>
      <c r="BF391" s="128"/>
      <c r="BG391" s="128"/>
      <c r="BH391" s="128"/>
      <c r="BI391" s="128"/>
      <c r="BJ391" s="128"/>
    </row>
    <row r="392" spans="1:62" ht="4.5" customHeight="1">
      <c r="A392" s="146"/>
      <c r="B392" s="140"/>
      <c r="C392" s="140"/>
      <c r="D392" s="146"/>
      <c r="E392" s="140"/>
      <c r="F392" s="143"/>
      <c r="G392" s="174"/>
      <c r="H392" s="174"/>
      <c r="I392" s="174"/>
      <c r="J392" s="140"/>
      <c r="K392" s="140"/>
      <c r="L392" s="140"/>
      <c r="M392" s="140"/>
      <c r="N392" s="143"/>
      <c r="O392" s="140"/>
      <c r="P392" s="140"/>
      <c r="Q392" s="140"/>
      <c r="R392" s="140"/>
      <c r="S392" s="174"/>
      <c r="T392" s="174"/>
      <c r="U392" s="174"/>
      <c r="V392" s="174"/>
      <c r="W392" s="174"/>
      <c r="X392" s="174"/>
      <c r="Y392" s="140"/>
      <c r="Z392" s="196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28"/>
      <c r="AK392" s="128"/>
      <c r="AL392" s="128"/>
      <c r="AM392" s="128"/>
      <c r="AN392" s="128"/>
      <c r="AO392" s="130"/>
      <c r="AP392" s="130"/>
      <c r="AQ392" s="130"/>
      <c r="AR392" s="130"/>
      <c r="AS392" s="130"/>
      <c r="AT392" s="130"/>
      <c r="AU392" s="130"/>
      <c r="AV392" s="130"/>
      <c r="AW392" s="130"/>
      <c r="AX392" s="128"/>
      <c r="AY392" s="130"/>
      <c r="AZ392" s="130"/>
      <c r="BA392" s="130"/>
      <c r="BB392" s="130"/>
      <c r="BC392" s="130"/>
      <c r="BD392" s="130"/>
      <c r="BE392" s="130"/>
      <c r="BF392" s="128"/>
      <c r="BG392" s="128"/>
      <c r="BH392" s="128"/>
      <c r="BI392" s="128"/>
      <c r="BJ392" s="128"/>
    </row>
    <row r="393" spans="1:62" ht="13.5" customHeight="1">
      <c r="A393" s="729" t="s">
        <v>690</v>
      </c>
      <c r="B393" s="757" t="s">
        <v>262</v>
      </c>
      <c r="C393" s="730" t="s">
        <v>691</v>
      </c>
      <c r="D393" s="707"/>
      <c r="E393" s="707"/>
      <c r="F393" s="808" t="s">
        <v>692</v>
      </c>
      <c r="G393" s="724"/>
      <c r="H393" s="724"/>
      <c r="I393" s="724"/>
      <c r="J393" s="724"/>
      <c r="K393" s="755" t="s">
        <v>448</v>
      </c>
      <c r="L393" s="729" t="s">
        <v>693</v>
      </c>
      <c r="M393" s="707"/>
      <c r="N393" s="140"/>
      <c r="O393" s="140"/>
      <c r="P393" s="729" t="s">
        <v>690</v>
      </c>
      <c r="Q393" s="757" t="s">
        <v>262</v>
      </c>
      <c r="R393" s="730">
        <v>0.7</v>
      </c>
      <c r="S393" s="707"/>
      <c r="T393" s="730" t="s">
        <v>357</v>
      </c>
      <c r="U393" s="751">
        <f>AY321</f>
        <v>904.17904411764709</v>
      </c>
      <c r="V393" s="724"/>
      <c r="W393" s="724"/>
      <c r="X393" s="724"/>
      <c r="Y393" s="724"/>
      <c r="Z393" s="206" t="s">
        <v>357</v>
      </c>
      <c r="AA393" s="738">
        <f>('Veri Girişi'!$B$111)^3</f>
        <v>27000000000</v>
      </c>
      <c r="AB393" s="724"/>
      <c r="AC393" s="724"/>
      <c r="AD393" s="724"/>
      <c r="AE393" s="724"/>
      <c r="AF393" s="724"/>
      <c r="AG393" s="757" t="s">
        <v>262</v>
      </c>
      <c r="AH393" s="734">
        <f>R393*AA393*U393/(U394*X394*AC394)</f>
        <v>3.2974068992221959</v>
      </c>
      <c r="AI393" s="707"/>
      <c r="AJ393" s="707"/>
      <c r="AK393" s="721" t="s">
        <v>448</v>
      </c>
      <c r="AL393" s="721">
        <v>5</v>
      </c>
      <c r="AM393" s="722" t="s">
        <v>122</v>
      </c>
      <c r="AN393" s="707"/>
      <c r="AO393" s="130"/>
      <c r="AP393" s="130"/>
      <c r="AQ393" s="725" t="str">
        <f>IF(AH393&lt;=AL393,"UYGUNDUR.","UYGUN DEĞİLDİR.")</f>
        <v>UYGUNDUR.</v>
      </c>
      <c r="AR393" s="637"/>
      <c r="AS393" s="637"/>
      <c r="AT393" s="637"/>
      <c r="AU393" s="637"/>
      <c r="AV393" s="637"/>
      <c r="AW393" s="637"/>
      <c r="AX393" s="637"/>
      <c r="AY393" s="637"/>
      <c r="AZ393" s="690"/>
      <c r="BA393" s="130"/>
      <c r="BB393" s="130"/>
      <c r="BC393" s="130"/>
      <c r="BD393" s="130"/>
      <c r="BE393" s="130"/>
      <c r="BF393" s="128"/>
      <c r="BG393" s="128"/>
      <c r="BH393" s="128"/>
      <c r="BI393" s="128"/>
      <c r="BJ393" s="128"/>
    </row>
    <row r="394" spans="1:62" ht="14.25" customHeight="1">
      <c r="A394" s="707"/>
      <c r="B394" s="707"/>
      <c r="C394" s="707"/>
      <c r="D394" s="707"/>
      <c r="E394" s="707"/>
      <c r="F394" s="743" t="s">
        <v>694</v>
      </c>
      <c r="G394" s="637"/>
      <c r="H394" s="637"/>
      <c r="I394" s="637"/>
      <c r="J394" s="637"/>
      <c r="K394" s="707"/>
      <c r="L394" s="707"/>
      <c r="M394" s="707"/>
      <c r="N394" s="140"/>
      <c r="O394" s="140"/>
      <c r="P394" s="707"/>
      <c r="Q394" s="707"/>
      <c r="R394" s="707"/>
      <c r="S394" s="707"/>
      <c r="T394" s="707"/>
      <c r="U394" s="730">
        <f>48</f>
        <v>48</v>
      </c>
      <c r="V394" s="707"/>
      <c r="W394" s="171" t="s">
        <v>357</v>
      </c>
      <c r="X394" s="730">
        <v>206010</v>
      </c>
      <c r="Y394" s="707"/>
      <c r="Z394" s="707"/>
      <c r="AA394" s="707"/>
      <c r="AB394" s="171" t="s">
        <v>357</v>
      </c>
      <c r="AC394" s="730">
        <f>VLOOKUP('Veri Girişi'!$E$73,TABLOLAR!$I$60:$S$65,5,0)</f>
        <v>524100</v>
      </c>
      <c r="AD394" s="707"/>
      <c r="AE394" s="707"/>
      <c r="AF394" s="707"/>
      <c r="AG394" s="707"/>
      <c r="AH394" s="707"/>
      <c r="AI394" s="707"/>
      <c r="AJ394" s="707"/>
      <c r="AK394" s="707"/>
      <c r="AL394" s="707"/>
      <c r="AM394" s="707"/>
      <c r="AN394" s="707"/>
      <c r="AO394" s="130"/>
      <c r="AP394" s="130"/>
      <c r="AQ394" s="726"/>
      <c r="AR394" s="724"/>
      <c r="AS394" s="724"/>
      <c r="AT394" s="724"/>
      <c r="AU394" s="724"/>
      <c r="AV394" s="724"/>
      <c r="AW394" s="724"/>
      <c r="AX394" s="724"/>
      <c r="AY394" s="724"/>
      <c r="AZ394" s="727"/>
      <c r="BA394" s="130"/>
      <c r="BB394" s="130"/>
      <c r="BC394" s="130"/>
      <c r="BD394" s="130"/>
      <c r="BE394" s="130"/>
      <c r="BF394" s="128"/>
      <c r="BG394" s="128"/>
      <c r="BH394" s="128"/>
      <c r="BI394" s="128"/>
      <c r="BJ394" s="128"/>
    </row>
    <row r="395" spans="1:62" ht="4.5" customHeight="1">
      <c r="A395" s="146"/>
      <c r="B395" s="140"/>
      <c r="C395" s="140"/>
      <c r="D395" s="146"/>
      <c r="E395" s="140"/>
      <c r="F395" s="140"/>
      <c r="G395" s="174"/>
      <c r="H395" s="174"/>
      <c r="I395" s="174"/>
      <c r="J395" s="140"/>
      <c r="K395" s="140"/>
      <c r="L395" s="140"/>
      <c r="M395" s="140"/>
      <c r="N395" s="140"/>
      <c r="O395" s="140"/>
      <c r="P395" s="140"/>
      <c r="Q395" s="140"/>
      <c r="R395" s="140"/>
      <c r="S395" s="174"/>
      <c r="T395" s="174"/>
      <c r="U395" s="174"/>
      <c r="V395" s="174"/>
      <c r="W395" s="174"/>
      <c r="X395" s="174"/>
      <c r="Y395" s="140"/>
      <c r="Z395" s="196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28"/>
      <c r="AK395" s="128"/>
      <c r="AL395" s="128"/>
      <c r="AM395" s="128"/>
      <c r="AN395" s="128"/>
      <c r="AO395" s="130"/>
      <c r="AP395" s="130"/>
      <c r="AQ395" s="130"/>
      <c r="AR395" s="130"/>
      <c r="AS395" s="130"/>
      <c r="AT395" s="130"/>
      <c r="AU395" s="130"/>
      <c r="AV395" s="130"/>
      <c r="AW395" s="130"/>
      <c r="AX395" s="128"/>
      <c r="AY395" s="130"/>
      <c r="AZ395" s="130"/>
      <c r="BA395" s="130"/>
      <c r="BB395" s="130"/>
      <c r="BC395" s="130"/>
      <c r="BD395" s="130"/>
      <c r="BE395" s="130"/>
      <c r="BF395" s="128"/>
      <c r="BG395" s="128"/>
      <c r="BH395" s="128"/>
      <c r="BI395" s="128"/>
      <c r="BJ395" s="128"/>
    </row>
    <row r="396" spans="1:62" ht="16.5" customHeight="1">
      <c r="A396" s="729" t="s">
        <v>695</v>
      </c>
      <c r="B396" s="757" t="s">
        <v>262</v>
      </c>
      <c r="C396" s="730" t="s">
        <v>691</v>
      </c>
      <c r="D396" s="707"/>
      <c r="E396" s="707"/>
      <c r="F396" s="770" t="s">
        <v>696</v>
      </c>
      <c r="G396" s="724"/>
      <c r="H396" s="724"/>
      <c r="I396" s="724"/>
      <c r="J396" s="724"/>
      <c r="K396" s="755" t="s">
        <v>448</v>
      </c>
      <c r="L396" s="729" t="s">
        <v>693</v>
      </c>
      <c r="M396" s="707"/>
      <c r="N396" s="140"/>
      <c r="O396" s="140"/>
      <c r="P396" s="729" t="s">
        <v>695</v>
      </c>
      <c r="Q396" s="757" t="s">
        <v>262</v>
      </c>
      <c r="R396" s="730">
        <v>0.7</v>
      </c>
      <c r="S396" s="707"/>
      <c r="T396" s="730" t="s">
        <v>357</v>
      </c>
      <c r="U396" s="751">
        <f>AY327</f>
        <v>0</v>
      </c>
      <c r="V396" s="724"/>
      <c r="W396" s="724"/>
      <c r="X396" s="724"/>
      <c r="Y396" s="724"/>
      <c r="Z396" s="206" t="s">
        <v>357</v>
      </c>
      <c r="AA396" s="738">
        <f>('Veri Girişi'!$B$111)^3</f>
        <v>27000000000</v>
      </c>
      <c r="AB396" s="724"/>
      <c r="AC396" s="724"/>
      <c r="AD396" s="724"/>
      <c r="AE396" s="724"/>
      <c r="AF396" s="724"/>
      <c r="AG396" s="757" t="s">
        <v>262</v>
      </c>
      <c r="AH396" s="734">
        <f>R396*AA396*U396/(U397*X397*AC397)</f>
        <v>0</v>
      </c>
      <c r="AI396" s="707"/>
      <c r="AJ396" s="707"/>
      <c r="AK396" s="721" t="s">
        <v>448</v>
      </c>
      <c r="AL396" s="721">
        <v>5</v>
      </c>
      <c r="AM396" s="722" t="s">
        <v>122</v>
      </c>
      <c r="AN396" s="707"/>
      <c r="AO396" s="130"/>
      <c r="AP396" s="130"/>
      <c r="AQ396" s="725" t="str">
        <f>IF(AH396&lt;=AL396,"UYGUNDUR.","UYGUN DEĞİLDİR.")</f>
        <v>UYGUNDUR.</v>
      </c>
      <c r="AR396" s="637"/>
      <c r="AS396" s="637"/>
      <c r="AT396" s="637"/>
      <c r="AU396" s="637"/>
      <c r="AV396" s="637"/>
      <c r="AW396" s="637"/>
      <c r="AX396" s="637"/>
      <c r="AY396" s="637"/>
      <c r="AZ396" s="690"/>
      <c r="BA396" s="130"/>
      <c r="BB396" s="130"/>
      <c r="BC396" s="130"/>
      <c r="BD396" s="130"/>
      <c r="BE396" s="130"/>
      <c r="BF396" s="128"/>
      <c r="BG396" s="128"/>
      <c r="BH396" s="128"/>
      <c r="BI396" s="128"/>
      <c r="BJ396" s="128"/>
    </row>
    <row r="397" spans="1:62" ht="16.5" customHeight="1">
      <c r="A397" s="707"/>
      <c r="B397" s="707"/>
      <c r="C397" s="707"/>
      <c r="D397" s="707"/>
      <c r="E397" s="707"/>
      <c r="F397" s="743" t="s">
        <v>697</v>
      </c>
      <c r="G397" s="637"/>
      <c r="H397" s="637"/>
      <c r="I397" s="637"/>
      <c r="J397" s="637"/>
      <c r="K397" s="707"/>
      <c r="L397" s="707"/>
      <c r="M397" s="707"/>
      <c r="N397" s="140"/>
      <c r="O397" s="140"/>
      <c r="P397" s="707"/>
      <c r="Q397" s="707"/>
      <c r="R397" s="707"/>
      <c r="S397" s="707"/>
      <c r="T397" s="707"/>
      <c r="U397" s="730">
        <f>48</f>
        <v>48</v>
      </c>
      <c r="V397" s="707"/>
      <c r="W397" s="171" t="s">
        <v>357</v>
      </c>
      <c r="X397" s="730">
        <v>206010</v>
      </c>
      <c r="Y397" s="707"/>
      <c r="Z397" s="707"/>
      <c r="AA397" s="707"/>
      <c r="AB397" s="171" t="s">
        <v>357</v>
      </c>
      <c r="AC397" s="730">
        <f>VLOOKUP('Veri Girişi'!$E$73,TABLOLAR!$I$60:$S$65,4,0)</f>
        <v>598300</v>
      </c>
      <c r="AD397" s="707"/>
      <c r="AE397" s="707"/>
      <c r="AF397" s="707"/>
      <c r="AG397" s="707"/>
      <c r="AH397" s="707"/>
      <c r="AI397" s="707"/>
      <c r="AJ397" s="707"/>
      <c r="AK397" s="707"/>
      <c r="AL397" s="707"/>
      <c r="AM397" s="707"/>
      <c r="AN397" s="707"/>
      <c r="AO397" s="130"/>
      <c r="AP397" s="130"/>
      <c r="AQ397" s="726"/>
      <c r="AR397" s="724"/>
      <c r="AS397" s="724"/>
      <c r="AT397" s="724"/>
      <c r="AU397" s="724"/>
      <c r="AV397" s="724"/>
      <c r="AW397" s="724"/>
      <c r="AX397" s="724"/>
      <c r="AY397" s="724"/>
      <c r="AZ397" s="727"/>
      <c r="BA397" s="130"/>
      <c r="BB397" s="130"/>
      <c r="BC397" s="130"/>
      <c r="BD397" s="130"/>
      <c r="BE397" s="130"/>
      <c r="BF397" s="128"/>
      <c r="BG397" s="128"/>
      <c r="BH397" s="128"/>
      <c r="BI397" s="128"/>
      <c r="BJ397" s="128"/>
    </row>
    <row r="398" spans="1:62" ht="4.5" customHeight="1">
      <c r="A398" s="146"/>
      <c r="B398" s="140"/>
      <c r="C398" s="140"/>
      <c r="D398" s="146"/>
      <c r="E398" s="140"/>
      <c r="F398" s="140"/>
      <c r="G398" s="174"/>
      <c r="H398" s="174"/>
      <c r="I398" s="174"/>
      <c r="J398" s="140"/>
      <c r="K398" s="140"/>
      <c r="L398" s="140"/>
      <c r="M398" s="140"/>
      <c r="N398" s="140"/>
      <c r="O398" s="140"/>
      <c r="P398" s="140"/>
      <c r="Q398" s="140"/>
      <c r="R398" s="140"/>
      <c r="S398" s="174"/>
      <c r="T398" s="174"/>
      <c r="U398" s="174"/>
      <c r="V398" s="174"/>
      <c r="W398" s="174"/>
      <c r="X398" s="174"/>
      <c r="Y398" s="140"/>
      <c r="Z398" s="196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28"/>
      <c r="AK398" s="128"/>
      <c r="AL398" s="128"/>
      <c r="AM398" s="128"/>
      <c r="AN398" s="128"/>
      <c r="AO398" s="130"/>
      <c r="AP398" s="130"/>
      <c r="AQ398" s="130"/>
      <c r="AR398" s="130"/>
      <c r="AS398" s="130"/>
      <c r="AT398" s="130"/>
      <c r="AU398" s="130"/>
      <c r="AV398" s="130"/>
      <c r="AW398" s="130"/>
      <c r="AX398" s="128"/>
      <c r="AY398" s="130"/>
      <c r="AZ398" s="130"/>
      <c r="BA398" s="130"/>
      <c r="BB398" s="130"/>
      <c r="BC398" s="130"/>
      <c r="BD398" s="130"/>
      <c r="BE398" s="130"/>
      <c r="BF398" s="128"/>
      <c r="BG398" s="128"/>
      <c r="BH398" s="128"/>
      <c r="BI398" s="128"/>
      <c r="BJ398" s="128"/>
    </row>
    <row r="399" spans="1:62" ht="15" customHeight="1">
      <c r="A399" s="128" t="s">
        <v>698</v>
      </c>
      <c r="B399" s="140"/>
      <c r="C399" s="140"/>
      <c r="D399" s="146"/>
      <c r="E399" s="140"/>
      <c r="F399" s="143"/>
      <c r="G399" s="174"/>
      <c r="H399" s="174"/>
      <c r="I399" s="174"/>
      <c r="J399" s="140"/>
      <c r="K399" s="140"/>
      <c r="L399" s="140"/>
      <c r="M399" s="140"/>
      <c r="N399" s="143"/>
      <c r="O399" s="140"/>
      <c r="P399" s="140"/>
      <c r="Q399" s="140"/>
      <c r="R399" s="140"/>
      <c r="S399" s="174"/>
      <c r="T399" s="174"/>
      <c r="U399" s="174"/>
      <c r="V399" s="174"/>
      <c r="W399" s="174"/>
      <c r="X399" s="174"/>
      <c r="Y399" s="140"/>
      <c r="Z399" s="196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28"/>
      <c r="AK399" s="128"/>
      <c r="AL399" s="128"/>
      <c r="AM399" s="128"/>
      <c r="AN399" s="128"/>
      <c r="AO399" s="130"/>
      <c r="AP399" s="130"/>
      <c r="AQ399" s="130"/>
      <c r="AR399" s="130"/>
      <c r="AS399" s="130"/>
      <c r="AT399" s="130"/>
      <c r="AU399" s="130"/>
      <c r="AV399" s="130"/>
      <c r="AW399" s="130"/>
      <c r="AX399" s="128"/>
      <c r="AY399" s="130"/>
      <c r="AZ399" s="130"/>
      <c r="BA399" s="130"/>
      <c r="BB399" s="130"/>
      <c r="BC399" s="130"/>
      <c r="BD399" s="130"/>
      <c r="BE399" s="130"/>
      <c r="BF399" s="128"/>
      <c r="BG399" s="128"/>
      <c r="BH399" s="128"/>
      <c r="BI399" s="128"/>
      <c r="BJ399" s="128"/>
    </row>
    <row r="400" spans="1:62" ht="4.5" customHeight="1">
      <c r="A400" s="146"/>
      <c r="B400" s="140"/>
      <c r="C400" s="140"/>
      <c r="D400" s="146"/>
      <c r="E400" s="140"/>
      <c r="F400" s="143"/>
      <c r="G400" s="174"/>
      <c r="H400" s="174"/>
      <c r="I400" s="174"/>
      <c r="J400" s="140"/>
      <c r="K400" s="140"/>
      <c r="L400" s="140"/>
      <c r="M400" s="140"/>
      <c r="N400" s="143"/>
      <c r="O400" s="140"/>
      <c r="P400" s="140"/>
      <c r="Q400" s="140"/>
      <c r="R400" s="140"/>
      <c r="S400" s="174"/>
      <c r="T400" s="174"/>
      <c r="U400" s="174"/>
      <c r="V400" s="174"/>
      <c r="W400" s="174"/>
      <c r="X400" s="174"/>
      <c r="Y400" s="140"/>
      <c r="Z400" s="196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28"/>
      <c r="AK400" s="128"/>
      <c r="AL400" s="128"/>
      <c r="AM400" s="128"/>
      <c r="AN400" s="128"/>
      <c r="AO400" s="130"/>
      <c r="AP400" s="130"/>
      <c r="AQ400" s="130"/>
      <c r="AR400" s="130"/>
      <c r="AS400" s="130"/>
      <c r="AT400" s="130"/>
      <c r="AU400" s="130"/>
      <c r="AV400" s="130"/>
      <c r="AW400" s="130"/>
      <c r="AX400" s="128"/>
      <c r="AY400" s="130"/>
      <c r="AZ400" s="130"/>
      <c r="BA400" s="130"/>
      <c r="BB400" s="130"/>
      <c r="BC400" s="130"/>
      <c r="BD400" s="130"/>
      <c r="BE400" s="130"/>
      <c r="BF400" s="128"/>
      <c r="BG400" s="128"/>
      <c r="BH400" s="128"/>
      <c r="BI400" s="128"/>
      <c r="BJ400" s="128"/>
    </row>
    <row r="401" spans="1:62" ht="15" customHeight="1">
      <c r="A401" s="729" t="s">
        <v>690</v>
      </c>
      <c r="B401" s="757" t="s">
        <v>262</v>
      </c>
      <c r="C401" s="730" t="s">
        <v>691</v>
      </c>
      <c r="D401" s="707"/>
      <c r="E401" s="707"/>
      <c r="F401" s="808" t="s">
        <v>692</v>
      </c>
      <c r="G401" s="724"/>
      <c r="H401" s="724"/>
      <c r="I401" s="724"/>
      <c r="J401" s="724"/>
      <c r="K401" s="755" t="s">
        <v>448</v>
      </c>
      <c r="L401" s="729" t="s">
        <v>693</v>
      </c>
      <c r="M401" s="707"/>
      <c r="N401" s="140"/>
      <c r="O401" s="140"/>
      <c r="P401" s="729" t="s">
        <v>690</v>
      </c>
      <c r="Q401" s="757" t="s">
        <v>262</v>
      </c>
      <c r="R401" s="730">
        <v>0.7</v>
      </c>
      <c r="S401" s="707"/>
      <c r="T401" s="730" t="s">
        <v>357</v>
      </c>
      <c r="U401" s="751">
        <f>AY335</f>
        <v>156.88786764705881</v>
      </c>
      <c r="V401" s="724"/>
      <c r="W401" s="724"/>
      <c r="X401" s="724"/>
      <c r="Y401" s="724"/>
      <c r="Z401" s="206" t="s">
        <v>357</v>
      </c>
      <c r="AA401" s="738">
        <f>('Veri Girişi'!$B$111)^3</f>
        <v>27000000000</v>
      </c>
      <c r="AB401" s="724"/>
      <c r="AC401" s="724"/>
      <c r="AD401" s="724"/>
      <c r="AE401" s="724"/>
      <c r="AF401" s="724"/>
      <c r="AG401" s="757" t="s">
        <v>262</v>
      </c>
      <c r="AH401" s="734">
        <f>R401*AA401*U401/(U402*X402*AC402)</f>
        <v>0.5721467894541904</v>
      </c>
      <c r="AI401" s="707"/>
      <c r="AJ401" s="707"/>
      <c r="AK401" s="721" t="s">
        <v>448</v>
      </c>
      <c r="AL401" s="721">
        <v>5</v>
      </c>
      <c r="AM401" s="722" t="s">
        <v>122</v>
      </c>
      <c r="AN401" s="707"/>
      <c r="AO401" s="130"/>
      <c r="AP401" s="130"/>
      <c r="AQ401" s="725" t="str">
        <f>IF(AH401&lt;=AL401,"UYGUNDUR.","UYGUN DEĞİLDİR.")</f>
        <v>UYGUNDUR.</v>
      </c>
      <c r="AR401" s="637"/>
      <c r="AS401" s="637"/>
      <c r="AT401" s="637"/>
      <c r="AU401" s="637"/>
      <c r="AV401" s="637"/>
      <c r="AW401" s="637"/>
      <c r="AX401" s="637"/>
      <c r="AY401" s="637"/>
      <c r="AZ401" s="690"/>
      <c r="BA401" s="130"/>
      <c r="BB401" s="130"/>
      <c r="BC401" s="130"/>
      <c r="BD401" s="130"/>
      <c r="BE401" s="130"/>
      <c r="BF401" s="128"/>
      <c r="BG401" s="128"/>
      <c r="BH401" s="128"/>
      <c r="BI401" s="128"/>
      <c r="BJ401" s="128"/>
    </row>
    <row r="402" spans="1:62" ht="15" customHeight="1">
      <c r="A402" s="707"/>
      <c r="B402" s="707"/>
      <c r="C402" s="707"/>
      <c r="D402" s="707"/>
      <c r="E402" s="707"/>
      <c r="F402" s="743" t="s">
        <v>694</v>
      </c>
      <c r="G402" s="637"/>
      <c r="H402" s="637"/>
      <c r="I402" s="637"/>
      <c r="J402" s="637"/>
      <c r="K402" s="707"/>
      <c r="L402" s="707"/>
      <c r="M402" s="707"/>
      <c r="N402" s="140"/>
      <c r="O402" s="140"/>
      <c r="P402" s="707"/>
      <c r="Q402" s="707"/>
      <c r="R402" s="707"/>
      <c r="S402" s="707"/>
      <c r="T402" s="707"/>
      <c r="U402" s="730">
        <f>48</f>
        <v>48</v>
      </c>
      <c r="V402" s="707"/>
      <c r="W402" s="171" t="s">
        <v>357</v>
      </c>
      <c r="X402" s="730">
        <v>206010</v>
      </c>
      <c r="Y402" s="707"/>
      <c r="Z402" s="707"/>
      <c r="AA402" s="707"/>
      <c r="AB402" s="171" t="s">
        <v>357</v>
      </c>
      <c r="AC402" s="730">
        <f>VLOOKUP('Veri Girişi'!$E$73,TABLOLAR!$I$60:$S$65,5,0)</f>
        <v>524100</v>
      </c>
      <c r="AD402" s="707"/>
      <c r="AE402" s="707"/>
      <c r="AF402" s="707"/>
      <c r="AG402" s="707"/>
      <c r="AH402" s="707"/>
      <c r="AI402" s="707"/>
      <c r="AJ402" s="707"/>
      <c r="AK402" s="707"/>
      <c r="AL402" s="707"/>
      <c r="AM402" s="707"/>
      <c r="AN402" s="707"/>
      <c r="AO402" s="130"/>
      <c r="AP402" s="130"/>
      <c r="AQ402" s="726"/>
      <c r="AR402" s="724"/>
      <c r="AS402" s="724"/>
      <c r="AT402" s="724"/>
      <c r="AU402" s="724"/>
      <c r="AV402" s="724"/>
      <c r="AW402" s="724"/>
      <c r="AX402" s="724"/>
      <c r="AY402" s="724"/>
      <c r="AZ402" s="727"/>
      <c r="BA402" s="130"/>
      <c r="BB402" s="130"/>
      <c r="BC402" s="130"/>
      <c r="BD402" s="130"/>
      <c r="BE402" s="130"/>
      <c r="BF402" s="128"/>
      <c r="BG402" s="128"/>
      <c r="BH402" s="128"/>
      <c r="BI402" s="128"/>
      <c r="BJ402" s="128"/>
    </row>
    <row r="403" spans="1:62" ht="4.5" customHeight="1">
      <c r="A403" s="146"/>
      <c r="B403" s="140"/>
      <c r="C403" s="140"/>
      <c r="D403" s="146"/>
      <c r="E403" s="140"/>
      <c r="F403" s="140"/>
      <c r="G403" s="174"/>
      <c r="H403" s="174"/>
      <c r="I403" s="174"/>
      <c r="J403" s="140"/>
      <c r="K403" s="140"/>
      <c r="L403" s="140"/>
      <c r="M403" s="140"/>
      <c r="N403" s="140"/>
      <c r="O403" s="140"/>
      <c r="P403" s="140"/>
      <c r="Q403" s="140"/>
      <c r="R403" s="140"/>
      <c r="S403" s="174"/>
      <c r="T403" s="174"/>
      <c r="U403" s="174"/>
      <c r="V403" s="174"/>
      <c r="W403" s="174"/>
      <c r="X403" s="174"/>
      <c r="Y403" s="140"/>
      <c r="Z403" s="196"/>
      <c r="AA403" s="196"/>
      <c r="AB403" s="196"/>
      <c r="AC403" s="196"/>
      <c r="AD403" s="196"/>
      <c r="AE403" s="196"/>
      <c r="AF403" s="196"/>
      <c r="AG403" s="196"/>
      <c r="AH403" s="241"/>
      <c r="AI403" s="241"/>
      <c r="AJ403" s="242"/>
      <c r="AK403" s="128"/>
      <c r="AL403" s="128"/>
      <c r="AM403" s="128"/>
      <c r="AN403" s="128"/>
      <c r="AO403" s="130"/>
      <c r="AP403" s="130"/>
      <c r="AQ403" s="130"/>
      <c r="AR403" s="130"/>
      <c r="AS403" s="130"/>
      <c r="AT403" s="130"/>
      <c r="AU403" s="130"/>
      <c r="AV403" s="130"/>
      <c r="AW403" s="130"/>
      <c r="AX403" s="128"/>
      <c r="AY403" s="130"/>
      <c r="AZ403" s="130"/>
      <c r="BA403" s="130"/>
      <c r="BB403" s="130"/>
      <c r="BC403" s="130"/>
      <c r="BD403" s="130"/>
      <c r="BE403" s="130"/>
      <c r="BF403" s="128"/>
      <c r="BG403" s="128"/>
      <c r="BH403" s="128"/>
      <c r="BI403" s="128"/>
      <c r="BJ403" s="128"/>
    </row>
    <row r="404" spans="1:62" ht="16.5" customHeight="1">
      <c r="A404" s="729" t="s">
        <v>695</v>
      </c>
      <c r="B404" s="757" t="s">
        <v>262</v>
      </c>
      <c r="C404" s="730" t="s">
        <v>691</v>
      </c>
      <c r="D404" s="707"/>
      <c r="E404" s="707"/>
      <c r="F404" s="751" t="s">
        <v>696</v>
      </c>
      <c r="G404" s="724"/>
      <c r="H404" s="724"/>
      <c r="I404" s="724"/>
      <c r="J404" s="724"/>
      <c r="K404" s="755" t="s">
        <v>448</v>
      </c>
      <c r="L404" s="729" t="s">
        <v>693</v>
      </c>
      <c r="M404" s="707"/>
      <c r="N404" s="140"/>
      <c r="O404" s="140"/>
      <c r="P404" s="729" t="s">
        <v>695</v>
      </c>
      <c r="Q404" s="757" t="s">
        <v>262</v>
      </c>
      <c r="R404" s="730">
        <v>0.7</v>
      </c>
      <c r="S404" s="707"/>
      <c r="T404" s="730" t="s">
        <v>357</v>
      </c>
      <c r="U404" s="723">
        <f>K344</f>
        <v>836.73529411764707</v>
      </c>
      <c r="V404" s="724"/>
      <c r="W404" s="724"/>
      <c r="X404" s="724"/>
      <c r="Y404" s="724"/>
      <c r="Z404" s="206" t="s">
        <v>357</v>
      </c>
      <c r="AA404" s="738">
        <f>('Veri Girişi'!$B$111)^3</f>
        <v>27000000000</v>
      </c>
      <c r="AB404" s="724"/>
      <c r="AC404" s="724"/>
      <c r="AD404" s="724"/>
      <c r="AE404" s="724"/>
      <c r="AF404" s="724"/>
      <c r="AG404" s="757" t="s">
        <v>262</v>
      </c>
      <c r="AH404" s="734">
        <f>R404*AA404*U404/(U405*X405*AC405)</f>
        <v>2.6730147181720758</v>
      </c>
      <c r="AI404" s="707"/>
      <c r="AJ404" s="707"/>
      <c r="AK404" s="721" t="s">
        <v>448</v>
      </c>
      <c r="AL404" s="721">
        <v>5</v>
      </c>
      <c r="AM404" s="722" t="s">
        <v>122</v>
      </c>
      <c r="AN404" s="707"/>
      <c r="AO404" s="130"/>
      <c r="AP404" s="130"/>
      <c r="AQ404" s="725" t="str">
        <f>IF(AH404&lt;=AL404,"UYGUNDUR.","UYGUN DEĞİLDİR.")</f>
        <v>UYGUNDUR.</v>
      </c>
      <c r="AR404" s="637"/>
      <c r="AS404" s="637"/>
      <c r="AT404" s="637"/>
      <c r="AU404" s="637"/>
      <c r="AV404" s="637"/>
      <c r="AW404" s="637"/>
      <c r="AX404" s="637"/>
      <c r="AY404" s="637"/>
      <c r="AZ404" s="690"/>
      <c r="BA404" s="130"/>
      <c r="BB404" s="130"/>
      <c r="BC404" s="130"/>
      <c r="BD404" s="130"/>
      <c r="BE404" s="130"/>
      <c r="BF404" s="128"/>
      <c r="BG404" s="128"/>
      <c r="BH404" s="128"/>
      <c r="BI404" s="128"/>
      <c r="BJ404" s="128"/>
    </row>
    <row r="405" spans="1:62" ht="16.5" customHeight="1">
      <c r="A405" s="707"/>
      <c r="B405" s="707"/>
      <c r="C405" s="707"/>
      <c r="D405" s="707"/>
      <c r="E405" s="707"/>
      <c r="F405" s="743" t="s">
        <v>697</v>
      </c>
      <c r="G405" s="637"/>
      <c r="H405" s="637"/>
      <c r="I405" s="637"/>
      <c r="J405" s="637"/>
      <c r="K405" s="707"/>
      <c r="L405" s="707"/>
      <c r="M405" s="707"/>
      <c r="N405" s="140"/>
      <c r="O405" s="140"/>
      <c r="P405" s="707"/>
      <c r="Q405" s="707"/>
      <c r="R405" s="707"/>
      <c r="S405" s="707"/>
      <c r="T405" s="707"/>
      <c r="U405" s="730">
        <f>48</f>
        <v>48</v>
      </c>
      <c r="V405" s="707"/>
      <c r="W405" s="171" t="s">
        <v>357</v>
      </c>
      <c r="X405" s="730">
        <v>206010</v>
      </c>
      <c r="Y405" s="707"/>
      <c r="Z405" s="707"/>
      <c r="AA405" s="707"/>
      <c r="AB405" s="171" t="s">
        <v>357</v>
      </c>
      <c r="AC405" s="730">
        <f>VLOOKUP('Veri Girişi'!$E$73,TABLOLAR!$I$60:$S$65,4,0)</f>
        <v>598300</v>
      </c>
      <c r="AD405" s="707"/>
      <c r="AE405" s="707"/>
      <c r="AF405" s="707"/>
      <c r="AG405" s="707"/>
      <c r="AH405" s="707"/>
      <c r="AI405" s="707"/>
      <c r="AJ405" s="707"/>
      <c r="AK405" s="707"/>
      <c r="AL405" s="707"/>
      <c r="AM405" s="707"/>
      <c r="AN405" s="707"/>
      <c r="AO405" s="130"/>
      <c r="AP405" s="130"/>
      <c r="AQ405" s="726"/>
      <c r="AR405" s="724"/>
      <c r="AS405" s="724"/>
      <c r="AT405" s="724"/>
      <c r="AU405" s="724"/>
      <c r="AV405" s="724"/>
      <c r="AW405" s="724"/>
      <c r="AX405" s="724"/>
      <c r="AY405" s="724"/>
      <c r="AZ405" s="727"/>
      <c r="BA405" s="130"/>
      <c r="BB405" s="130"/>
      <c r="BC405" s="130"/>
      <c r="BD405" s="130"/>
      <c r="BE405" s="130"/>
      <c r="BF405" s="128"/>
      <c r="BG405" s="128"/>
      <c r="BH405" s="128"/>
      <c r="BI405" s="128"/>
      <c r="BJ405" s="128"/>
    </row>
    <row r="406" spans="1:62" ht="4.5" customHeight="1">
      <c r="A406" s="146"/>
      <c r="B406" s="140"/>
      <c r="C406" s="140"/>
      <c r="D406" s="146"/>
      <c r="E406" s="140"/>
      <c r="F406" s="140"/>
      <c r="G406" s="174"/>
      <c r="H406" s="174"/>
      <c r="I406" s="174"/>
      <c r="J406" s="140"/>
      <c r="K406" s="140"/>
      <c r="L406" s="140"/>
      <c r="M406" s="140"/>
      <c r="N406" s="140"/>
      <c r="O406" s="140"/>
      <c r="P406" s="140"/>
      <c r="Q406" s="140"/>
      <c r="R406" s="140"/>
      <c r="S406" s="174"/>
      <c r="T406" s="174"/>
      <c r="U406" s="174"/>
      <c r="V406" s="174"/>
      <c r="W406" s="174"/>
      <c r="X406" s="174"/>
      <c r="Y406" s="140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28"/>
      <c r="AK406" s="128"/>
      <c r="AL406" s="128"/>
      <c r="AM406" s="128"/>
      <c r="AN406" s="128"/>
      <c r="AO406" s="130"/>
      <c r="AP406" s="130"/>
      <c r="AQ406" s="130"/>
      <c r="AR406" s="130"/>
      <c r="AS406" s="130"/>
      <c r="AT406" s="130"/>
      <c r="AU406" s="130"/>
      <c r="AV406" s="130"/>
      <c r="AW406" s="130"/>
      <c r="AX406" s="128"/>
      <c r="AY406" s="130"/>
      <c r="AZ406" s="130"/>
      <c r="BA406" s="130"/>
      <c r="BB406" s="130"/>
      <c r="BC406" s="130"/>
      <c r="BD406" s="130"/>
      <c r="BE406" s="130"/>
      <c r="BF406" s="128"/>
      <c r="BG406" s="128"/>
      <c r="BH406" s="128"/>
      <c r="BI406" s="128"/>
      <c r="BJ406" s="128"/>
    </row>
    <row r="407" spans="1:62" ht="15" customHeight="1">
      <c r="A407" s="233" t="s">
        <v>699</v>
      </c>
      <c r="B407" s="140"/>
      <c r="C407" s="140"/>
      <c r="D407" s="146"/>
      <c r="E407" s="140"/>
      <c r="F407" s="140"/>
      <c r="G407" s="174"/>
      <c r="H407" s="174"/>
      <c r="I407" s="174"/>
      <c r="J407" s="140"/>
      <c r="K407" s="140"/>
      <c r="L407" s="140"/>
      <c r="M407" s="140"/>
      <c r="N407" s="140"/>
      <c r="O407" s="140"/>
      <c r="P407" s="140"/>
      <c r="Q407" s="140"/>
      <c r="R407" s="140"/>
      <c r="S407" s="174"/>
      <c r="T407" s="174"/>
      <c r="U407" s="174"/>
      <c r="V407" s="174"/>
      <c r="W407" s="174"/>
      <c r="X407" s="174"/>
      <c r="Y407" s="140"/>
      <c r="Z407" s="130"/>
      <c r="AA407" s="130"/>
      <c r="AB407" s="130"/>
      <c r="AC407" s="130"/>
      <c r="AD407" s="130"/>
      <c r="AE407" s="130"/>
      <c r="AF407" s="130"/>
      <c r="AG407" s="130"/>
      <c r="AH407" s="130"/>
      <c r="AI407" s="130"/>
      <c r="AJ407" s="128"/>
      <c r="AK407" s="128"/>
      <c r="AL407" s="128"/>
      <c r="AM407" s="128"/>
      <c r="AN407" s="128"/>
      <c r="AO407" s="130"/>
      <c r="AP407" s="130"/>
      <c r="AQ407" s="130"/>
      <c r="AR407" s="130"/>
      <c r="AS407" s="130"/>
      <c r="AT407" s="130"/>
      <c r="AU407" s="130"/>
      <c r="AV407" s="130"/>
      <c r="AW407" s="130"/>
      <c r="AX407" s="128"/>
      <c r="AY407" s="130"/>
      <c r="AZ407" s="130"/>
      <c r="BA407" s="130"/>
      <c r="BB407" s="130"/>
      <c r="BC407" s="130"/>
      <c r="BD407" s="130"/>
      <c r="BE407" s="130"/>
      <c r="BF407" s="128"/>
      <c r="BG407" s="128"/>
      <c r="BH407" s="128"/>
      <c r="BI407" s="128"/>
      <c r="BJ407" s="128"/>
    </row>
    <row r="408" spans="1:62" ht="4.5" customHeight="1">
      <c r="A408" s="233"/>
      <c r="B408" s="140"/>
      <c r="C408" s="140"/>
      <c r="D408" s="146"/>
      <c r="E408" s="140"/>
      <c r="F408" s="140"/>
      <c r="G408" s="174"/>
      <c r="H408" s="174"/>
      <c r="I408" s="174"/>
      <c r="J408" s="140"/>
      <c r="K408" s="140"/>
      <c r="L408" s="140"/>
      <c r="M408" s="140"/>
      <c r="N408" s="140"/>
      <c r="O408" s="140"/>
      <c r="P408" s="140"/>
      <c r="Q408" s="140"/>
      <c r="R408" s="140"/>
      <c r="S408" s="174"/>
      <c r="T408" s="174"/>
      <c r="U408" s="174"/>
      <c r="V408" s="174"/>
      <c r="W408" s="174"/>
      <c r="X408" s="174"/>
      <c r="Y408" s="140"/>
      <c r="Z408" s="130"/>
      <c r="AA408" s="130"/>
      <c r="AB408" s="130"/>
      <c r="AC408" s="130"/>
      <c r="AD408" s="130"/>
      <c r="AE408" s="130"/>
      <c r="AF408" s="130"/>
      <c r="AG408" s="130"/>
      <c r="AH408" s="130"/>
      <c r="AI408" s="130"/>
      <c r="AJ408" s="128"/>
      <c r="AK408" s="128"/>
      <c r="AL408" s="128"/>
      <c r="AM408" s="128"/>
      <c r="AN408" s="128"/>
      <c r="AO408" s="130"/>
      <c r="AP408" s="130"/>
      <c r="AQ408" s="130"/>
      <c r="AR408" s="130"/>
      <c r="AS408" s="130"/>
      <c r="AT408" s="130"/>
      <c r="AU408" s="130"/>
      <c r="AV408" s="130"/>
      <c r="AW408" s="130"/>
      <c r="AX408" s="128"/>
      <c r="AY408" s="130"/>
      <c r="AZ408" s="130"/>
      <c r="BA408" s="130"/>
      <c r="BB408" s="130"/>
      <c r="BC408" s="130"/>
      <c r="BD408" s="130"/>
      <c r="BE408" s="130"/>
      <c r="BF408" s="128"/>
      <c r="BG408" s="128"/>
      <c r="BH408" s="128"/>
      <c r="BI408" s="128"/>
      <c r="BJ408" s="128"/>
    </row>
    <row r="409" spans="1:62" ht="15" customHeight="1">
      <c r="A409" s="146" t="s">
        <v>652</v>
      </c>
      <c r="B409" s="140"/>
      <c r="C409" s="140"/>
      <c r="D409" s="146"/>
      <c r="E409" s="140"/>
      <c r="F409" s="140"/>
      <c r="G409" s="174"/>
      <c r="H409" s="174"/>
      <c r="I409" s="174"/>
      <c r="J409" s="140"/>
      <c r="K409" s="140"/>
      <c r="L409" s="140"/>
      <c r="M409" s="140"/>
      <c r="N409" s="140"/>
      <c r="O409" s="140"/>
      <c r="P409" s="140"/>
      <c r="Q409" s="140"/>
      <c r="R409" s="140"/>
      <c r="S409" s="174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30"/>
      <c r="BB409" s="130"/>
      <c r="BC409" s="130"/>
      <c r="BD409" s="130"/>
      <c r="BE409" s="130"/>
      <c r="BF409" s="128"/>
      <c r="BG409" s="128"/>
      <c r="BH409" s="128"/>
      <c r="BI409" s="128"/>
      <c r="BJ409" s="128"/>
    </row>
    <row r="410" spans="1:62" ht="15" customHeight="1">
      <c r="A410" s="128" t="s">
        <v>653</v>
      </c>
      <c r="B410" s="140"/>
      <c r="C410" s="140"/>
      <c r="D410" s="146"/>
      <c r="E410" s="140"/>
      <c r="F410" s="140"/>
      <c r="G410" s="174"/>
      <c r="H410" s="174"/>
      <c r="I410" s="174"/>
      <c r="J410" s="140"/>
      <c r="K410" s="140"/>
      <c r="L410" s="140"/>
      <c r="M410" s="140"/>
      <c r="N410" s="140"/>
      <c r="O410" s="140"/>
      <c r="P410" s="140"/>
      <c r="Q410" s="140"/>
      <c r="R410" s="140"/>
      <c r="S410" s="174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30"/>
      <c r="BB410" s="130"/>
      <c r="BC410" s="130"/>
      <c r="BD410" s="130"/>
      <c r="BE410" s="130"/>
      <c r="BF410" s="128"/>
      <c r="BG410" s="128"/>
      <c r="BH410" s="128"/>
      <c r="BI410" s="128"/>
      <c r="BJ410" s="128"/>
    </row>
    <row r="411" spans="1:62" ht="4.5" customHeight="1">
      <c r="A411" s="146"/>
      <c r="B411" s="140"/>
      <c r="C411" s="140"/>
      <c r="D411" s="146"/>
      <c r="E411" s="140"/>
      <c r="F411" s="140"/>
      <c r="G411" s="174"/>
      <c r="H411" s="174"/>
      <c r="I411" s="174"/>
      <c r="J411" s="140"/>
      <c r="K411" s="140"/>
      <c r="L411" s="140"/>
      <c r="M411" s="140"/>
      <c r="N411" s="140"/>
      <c r="O411" s="140"/>
      <c r="P411" s="140"/>
      <c r="Q411" s="140"/>
      <c r="R411" s="140"/>
      <c r="S411" s="174"/>
      <c r="T411" s="174"/>
      <c r="U411" s="174"/>
      <c r="V411" s="174"/>
      <c r="W411" s="174"/>
      <c r="X411" s="174"/>
      <c r="Y411" s="140"/>
      <c r="Z411" s="130"/>
      <c r="AA411" s="130"/>
      <c r="AB411" s="130"/>
      <c r="AC411" s="130"/>
      <c r="AD411" s="130"/>
      <c r="AE411" s="130"/>
      <c r="AF411" s="130"/>
      <c r="AG411" s="130"/>
      <c r="AH411" s="130"/>
      <c r="AI411" s="130"/>
      <c r="AJ411" s="128"/>
      <c r="AK411" s="128"/>
      <c r="AL411" s="128"/>
      <c r="AM411" s="128"/>
      <c r="AN411" s="128"/>
      <c r="AO411" s="130"/>
      <c r="AP411" s="130"/>
      <c r="AQ411" s="130"/>
      <c r="AR411" s="130"/>
      <c r="AS411" s="130"/>
      <c r="AT411" s="130"/>
      <c r="AU411" s="130"/>
      <c r="AV411" s="130"/>
      <c r="AW411" s="130"/>
      <c r="AX411" s="128"/>
      <c r="AY411" s="130"/>
      <c r="AZ411" s="130"/>
      <c r="BA411" s="130"/>
      <c r="BB411" s="130"/>
      <c r="BC411" s="130"/>
      <c r="BD411" s="130"/>
      <c r="BE411" s="130"/>
      <c r="BF411" s="128"/>
      <c r="BG411" s="128"/>
      <c r="BH411" s="128"/>
      <c r="BI411" s="128"/>
      <c r="BJ411" s="128"/>
    </row>
    <row r="412" spans="1:62" ht="15" customHeight="1">
      <c r="A412" s="721" t="s">
        <v>654</v>
      </c>
      <c r="B412" s="707"/>
      <c r="C412" s="751" t="s">
        <v>700</v>
      </c>
      <c r="D412" s="724"/>
      <c r="E412" s="724"/>
      <c r="F412" s="724"/>
      <c r="G412" s="724"/>
      <c r="H412" s="724"/>
      <c r="I412" s="724"/>
      <c r="J412" s="724"/>
      <c r="K412" s="724"/>
      <c r="L412" s="724"/>
      <c r="M412" s="724"/>
      <c r="N412" s="724"/>
      <c r="O412" s="724"/>
      <c r="P412" s="724"/>
      <c r="Q412" s="724"/>
      <c r="R412" s="724"/>
      <c r="S412" s="724"/>
      <c r="T412" s="128"/>
      <c r="U412" s="128"/>
      <c r="V412" s="721" t="s">
        <v>654</v>
      </c>
      <c r="W412" s="707"/>
      <c r="X412" s="751">
        <v>1.2</v>
      </c>
      <c r="Y412" s="724"/>
      <c r="Z412" s="234" t="s">
        <v>357</v>
      </c>
      <c r="AA412" s="751">
        <v>9.81</v>
      </c>
      <c r="AB412" s="724"/>
      <c r="AC412" s="724"/>
      <c r="AD412" s="205" t="s">
        <v>357</v>
      </c>
      <c r="AE412" s="243" t="s">
        <v>481</v>
      </c>
      <c r="AF412" s="762">
        <f>'Veri Girişi'!$C$59</f>
        <v>800</v>
      </c>
      <c r="AG412" s="724"/>
      <c r="AH412" s="724"/>
      <c r="AI412" s="205" t="s">
        <v>357</v>
      </c>
      <c r="AJ412" s="205" t="s">
        <v>413</v>
      </c>
      <c r="AK412" s="760">
        <f>$Z$309</f>
        <v>323.75</v>
      </c>
      <c r="AL412" s="724"/>
      <c r="AM412" s="199" t="s">
        <v>317</v>
      </c>
      <c r="AN412" s="244">
        <f>$AH$297</f>
        <v>0</v>
      </c>
      <c r="AO412" s="199" t="s">
        <v>414</v>
      </c>
      <c r="AP412" s="199" t="s">
        <v>316</v>
      </c>
      <c r="AQ412" s="762">
        <f>'Veri Girişi'!$C$75</f>
        <v>700</v>
      </c>
      <c r="AR412" s="724"/>
      <c r="AS412" s="724"/>
      <c r="AT412" s="205" t="s">
        <v>357</v>
      </c>
      <c r="AU412" s="205" t="s">
        <v>413</v>
      </c>
      <c r="AV412" s="786">
        <f>$AH$295</f>
        <v>77.678571428571431</v>
      </c>
      <c r="AW412" s="724"/>
      <c r="AX412" s="205" t="s">
        <v>317</v>
      </c>
      <c r="AY412" s="786">
        <f>$AH$297</f>
        <v>0</v>
      </c>
      <c r="AZ412" s="724"/>
      <c r="BA412" s="205" t="s">
        <v>491</v>
      </c>
      <c r="BB412" s="130"/>
      <c r="BC412" s="130"/>
      <c r="BD412" s="130"/>
      <c r="BE412" s="130"/>
      <c r="BF412" s="128"/>
      <c r="BG412" s="128"/>
      <c r="BH412" s="128"/>
      <c r="BI412" s="128"/>
      <c r="BJ412" s="128"/>
    </row>
    <row r="413" spans="1:62" ht="15" customHeight="1">
      <c r="A413" s="707"/>
      <c r="B413" s="707"/>
      <c r="C413" s="742" t="s">
        <v>656</v>
      </c>
      <c r="D413" s="637"/>
      <c r="E413" s="637"/>
      <c r="F413" s="637"/>
      <c r="G413" s="637"/>
      <c r="H413" s="637"/>
      <c r="I413" s="637"/>
      <c r="J413" s="637"/>
      <c r="K413" s="637"/>
      <c r="L413" s="637"/>
      <c r="M413" s="637"/>
      <c r="N413" s="637"/>
      <c r="O413" s="637"/>
      <c r="P413" s="637"/>
      <c r="Q413" s="637"/>
      <c r="R413" s="637"/>
      <c r="S413" s="637"/>
      <c r="T413" s="128"/>
      <c r="U413" s="128"/>
      <c r="V413" s="707"/>
      <c r="W413" s="707"/>
      <c r="X413" s="128"/>
      <c r="Y413" s="174"/>
      <c r="Z413" s="174"/>
      <c r="AA413" s="140"/>
      <c r="AB413" s="130"/>
      <c r="AC413" s="130"/>
      <c r="AD413" s="130"/>
      <c r="AE413" s="130"/>
      <c r="AF413" s="130"/>
      <c r="AG413" s="130"/>
      <c r="AH413" s="130"/>
      <c r="AI413" s="130"/>
      <c r="AJ413" s="779">
        <f>'Veri Girişi'!$B$115</f>
        <v>2</v>
      </c>
      <c r="AK413" s="637"/>
      <c r="AL413" s="128" t="s">
        <v>357</v>
      </c>
      <c r="AM413" s="783">
        <f>$AH$289</f>
        <v>3400</v>
      </c>
      <c r="AN413" s="637"/>
      <c r="AO413" s="637"/>
      <c r="AP413" s="128"/>
      <c r="AQ413" s="130"/>
      <c r="AR413" s="130"/>
      <c r="AS413" s="130"/>
      <c r="AT413" s="130"/>
      <c r="AU413" s="130"/>
      <c r="AV413" s="130"/>
      <c r="AW413" s="130"/>
      <c r="AX413" s="130"/>
      <c r="AY413" s="130"/>
      <c r="AZ413" s="128"/>
      <c r="BA413" s="130"/>
      <c r="BB413" s="130"/>
      <c r="BC413" s="130"/>
      <c r="BD413" s="130"/>
      <c r="BE413" s="130"/>
      <c r="BF413" s="128"/>
      <c r="BG413" s="128"/>
      <c r="BH413" s="128"/>
      <c r="BI413" s="128"/>
      <c r="BJ413" s="128"/>
    </row>
    <row r="414" spans="1:62" ht="4.5" customHeight="1">
      <c r="A414" s="146"/>
      <c r="B414" s="140"/>
      <c r="C414" s="140"/>
      <c r="D414" s="146"/>
      <c r="E414" s="140"/>
      <c r="F414" s="140"/>
      <c r="G414" s="174"/>
      <c r="H414" s="174"/>
      <c r="I414" s="174"/>
      <c r="J414" s="140"/>
      <c r="K414" s="140"/>
      <c r="L414" s="140"/>
      <c r="M414" s="140"/>
      <c r="N414" s="140"/>
      <c r="O414" s="140"/>
      <c r="P414" s="140"/>
      <c r="Q414" s="140"/>
      <c r="R414" s="140"/>
      <c r="S414" s="174"/>
      <c r="T414" s="174"/>
      <c r="U414" s="174"/>
      <c r="V414" s="174"/>
      <c r="W414" s="174"/>
      <c r="X414" s="174"/>
      <c r="Y414" s="140"/>
      <c r="Z414" s="130"/>
      <c r="AA414" s="130"/>
      <c r="AB414" s="130"/>
      <c r="AC414" s="130"/>
      <c r="AD414" s="130"/>
      <c r="AE414" s="130"/>
      <c r="AF414" s="130"/>
      <c r="AG414" s="130"/>
      <c r="AH414" s="130"/>
      <c r="AI414" s="130"/>
      <c r="AJ414" s="128"/>
      <c r="AK414" s="128"/>
      <c r="AL414" s="128"/>
      <c r="AM414" s="128"/>
      <c r="AN414" s="128"/>
      <c r="AO414" s="130"/>
      <c r="AP414" s="130"/>
      <c r="AQ414" s="130"/>
      <c r="AR414" s="130"/>
      <c r="AS414" s="130"/>
      <c r="AT414" s="130"/>
      <c r="AU414" s="130"/>
      <c r="AV414" s="130"/>
      <c r="AW414" s="130"/>
      <c r="AX414" s="128"/>
      <c r="AY414" s="130"/>
      <c r="AZ414" s="130"/>
      <c r="BA414" s="130"/>
      <c r="BB414" s="130"/>
      <c r="BC414" s="130"/>
      <c r="BD414" s="130"/>
      <c r="BE414" s="130"/>
      <c r="BF414" s="128"/>
      <c r="BG414" s="128"/>
      <c r="BH414" s="128"/>
      <c r="BI414" s="128"/>
      <c r="BJ414" s="128"/>
    </row>
    <row r="415" spans="1:62" ht="15" customHeight="1">
      <c r="A415" s="721" t="s">
        <v>654</v>
      </c>
      <c r="B415" s="707"/>
      <c r="C415" s="751">
        <f>X412*AA412*((AF412*(AK412-AN412))+(AQ412*(AV412-AY412)))</f>
        <v>3689050.5</v>
      </c>
      <c r="D415" s="724"/>
      <c r="E415" s="724"/>
      <c r="F415" s="724"/>
      <c r="G415" s="724"/>
      <c r="H415" s="171"/>
      <c r="I415" s="174"/>
      <c r="J415" s="721" t="s">
        <v>654</v>
      </c>
      <c r="K415" s="707"/>
      <c r="L415" s="780">
        <f>C415/C416</f>
        <v>542.50742647058826</v>
      </c>
      <c r="M415" s="707"/>
      <c r="N415" s="707"/>
      <c r="O415" s="707"/>
      <c r="P415" s="735" t="s">
        <v>374</v>
      </c>
      <c r="Q415" s="707"/>
      <c r="R415" s="140"/>
      <c r="S415" s="174"/>
      <c r="T415" s="174"/>
      <c r="U415" s="174"/>
      <c r="V415" s="174"/>
      <c r="W415" s="174"/>
      <c r="X415" s="174"/>
      <c r="Y415" s="140"/>
      <c r="Z415" s="130"/>
      <c r="AA415" s="130"/>
      <c r="AB415" s="130"/>
      <c r="AC415" s="130"/>
      <c r="AD415" s="130"/>
      <c r="AE415" s="130"/>
      <c r="AF415" s="130"/>
      <c r="AG415" s="130"/>
      <c r="AH415" s="130"/>
      <c r="AI415" s="130"/>
      <c r="AJ415" s="128"/>
      <c r="AK415" s="128"/>
      <c r="AL415" s="128"/>
      <c r="AM415" s="128"/>
      <c r="AN415" s="128"/>
      <c r="AO415" s="130"/>
      <c r="AP415" s="130"/>
      <c r="AQ415" s="130"/>
      <c r="AR415" s="130"/>
      <c r="AS415" s="130"/>
      <c r="AT415" s="130"/>
      <c r="AU415" s="130"/>
      <c r="AV415" s="130"/>
      <c r="AW415" s="130"/>
      <c r="AX415" s="128"/>
      <c r="AY415" s="130"/>
      <c r="AZ415" s="130"/>
      <c r="BA415" s="130"/>
      <c r="BB415" s="130"/>
      <c r="BC415" s="130"/>
      <c r="BD415" s="130"/>
      <c r="BE415" s="130"/>
      <c r="BF415" s="128"/>
      <c r="BG415" s="128"/>
      <c r="BH415" s="128"/>
      <c r="BI415" s="128"/>
      <c r="BJ415" s="128"/>
    </row>
    <row r="416" spans="1:62" ht="15" customHeight="1">
      <c r="A416" s="707"/>
      <c r="B416" s="707"/>
      <c r="C416" s="742">
        <f>AJ413*AM413</f>
        <v>6800</v>
      </c>
      <c r="D416" s="637"/>
      <c r="E416" s="637"/>
      <c r="F416" s="637"/>
      <c r="G416" s="637"/>
      <c r="H416" s="174"/>
      <c r="I416" s="174"/>
      <c r="J416" s="707"/>
      <c r="K416" s="707"/>
      <c r="L416" s="707"/>
      <c r="M416" s="707"/>
      <c r="N416" s="707"/>
      <c r="O416" s="707"/>
      <c r="P416" s="707"/>
      <c r="Q416" s="707"/>
      <c r="R416" s="140"/>
      <c r="S416" s="174"/>
      <c r="T416" s="174"/>
      <c r="U416" s="174"/>
      <c r="V416" s="174"/>
      <c r="W416" s="174"/>
      <c r="X416" s="174"/>
      <c r="Y416" s="140"/>
      <c r="Z416" s="130"/>
      <c r="AA416" s="130"/>
      <c r="AB416" s="130"/>
      <c r="AC416" s="130"/>
      <c r="AD416" s="130"/>
      <c r="AE416" s="130"/>
      <c r="AF416" s="130"/>
      <c r="AG416" s="130"/>
      <c r="AH416" s="130"/>
      <c r="AI416" s="130"/>
      <c r="AJ416" s="128"/>
      <c r="AK416" s="128"/>
      <c r="AL416" s="128"/>
      <c r="AM416" s="128"/>
      <c r="AN416" s="128"/>
      <c r="AO416" s="130"/>
      <c r="AP416" s="130"/>
      <c r="AQ416" s="130"/>
      <c r="AR416" s="130"/>
      <c r="AS416" s="130"/>
      <c r="AT416" s="130"/>
      <c r="AU416" s="130"/>
      <c r="AV416" s="130"/>
      <c r="AW416" s="130"/>
      <c r="AX416" s="128"/>
      <c r="AY416" s="130"/>
      <c r="AZ416" s="130"/>
      <c r="BA416" s="130"/>
      <c r="BB416" s="130"/>
      <c r="BC416" s="130"/>
      <c r="BD416" s="130"/>
      <c r="BE416" s="130"/>
      <c r="BF416" s="128"/>
      <c r="BG416" s="128"/>
      <c r="BH416" s="128"/>
      <c r="BI416" s="128"/>
      <c r="BJ416" s="128"/>
    </row>
    <row r="417" spans="1:62" ht="4.5" customHeight="1">
      <c r="A417" s="146"/>
      <c r="B417" s="140"/>
      <c r="C417" s="140"/>
      <c r="D417" s="146"/>
      <c r="E417" s="140"/>
      <c r="F417" s="140"/>
      <c r="G417" s="174"/>
      <c r="H417" s="174"/>
      <c r="I417" s="174"/>
      <c r="J417" s="140"/>
      <c r="K417" s="140"/>
      <c r="L417" s="140"/>
      <c r="M417" s="140"/>
      <c r="N417" s="140"/>
      <c r="O417" s="140"/>
      <c r="P417" s="140"/>
      <c r="Q417" s="140"/>
      <c r="R417" s="140"/>
      <c r="S417" s="174"/>
      <c r="T417" s="174"/>
      <c r="U417" s="174"/>
      <c r="V417" s="174"/>
      <c r="W417" s="174"/>
      <c r="X417" s="174"/>
      <c r="Y417" s="140"/>
      <c r="Z417" s="130"/>
      <c r="AA417" s="130"/>
      <c r="AB417" s="130"/>
      <c r="AC417" s="130"/>
      <c r="AD417" s="130"/>
      <c r="AE417" s="130"/>
      <c r="AF417" s="130"/>
      <c r="AG417" s="130"/>
      <c r="AH417" s="130"/>
      <c r="AI417" s="130"/>
      <c r="AJ417" s="128"/>
      <c r="AK417" s="128"/>
      <c r="AL417" s="128"/>
      <c r="AM417" s="128"/>
      <c r="AN417" s="128"/>
      <c r="AO417" s="130"/>
      <c r="AP417" s="130"/>
      <c r="AQ417" s="130"/>
      <c r="AR417" s="130"/>
      <c r="AS417" s="130"/>
      <c r="AT417" s="130"/>
      <c r="AU417" s="130"/>
      <c r="AV417" s="130"/>
      <c r="AW417" s="130"/>
      <c r="AX417" s="128"/>
      <c r="AY417" s="130"/>
      <c r="AZ417" s="130"/>
      <c r="BA417" s="130"/>
      <c r="BB417" s="130"/>
      <c r="BC417" s="130"/>
      <c r="BD417" s="130"/>
      <c r="BE417" s="130"/>
      <c r="BF417" s="128"/>
      <c r="BG417" s="128"/>
      <c r="BH417" s="128"/>
      <c r="BI417" s="128"/>
      <c r="BJ417" s="128"/>
    </row>
    <row r="418" spans="1:62" ht="15" customHeight="1">
      <c r="A418" s="722" t="s">
        <v>657</v>
      </c>
      <c r="B418" s="707"/>
      <c r="C418" s="780" t="s">
        <v>262</v>
      </c>
      <c r="D418" s="738" t="s">
        <v>658</v>
      </c>
      <c r="E418" s="724"/>
      <c r="F418" s="724"/>
      <c r="G418" s="724"/>
      <c r="H418" s="174"/>
      <c r="I418" s="174"/>
      <c r="J418" s="721" t="s">
        <v>657</v>
      </c>
      <c r="K418" s="707"/>
      <c r="L418" s="780" t="s">
        <v>262</v>
      </c>
      <c r="M418" s="206">
        <v>3</v>
      </c>
      <c r="N418" s="206" t="s">
        <v>357</v>
      </c>
      <c r="O418" s="751">
        <f>L415</f>
        <v>542.50742647058826</v>
      </c>
      <c r="P418" s="724"/>
      <c r="Q418" s="724"/>
      <c r="R418" s="724"/>
      <c r="S418" s="234" t="s">
        <v>357</v>
      </c>
      <c r="T418" s="751">
        <f>'Veri Girişi'!$B$111</f>
        <v>3000</v>
      </c>
      <c r="U418" s="724"/>
      <c r="V418" s="724"/>
      <c r="W418" s="174"/>
      <c r="X418" s="174"/>
      <c r="Y418" s="721" t="s">
        <v>657</v>
      </c>
      <c r="Z418" s="707"/>
      <c r="AA418" s="780" t="s">
        <v>262</v>
      </c>
      <c r="AB418" s="721">
        <f>M418*O418*T418/M419</f>
        <v>305160.4273897059</v>
      </c>
      <c r="AC418" s="707"/>
      <c r="AD418" s="707"/>
      <c r="AE418" s="707"/>
      <c r="AF418" s="721" t="s">
        <v>428</v>
      </c>
      <c r="AG418" s="707"/>
      <c r="AH418" s="707"/>
      <c r="AI418" s="164"/>
      <c r="AJ418" s="146"/>
      <c r="AK418" s="729" t="s">
        <v>659</v>
      </c>
      <c r="AL418" s="707"/>
      <c r="AM418" s="721" t="s">
        <v>262</v>
      </c>
      <c r="AN418" s="738" t="s">
        <v>657</v>
      </c>
      <c r="AO418" s="724"/>
      <c r="AP418" s="144"/>
      <c r="AQ418" s="144"/>
      <c r="AR418" s="729" t="s">
        <v>659</v>
      </c>
      <c r="AS418" s="707"/>
      <c r="AT418" s="721" t="s">
        <v>262</v>
      </c>
      <c r="AU418" s="721">
        <f>AB418/VLOOKUP('Veri Girişi'!$E$73,TABLOLAR!$I$60:$S$65,7,0)</f>
        <v>25.904959880280636</v>
      </c>
      <c r="AV418" s="707"/>
      <c r="AW418" s="707"/>
      <c r="AX418" s="730" t="s">
        <v>406</v>
      </c>
      <c r="AY418" s="707"/>
      <c r="AZ418" s="707"/>
      <c r="BA418" s="707"/>
      <c r="BB418" s="707"/>
      <c r="BC418" s="130"/>
      <c r="BD418" s="130"/>
      <c r="BE418" s="130"/>
      <c r="BF418" s="128"/>
      <c r="BG418" s="128"/>
      <c r="BH418" s="128"/>
      <c r="BI418" s="128"/>
      <c r="BJ418" s="128"/>
    </row>
    <row r="419" spans="1:62" ht="15" customHeight="1">
      <c r="A419" s="707"/>
      <c r="B419" s="707"/>
      <c r="C419" s="707"/>
      <c r="D419" s="753">
        <v>16</v>
      </c>
      <c r="E419" s="637"/>
      <c r="F419" s="637"/>
      <c r="G419" s="637"/>
      <c r="H419" s="174"/>
      <c r="I419" s="174"/>
      <c r="J419" s="707"/>
      <c r="K419" s="707"/>
      <c r="L419" s="707"/>
      <c r="M419" s="742">
        <v>16</v>
      </c>
      <c r="N419" s="637"/>
      <c r="O419" s="637"/>
      <c r="P419" s="637"/>
      <c r="Q419" s="637"/>
      <c r="R419" s="637"/>
      <c r="S419" s="637"/>
      <c r="T419" s="637"/>
      <c r="U419" s="637"/>
      <c r="V419" s="637"/>
      <c r="W419" s="174"/>
      <c r="X419" s="174"/>
      <c r="Y419" s="707"/>
      <c r="Z419" s="707"/>
      <c r="AA419" s="707"/>
      <c r="AB419" s="707"/>
      <c r="AC419" s="707"/>
      <c r="AD419" s="707"/>
      <c r="AE419" s="707"/>
      <c r="AF419" s="707"/>
      <c r="AG419" s="707"/>
      <c r="AH419" s="707"/>
      <c r="AI419" s="164"/>
      <c r="AJ419" s="146"/>
      <c r="AK419" s="707"/>
      <c r="AL419" s="707"/>
      <c r="AM419" s="707"/>
      <c r="AN419" s="753" t="s">
        <v>660</v>
      </c>
      <c r="AO419" s="637"/>
      <c r="AP419" s="144"/>
      <c r="AQ419" s="144"/>
      <c r="AR419" s="707"/>
      <c r="AS419" s="707"/>
      <c r="AT419" s="707"/>
      <c r="AU419" s="707"/>
      <c r="AV419" s="707"/>
      <c r="AW419" s="707"/>
      <c r="AX419" s="707"/>
      <c r="AY419" s="707"/>
      <c r="AZ419" s="707"/>
      <c r="BA419" s="707"/>
      <c r="BB419" s="707"/>
      <c r="BC419" s="130"/>
      <c r="BD419" s="130"/>
      <c r="BE419" s="130"/>
      <c r="BF419" s="128"/>
      <c r="BG419" s="128"/>
      <c r="BH419" s="128"/>
      <c r="BI419" s="128"/>
      <c r="BJ419" s="128"/>
    </row>
    <row r="420" spans="1:62" ht="4.5" customHeight="1">
      <c r="A420" s="146"/>
      <c r="B420" s="140"/>
      <c r="C420" s="140"/>
      <c r="D420" s="146"/>
      <c r="E420" s="140"/>
      <c r="F420" s="140"/>
      <c r="G420" s="174"/>
      <c r="H420" s="174"/>
      <c r="I420" s="174"/>
      <c r="J420" s="140"/>
      <c r="K420" s="140"/>
      <c r="L420" s="140"/>
      <c r="M420" s="140"/>
      <c r="N420" s="140"/>
      <c r="O420" s="140"/>
      <c r="P420" s="140"/>
      <c r="Q420" s="140"/>
      <c r="R420" s="140"/>
      <c r="S420" s="174"/>
      <c r="T420" s="174"/>
      <c r="U420" s="174"/>
      <c r="V420" s="174"/>
      <c r="W420" s="174"/>
      <c r="X420" s="174"/>
      <c r="Y420" s="140"/>
      <c r="Z420" s="130"/>
      <c r="AA420" s="130"/>
      <c r="AB420" s="130"/>
      <c r="AC420" s="130"/>
      <c r="AD420" s="130"/>
      <c r="AE420" s="130"/>
      <c r="AF420" s="130"/>
      <c r="AG420" s="130"/>
      <c r="AH420" s="130"/>
      <c r="AI420" s="130"/>
      <c r="AJ420" s="128"/>
      <c r="AK420" s="128"/>
      <c r="AL420" s="128"/>
      <c r="AM420" s="128"/>
      <c r="AN420" s="128"/>
      <c r="AO420" s="130"/>
      <c r="AP420" s="130"/>
      <c r="AQ420" s="130"/>
      <c r="AR420" s="130"/>
      <c r="AS420" s="130"/>
      <c r="AT420" s="130"/>
      <c r="AU420" s="130"/>
      <c r="AV420" s="130"/>
      <c r="AW420" s="130"/>
      <c r="AX420" s="128"/>
      <c r="AY420" s="130"/>
      <c r="AZ420" s="130"/>
      <c r="BA420" s="130"/>
      <c r="BB420" s="130"/>
      <c r="BC420" s="130"/>
      <c r="BD420" s="130"/>
      <c r="BE420" s="130"/>
      <c r="BF420" s="128"/>
      <c r="BG420" s="128"/>
      <c r="BH420" s="128"/>
      <c r="BI420" s="128"/>
      <c r="BJ420" s="128"/>
    </row>
    <row r="421" spans="1:62" ht="15" customHeight="1">
      <c r="A421" s="721" t="s">
        <v>661</v>
      </c>
      <c r="B421" s="707"/>
      <c r="C421" s="751" t="s">
        <v>701</v>
      </c>
      <c r="D421" s="724"/>
      <c r="E421" s="724"/>
      <c r="F421" s="724"/>
      <c r="G421" s="724"/>
      <c r="H421" s="724"/>
      <c r="I421" s="724"/>
      <c r="J421" s="724"/>
      <c r="K421" s="724"/>
      <c r="L421" s="724"/>
      <c r="M421" s="724"/>
      <c r="N421" s="724"/>
      <c r="O421" s="724"/>
      <c r="P421" s="724"/>
      <c r="Q421" s="724"/>
      <c r="R421" s="724"/>
      <c r="S421" s="724"/>
      <c r="T421" s="174"/>
      <c r="U421" s="128"/>
      <c r="V421" s="721" t="s">
        <v>661</v>
      </c>
      <c r="W421" s="707"/>
      <c r="X421" s="751">
        <v>1.2</v>
      </c>
      <c r="Y421" s="724"/>
      <c r="Z421" s="209" t="s">
        <v>357</v>
      </c>
      <c r="AA421" s="751">
        <v>9.81</v>
      </c>
      <c r="AB421" s="724"/>
      <c r="AC421" s="724"/>
      <c r="AD421" s="205" t="s">
        <v>702</v>
      </c>
      <c r="AE421" s="762">
        <f>'Veri Girişi'!$C$59</f>
        <v>800</v>
      </c>
      <c r="AF421" s="724"/>
      <c r="AG421" s="724"/>
      <c r="AH421" s="205" t="s">
        <v>357</v>
      </c>
      <c r="AI421" s="205" t="s">
        <v>413</v>
      </c>
      <c r="AJ421" s="760">
        <f>AO309</f>
        <v>0</v>
      </c>
      <c r="AK421" s="724"/>
      <c r="AL421" s="199" t="s">
        <v>317</v>
      </c>
      <c r="AM421" s="244">
        <f>$AH$297</f>
        <v>0</v>
      </c>
      <c r="AN421" s="199" t="s">
        <v>414</v>
      </c>
      <c r="AO421" s="199" t="s">
        <v>316</v>
      </c>
      <c r="AP421" s="762">
        <f>'Veri Girişi'!$C$75</f>
        <v>700</v>
      </c>
      <c r="AQ421" s="724"/>
      <c r="AR421" s="724"/>
      <c r="AS421" s="205" t="s">
        <v>357</v>
      </c>
      <c r="AT421" s="205" t="s">
        <v>413</v>
      </c>
      <c r="AU421" s="786">
        <f>AH296</f>
        <v>0</v>
      </c>
      <c r="AV421" s="724"/>
      <c r="AW421" s="205" t="s">
        <v>317</v>
      </c>
      <c r="AX421" s="786">
        <f>$AH$297</f>
        <v>0</v>
      </c>
      <c r="AY421" s="724"/>
      <c r="AZ421" s="205" t="s">
        <v>491</v>
      </c>
      <c r="BA421" s="130"/>
      <c r="BB421" s="130"/>
      <c r="BC421" s="130"/>
      <c r="BD421" s="130"/>
      <c r="BE421" s="130"/>
      <c r="BF421" s="128"/>
      <c r="BG421" s="128"/>
      <c r="BH421" s="128"/>
      <c r="BI421" s="128"/>
      <c r="BJ421" s="128"/>
    </row>
    <row r="422" spans="1:62" ht="15" customHeight="1">
      <c r="A422" s="707"/>
      <c r="B422" s="707"/>
      <c r="C422" s="730" t="s">
        <v>703</v>
      </c>
      <c r="D422" s="707"/>
      <c r="E422" s="707"/>
      <c r="F422" s="707"/>
      <c r="G422" s="707"/>
      <c r="H422" s="707"/>
      <c r="I422" s="707"/>
      <c r="J422" s="707"/>
      <c r="K422" s="707"/>
      <c r="L422" s="707"/>
      <c r="M422" s="707"/>
      <c r="N422" s="707"/>
      <c r="O422" s="707"/>
      <c r="P422" s="707"/>
      <c r="Q422" s="707"/>
      <c r="R422" s="707"/>
      <c r="S422" s="174"/>
      <c r="T422" s="174"/>
      <c r="U422" s="128"/>
      <c r="V422" s="707"/>
      <c r="W422" s="707"/>
      <c r="X422" s="174"/>
      <c r="Y422" s="174"/>
      <c r="Z422" s="140"/>
      <c r="AA422" s="130"/>
      <c r="AB422" s="130"/>
      <c r="AC422" s="130"/>
      <c r="AD422" s="130"/>
      <c r="AE422" s="130"/>
      <c r="AF422" s="130"/>
      <c r="AG422" s="130"/>
      <c r="AH422" s="130"/>
      <c r="AI422" s="779">
        <f>'Veri Girişi'!$B$115</f>
        <v>2</v>
      </c>
      <c r="AJ422" s="637"/>
      <c r="AK422" s="128" t="s">
        <v>357</v>
      </c>
      <c r="AL422" s="783">
        <f>$AH$289</f>
        <v>3400</v>
      </c>
      <c r="AM422" s="637"/>
      <c r="AN422" s="637"/>
      <c r="AO422" s="128"/>
      <c r="AP422" s="130"/>
      <c r="AQ422" s="130"/>
      <c r="AR422" s="130"/>
      <c r="AS422" s="130"/>
      <c r="AT422" s="130"/>
      <c r="AU422" s="130"/>
      <c r="AV422" s="130"/>
      <c r="AW422" s="130"/>
      <c r="AX422" s="130"/>
      <c r="AY422" s="128"/>
      <c r="AZ422" s="130"/>
      <c r="BA422" s="130"/>
      <c r="BB422" s="130"/>
      <c r="BC422" s="130"/>
      <c r="BD422" s="130"/>
      <c r="BE422" s="130"/>
      <c r="BF422" s="128"/>
      <c r="BG422" s="128"/>
      <c r="BH422" s="128"/>
      <c r="BI422" s="128"/>
      <c r="BJ422" s="128"/>
    </row>
    <row r="423" spans="1:62" ht="4.5" customHeight="1">
      <c r="A423" s="146"/>
      <c r="B423" s="140"/>
      <c r="C423" s="140"/>
      <c r="D423" s="146"/>
      <c r="E423" s="140"/>
      <c r="F423" s="140"/>
      <c r="G423" s="174"/>
      <c r="H423" s="174"/>
      <c r="I423" s="174"/>
      <c r="J423" s="140"/>
      <c r="K423" s="140"/>
      <c r="L423" s="140"/>
      <c r="M423" s="140"/>
      <c r="N423" s="140"/>
      <c r="O423" s="140"/>
      <c r="P423" s="140"/>
      <c r="Q423" s="140"/>
      <c r="R423" s="140"/>
      <c r="S423" s="174"/>
      <c r="T423" s="174"/>
      <c r="U423" s="174"/>
      <c r="V423" s="174"/>
      <c r="W423" s="174"/>
      <c r="X423" s="174"/>
      <c r="Y423" s="140"/>
      <c r="Z423" s="130"/>
      <c r="AA423" s="130"/>
      <c r="AB423" s="130"/>
      <c r="AC423" s="130"/>
      <c r="AD423" s="130"/>
      <c r="AE423" s="130"/>
      <c r="AF423" s="130"/>
      <c r="AG423" s="130"/>
      <c r="AH423" s="130"/>
      <c r="AI423" s="130"/>
      <c r="AJ423" s="128"/>
      <c r="AK423" s="128"/>
      <c r="AL423" s="128"/>
      <c r="AM423" s="128"/>
      <c r="AN423" s="128"/>
      <c r="AO423" s="130"/>
      <c r="AP423" s="130"/>
      <c r="AQ423" s="130"/>
      <c r="AR423" s="130"/>
      <c r="AS423" s="130"/>
      <c r="AT423" s="130"/>
      <c r="AU423" s="130"/>
      <c r="AV423" s="130"/>
      <c r="AW423" s="130"/>
      <c r="AX423" s="128"/>
      <c r="AY423" s="130"/>
      <c r="AZ423" s="130"/>
      <c r="BA423" s="130"/>
      <c r="BB423" s="130"/>
      <c r="BC423" s="130"/>
      <c r="BD423" s="130"/>
      <c r="BE423" s="130"/>
      <c r="BF423" s="128"/>
      <c r="BG423" s="128"/>
      <c r="BH423" s="128"/>
      <c r="BI423" s="128"/>
      <c r="BJ423" s="128"/>
    </row>
    <row r="424" spans="1:62" ht="15" customHeight="1">
      <c r="A424" s="721" t="s">
        <v>661</v>
      </c>
      <c r="B424" s="707"/>
      <c r="C424" s="751">
        <f>X421*AA421*((AE421*(AJ421-AM421))+(AP421*(AU421-AX421)))</f>
        <v>0</v>
      </c>
      <c r="D424" s="724"/>
      <c r="E424" s="724"/>
      <c r="F424" s="724"/>
      <c r="G424" s="724"/>
      <c r="H424" s="171"/>
      <c r="I424" s="174"/>
      <c r="J424" s="721" t="s">
        <v>661</v>
      </c>
      <c r="K424" s="707"/>
      <c r="L424" s="780">
        <f>C424/C425</f>
        <v>0</v>
      </c>
      <c r="M424" s="707"/>
      <c r="N424" s="707"/>
      <c r="O424" s="707"/>
      <c r="P424" s="735" t="s">
        <v>374</v>
      </c>
      <c r="Q424" s="707"/>
      <c r="R424" s="140"/>
      <c r="S424" s="174"/>
      <c r="T424" s="174"/>
      <c r="U424" s="174"/>
      <c r="V424" s="174"/>
      <c r="W424" s="174"/>
      <c r="X424" s="174"/>
      <c r="Y424" s="140"/>
      <c r="Z424" s="130"/>
      <c r="AA424" s="130"/>
      <c r="AB424" s="130"/>
      <c r="AC424" s="130"/>
      <c r="AD424" s="130"/>
      <c r="AE424" s="130"/>
      <c r="AF424" s="130"/>
      <c r="AG424" s="130"/>
      <c r="AH424" s="130"/>
      <c r="AI424" s="130"/>
      <c r="AJ424" s="128"/>
      <c r="AK424" s="128"/>
      <c r="AL424" s="128"/>
      <c r="AM424" s="128"/>
      <c r="AN424" s="128"/>
      <c r="AO424" s="130"/>
      <c r="AP424" s="130"/>
      <c r="AQ424" s="130"/>
      <c r="AR424" s="130"/>
      <c r="AS424" s="130"/>
      <c r="AT424" s="130"/>
      <c r="AU424" s="130"/>
      <c r="AV424" s="130"/>
      <c r="AW424" s="130"/>
      <c r="AX424" s="128"/>
      <c r="AY424" s="130"/>
      <c r="AZ424" s="130"/>
      <c r="BA424" s="130"/>
      <c r="BB424" s="130"/>
      <c r="BC424" s="130"/>
      <c r="BD424" s="130"/>
      <c r="BE424" s="130"/>
      <c r="BF424" s="128"/>
      <c r="BG424" s="128"/>
      <c r="BH424" s="128"/>
      <c r="BI424" s="128"/>
      <c r="BJ424" s="128"/>
    </row>
    <row r="425" spans="1:62" ht="15" customHeight="1">
      <c r="A425" s="707"/>
      <c r="B425" s="707"/>
      <c r="C425" s="742">
        <f>AI422*AL422</f>
        <v>6800</v>
      </c>
      <c r="D425" s="637"/>
      <c r="E425" s="637"/>
      <c r="F425" s="637"/>
      <c r="G425" s="637"/>
      <c r="H425" s="174"/>
      <c r="I425" s="174"/>
      <c r="J425" s="707"/>
      <c r="K425" s="707"/>
      <c r="L425" s="707"/>
      <c r="M425" s="707"/>
      <c r="N425" s="707"/>
      <c r="O425" s="707"/>
      <c r="P425" s="707"/>
      <c r="Q425" s="707"/>
      <c r="R425" s="140"/>
      <c r="S425" s="174"/>
      <c r="T425" s="174"/>
      <c r="U425" s="174"/>
      <c r="V425" s="174"/>
      <c r="W425" s="174"/>
      <c r="X425" s="174"/>
      <c r="Y425" s="140"/>
      <c r="Z425" s="130"/>
      <c r="AA425" s="130"/>
      <c r="AB425" s="130"/>
      <c r="AC425" s="130"/>
      <c r="AD425" s="130"/>
      <c r="AE425" s="130"/>
      <c r="AF425" s="130"/>
      <c r="AG425" s="130"/>
      <c r="AH425" s="130"/>
      <c r="AI425" s="130"/>
      <c r="AJ425" s="128"/>
      <c r="AK425" s="128"/>
      <c r="AL425" s="128"/>
      <c r="AM425" s="128"/>
      <c r="AN425" s="128"/>
      <c r="AO425" s="130"/>
      <c r="AP425" s="130"/>
      <c r="AQ425" s="130"/>
      <c r="AR425" s="130"/>
      <c r="AS425" s="130"/>
      <c r="AT425" s="130"/>
      <c r="AU425" s="130"/>
      <c r="AV425" s="130"/>
      <c r="AW425" s="130"/>
      <c r="AX425" s="128"/>
      <c r="AY425" s="130"/>
      <c r="AZ425" s="130"/>
      <c r="BA425" s="130"/>
      <c r="BB425" s="130"/>
      <c r="BC425" s="130"/>
      <c r="BD425" s="130"/>
      <c r="BE425" s="130"/>
      <c r="BF425" s="128"/>
      <c r="BG425" s="128"/>
      <c r="BH425" s="128"/>
      <c r="BI425" s="128"/>
      <c r="BJ425" s="128"/>
    </row>
    <row r="426" spans="1:62" ht="4.5" customHeight="1">
      <c r="A426" s="146"/>
      <c r="B426" s="140"/>
      <c r="C426" s="140"/>
      <c r="D426" s="146"/>
      <c r="E426" s="140"/>
      <c r="F426" s="140"/>
      <c r="G426" s="174"/>
      <c r="H426" s="174"/>
      <c r="I426" s="174"/>
      <c r="J426" s="140"/>
      <c r="K426" s="140"/>
      <c r="L426" s="140"/>
      <c r="M426" s="140"/>
      <c r="N426" s="140"/>
      <c r="O426" s="140"/>
      <c r="P426" s="140"/>
      <c r="Q426" s="140"/>
      <c r="R426" s="140"/>
      <c r="S426" s="174"/>
      <c r="T426" s="174"/>
      <c r="U426" s="174"/>
      <c r="V426" s="174"/>
      <c r="W426" s="174"/>
      <c r="X426" s="174"/>
      <c r="Y426" s="140"/>
      <c r="Z426" s="130"/>
      <c r="AA426" s="130"/>
      <c r="AB426" s="130"/>
      <c r="AC426" s="130"/>
      <c r="AD426" s="130"/>
      <c r="AE426" s="130"/>
      <c r="AF426" s="130"/>
      <c r="AG426" s="130"/>
      <c r="AH426" s="130"/>
      <c r="AI426" s="130"/>
      <c r="AJ426" s="128"/>
      <c r="AK426" s="128"/>
      <c r="AL426" s="128"/>
      <c r="AM426" s="128"/>
      <c r="AN426" s="128"/>
      <c r="AO426" s="130"/>
      <c r="AP426" s="130"/>
      <c r="AQ426" s="130"/>
      <c r="AR426" s="130"/>
      <c r="AS426" s="130"/>
      <c r="AT426" s="130"/>
      <c r="AU426" s="130"/>
      <c r="AV426" s="130"/>
      <c r="AW426" s="130"/>
      <c r="AX426" s="128"/>
      <c r="AY426" s="130"/>
      <c r="AZ426" s="130"/>
      <c r="BA426" s="130"/>
      <c r="BB426" s="130"/>
      <c r="BC426" s="130"/>
      <c r="BD426" s="130"/>
      <c r="BE426" s="130"/>
      <c r="BF426" s="128"/>
      <c r="BG426" s="128"/>
      <c r="BH426" s="128"/>
      <c r="BI426" s="128"/>
      <c r="BJ426" s="128"/>
    </row>
    <row r="427" spans="1:62" ht="15" customHeight="1">
      <c r="A427" s="722" t="s">
        <v>664</v>
      </c>
      <c r="B427" s="707"/>
      <c r="C427" s="735" t="s">
        <v>262</v>
      </c>
      <c r="D427" s="738" t="s">
        <v>665</v>
      </c>
      <c r="E427" s="724"/>
      <c r="F427" s="724"/>
      <c r="G427" s="724"/>
      <c r="H427" s="174"/>
      <c r="I427" s="174"/>
      <c r="J427" s="721" t="s">
        <v>664</v>
      </c>
      <c r="K427" s="707"/>
      <c r="L427" s="735" t="s">
        <v>262</v>
      </c>
      <c r="M427" s="206">
        <v>3</v>
      </c>
      <c r="N427" s="206" t="s">
        <v>357</v>
      </c>
      <c r="O427" s="751">
        <f>L424</f>
        <v>0</v>
      </c>
      <c r="P427" s="724"/>
      <c r="Q427" s="724"/>
      <c r="R427" s="724"/>
      <c r="S427" s="234" t="s">
        <v>357</v>
      </c>
      <c r="T427" s="751">
        <f>'Veri Girişi'!$B$111</f>
        <v>3000</v>
      </c>
      <c r="U427" s="724"/>
      <c r="V427" s="724"/>
      <c r="W427" s="174"/>
      <c r="X427" s="174"/>
      <c r="Y427" s="721" t="s">
        <v>664</v>
      </c>
      <c r="Z427" s="707"/>
      <c r="AA427" s="735" t="s">
        <v>262</v>
      </c>
      <c r="AB427" s="721">
        <f>M427*O427*T427/M428</f>
        <v>0</v>
      </c>
      <c r="AC427" s="707"/>
      <c r="AD427" s="707"/>
      <c r="AE427" s="707"/>
      <c r="AF427" s="721" t="s">
        <v>428</v>
      </c>
      <c r="AG427" s="707"/>
      <c r="AH427" s="707"/>
      <c r="AI427" s="164"/>
      <c r="AJ427" s="146"/>
      <c r="AK427" s="729" t="s">
        <v>666</v>
      </c>
      <c r="AL427" s="707"/>
      <c r="AM427" s="721" t="s">
        <v>262</v>
      </c>
      <c r="AN427" s="738" t="s">
        <v>664</v>
      </c>
      <c r="AO427" s="724"/>
      <c r="AP427" s="144"/>
      <c r="AQ427" s="144"/>
      <c r="AR427" s="729" t="s">
        <v>666</v>
      </c>
      <c r="AS427" s="707"/>
      <c r="AT427" s="721" t="s">
        <v>262</v>
      </c>
      <c r="AU427" s="721">
        <f>AB427/VLOOKUP('Veri Girişi'!$E$73,TABLOLAR!$I$60:$S$65,6,0)</f>
        <v>0</v>
      </c>
      <c r="AV427" s="707"/>
      <c r="AW427" s="707"/>
      <c r="AX427" s="730" t="s">
        <v>406</v>
      </c>
      <c r="AY427" s="707"/>
      <c r="AZ427" s="707"/>
      <c r="BA427" s="707"/>
      <c r="BB427" s="707"/>
      <c r="BC427" s="130"/>
      <c r="BD427" s="130"/>
      <c r="BE427" s="130"/>
      <c r="BF427" s="128"/>
      <c r="BG427" s="128"/>
      <c r="BH427" s="128"/>
      <c r="BI427" s="128"/>
      <c r="BJ427" s="128"/>
    </row>
    <row r="428" spans="1:62" ht="15" customHeight="1">
      <c r="A428" s="707"/>
      <c r="B428" s="707"/>
      <c r="C428" s="707"/>
      <c r="D428" s="753">
        <v>16</v>
      </c>
      <c r="E428" s="637"/>
      <c r="F428" s="637"/>
      <c r="G428" s="637"/>
      <c r="H428" s="174"/>
      <c r="I428" s="174"/>
      <c r="J428" s="707"/>
      <c r="K428" s="707"/>
      <c r="L428" s="707"/>
      <c r="M428" s="742">
        <v>16</v>
      </c>
      <c r="N428" s="637"/>
      <c r="O428" s="637"/>
      <c r="P428" s="637"/>
      <c r="Q428" s="637"/>
      <c r="R428" s="637"/>
      <c r="S428" s="637"/>
      <c r="T428" s="637"/>
      <c r="U428" s="637"/>
      <c r="V428" s="637"/>
      <c r="W428" s="174"/>
      <c r="X428" s="174"/>
      <c r="Y428" s="707"/>
      <c r="Z428" s="707"/>
      <c r="AA428" s="707"/>
      <c r="AB428" s="707"/>
      <c r="AC428" s="707"/>
      <c r="AD428" s="707"/>
      <c r="AE428" s="707"/>
      <c r="AF428" s="707"/>
      <c r="AG428" s="707"/>
      <c r="AH428" s="707"/>
      <c r="AI428" s="164"/>
      <c r="AJ428" s="146"/>
      <c r="AK428" s="707"/>
      <c r="AL428" s="707"/>
      <c r="AM428" s="707"/>
      <c r="AN428" s="753" t="s">
        <v>407</v>
      </c>
      <c r="AO428" s="637"/>
      <c r="AP428" s="144"/>
      <c r="AQ428" s="144"/>
      <c r="AR428" s="707"/>
      <c r="AS428" s="707"/>
      <c r="AT428" s="707"/>
      <c r="AU428" s="707"/>
      <c r="AV428" s="707"/>
      <c r="AW428" s="707"/>
      <c r="AX428" s="707"/>
      <c r="AY428" s="707"/>
      <c r="AZ428" s="707"/>
      <c r="BA428" s="707"/>
      <c r="BB428" s="707"/>
      <c r="BC428" s="130"/>
      <c r="BD428" s="130"/>
      <c r="BE428" s="130"/>
      <c r="BF428" s="128"/>
      <c r="BG428" s="128"/>
      <c r="BH428" s="128"/>
      <c r="BI428" s="128"/>
      <c r="BJ428" s="128"/>
    </row>
    <row r="429" spans="1:62" ht="4.5" customHeight="1">
      <c r="A429" s="146"/>
      <c r="B429" s="140"/>
      <c r="C429" s="140"/>
      <c r="D429" s="146"/>
      <c r="E429" s="140"/>
      <c r="F429" s="140"/>
      <c r="G429" s="174"/>
      <c r="H429" s="174"/>
      <c r="I429" s="174"/>
      <c r="J429" s="140"/>
      <c r="K429" s="140"/>
      <c r="L429" s="140"/>
      <c r="M429" s="140"/>
      <c r="N429" s="140"/>
      <c r="O429" s="140"/>
      <c r="P429" s="140"/>
      <c r="Q429" s="140"/>
      <c r="R429" s="140"/>
      <c r="S429" s="174"/>
      <c r="T429" s="174"/>
      <c r="U429" s="174"/>
      <c r="V429" s="174"/>
      <c r="W429" s="174"/>
      <c r="X429" s="174"/>
      <c r="Y429" s="140"/>
      <c r="Z429" s="130"/>
      <c r="AA429" s="130"/>
      <c r="AB429" s="130"/>
      <c r="AC429" s="130"/>
      <c r="AD429" s="130"/>
      <c r="AE429" s="130"/>
      <c r="AF429" s="130"/>
      <c r="AG429" s="130"/>
      <c r="AH429" s="130"/>
      <c r="AI429" s="130"/>
      <c r="AJ429" s="128"/>
      <c r="AK429" s="128"/>
      <c r="AL429" s="128"/>
      <c r="AM429" s="128"/>
      <c r="AN429" s="128"/>
      <c r="AO429" s="130"/>
      <c r="AP429" s="130"/>
      <c r="AQ429" s="130"/>
      <c r="AR429" s="130"/>
      <c r="AS429" s="130"/>
      <c r="AT429" s="130"/>
      <c r="AU429" s="130"/>
      <c r="AV429" s="130"/>
      <c r="AW429" s="130"/>
      <c r="AX429" s="128"/>
      <c r="AY429" s="130"/>
      <c r="AZ429" s="130"/>
      <c r="BA429" s="130"/>
      <c r="BB429" s="130"/>
      <c r="BC429" s="130"/>
      <c r="BD429" s="130"/>
      <c r="BE429" s="130"/>
      <c r="BF429" s="128"/>
      <c r="BG429" s="128"/>
      <c r="BH429" s="128"/>
      <c r="BI429" s="128"/>
      <c r="BJ429" s="128"/>
    </row>
    <row r="430" spans="1:62" ht="15" customHeight="1">
      <c r="A430" s="128" t="s">
        <v>667</v>
      </c>
      <c r="B430" s="140"/>
      <c r="C430" s="140"/>
      <c r="D430" s="146"/>
      <c r="E430" s="140"/>
      <c r="F430" s="140"/>
      <c r="G430" s="174"/>
      <c r="H430" s="174"/>
      <c r="I430" s="174"/>
      <c r="J430" s="140"/>
      <c r="K430" s="140"/>
      <c r="L430" s="140"/>
      <c r="M430" s="140"/>
      <c r="N430" s="140"/>
      <c r="O430" s="140"/>
      <c r="P430" s="140"/>
      <c r="Q430" s="140"/>
      <c r="R430" s="140"/>
      <c r="S430" s="174"/>
      <c r="T430" s="174"/>
      <c r="U430" s="174"/>
      <c r="V430" s="174"/>
      <c r="W430" s="174"/>
      <c r="X430" s="174"/>
      <c r="Y430" s="140"/>
      <c r="Z430" s="130"/>
      <c r="AA430" s="130"/>
      <c r="AB430" s="130"/>
      <c r="AC430" s="130"/>
      <c r="AD430" s="130"/>
      <c r="AE430" s="130"/>
      <c r="AF430" s="130"/>
      <c r="AG430" s="130"/>
      <c r="AH430" s="130"/>
      <c r="AI430" s="130"/>
      <c r="AJ430" s="128"/>
      <c r="AK430" s="128"/>
      <c r="AL430" s="128"/>
      <c r="AM430" s="128"/>
      <c r="AN430" s="128"/>
      <c r="AO430" s="130"/>
      <c r="AP430" s="130"/>
      <c r="AQ430" s="130"/>
      <c r="AR430" s="130"/>
      <c r="AS430" s="130"/>
      <c r="AT430" s="130"/>
      <c r="AU430" s="130"/>
      <c r="AV430" s="130"/>
      <c r="AW430" s="130"/>
      <c r="AX430" s="128"/>
      <c r="AY430" s="130"/>
      <c r="AZ430" s="130"/>
      <c r="BA430" s="130"/>
      <c r="BB430" s="130"/>
      <c r="BC430" s="130"/>
      <c r="BD430" s="130"/>
      <c r="BE430" s="130"/>
      <c r="BF430" s="128"/>
      <c r="BG430" s="128"/>
      <c r="BH430" s="128"/>
      <c r="BI430" s="128"/>
      <c r="BJ430" s="128"/>
    </row>
    <row r="431" spans="1:62" ht="4.5" customHeight="1">
      <c r="A431" s="146"/>
      <c r="B431" s="140"/>
      <c r="C431" s="140"/>
      <c r="D431" s="146"/>
      <c r="E431" s="140"/>
      <c r="F431" s="140"/>
      <c r="G431" s="174"/>
      <c r="H431" s="174"/>
      <c r="I431" s="174"/>
      <c r="J431" s="140"/>
      <c r="K431" s="140"/>
      <c r="L431" s="140"/>
      <c r="M431" s="140"/>
      <c r="N431" s="140"/>
      <c r="O431" s="140"/>
      <c r="P431" s="140"/>
      <c r="Q431" s="140"/>
      <c r="R431" s="140"/>
      <c r="S431" s="174"/>
      <c r="T431" s="174"/>
      <c r="U431" s="174"/>
      <c r="V431" s="174"/>
      <c r="W431" s="174"/>
      <c r="X431" s="174"/>
      <c r="Y431" s="140"/>
      <c r="Z431" s="130"/>
      <c r="AA431" s="130"/>
      <c r="AB431" s="130"/>
      <c r="AC431" s="130"/>
      <c r="AD431" s="130"/>
      <c r="AE431" s="130"/>
      <c r="AF431" s="130"/>
      <c r="AG431" s="130"/>
      <c r="AH431" s="130"/>
      <c r="AI431" s="130"/>
      <c r="AJ431" s="128"/>
      <c r="AK431" s="128"/>
      <c r="AL431" s="128"/>
      <c r="AM431" s="128"/>
      <c r="AN431" s="128"/>
      <c r="AO431" s="130"/>
      <c r="AP431" s="130"/>
      <c r="AQ431" s="130"/>
      <c r="AR431" s="130"/>
      <c r="AS431" s="130"/>
      <c r="AT431" s="130"/>
      <c r="AU431" s="130"/>
      <c r="AV431" s="130"/>
      <c r="AW431" s="130"/>
      <c r="AX431" s="128"/>
      <c r="AY431" s="130"/>
      <c r="AZ431" s="130"/>
      <c r="BA431" s="130"/>
      <c r="BB431" s="130"/>
      <c r="BC431" s="130"/>
      <c r="BD431" s="130"/>
      <c r="BE431" s="130"/>
      <c r="BF431" s="128"/>
      <c r="BG431" s="128"/>
      <c r="BH431" s="128"/>
      <c r="BI431" s="128"/>
      <c r="BJ431" s="128"/>
    </row>
    <row r="432" spans="1:62" ht="15" customHeight="1">
      <c r="A432" s="721" t="s">
        <v>654</v>
      </c>
      <c r="B432" s="707"/>
      <c r="C432" s="751" t="s">
        <v>700</v>
      </c>
      <c r="D432" s="724"/>
      <c r="E432" s="724"/>
      <c r="F432" s="724"/>
      <c r="G432" s="724"/>
      <c r="H432" s="724"/>
      <c r="I432" s="724"/>
      <c r="J432" s="724"/>
      <c r="K432" s="724"/>
      <c r="L432" s="724"/>
      <c r="M432" s="724"/>
      <c r="N432" s="724"/>
      <c r="O432" s="724"/>
      <c r="P432" s="724"/>
      <c r="Q432" s="724"/>
      <c r="R432" s="724"/>
      <c r="S432" s="724"/>
      <c r="T432" s="174"/>
      <c r="U432" s="128"/>
      <c r="V432" s="721" t="s">
        <v>654</v>
      </c>
      <c r="W432" s="707"/>
      <c r="X432" s="751">
        <v>1.2</v>
      </c>
      <c r="Y432" s="724"/>
      <c r="Z432" s="209" t="s">
        <v>357</v>
      </c>
      <c r="AA432" s="751">
        <v>9.81</v>
      </c>
      <c r="AB432" s="724"/>
      <c r="AC432" s="724"/>
      <c r="AD432" s="205" t="s">
        <v>702</v>
      </c>
      <c r="AE432" s="762">
        <f>'Veri Girişi'!$C$59</f>
        <v>800</v>
      </c>
      <c r="AF432" s="724"/>
      <c r="AG432" s="724"/>
      <c r="AH432" s="205" t="s">
        <v>357</v>
      </c>
      <c r="AI432" s="205" t="s">
        <v>413</v>
      </c>
      <c r="AJ432" s="760">
        <f>AO312</f>
        <v>0</v>
      </c>
      <c r="AK432" s="724"/>
      <c r="AL432" s="199" t="s">
        <v>317</v>
      </c>
      <c r="AM432" s="244">
        <f>$AH$297</f>
        <v>0</v>
      </c>
      <c r="AN432" s="199" t="s">
        <v>414</v>
      </c>
      <c r="AO432" s="199" t="s">
        <v>316</v>
      </c>
      <c r="AP432" s="762">
        <f>'Veri Girişi'!$C$75</f>
        <v>700</v>
      </c>
      <c r="AQ432" s="724"/>
      <c r="AR432" s="724"/>
      <c r="AS432" s="205" t="s">
        <v>357</v>
      </c>
      <c r="AT432" s="205" t="s">
        <v>413</v>
      </c>
      <c r="AU432" s="786">
        <f>$AH$295</f>
        <v>77.678571428571431</v>
      </c>
      <c r="AV432" s="724"/>
      <c r="AW432" s="205" t="s">
        <v>317</v>
      </c>
      <c r="AX432" s="786">
        <f>$AH$297</f>
        <v>0</v>
      </c>
      <c r="AY432" s="724"/>
      <c r="AZ432" s="205" t="s">
        <v>491</v>
      </c>
      <c r="BA432" s="130"/>
      <c r="BB432" s="130"/>
      <c r="BC432" s="130"/>
      <c r="BD432" s="130"/>
      <c r="BE432" s="130"/>
      <c r="BF432" s="128"/>
      <c r="BG432" s="128"/>
      <c r="BH432" s="128"/>
      <c r="BI432" s="128"/>
      <c r="BJ432" s="128"/>
    </row>
    <row r="433" spans="1:62" ht="15" customHeight="1">
      <c r="A433" s="707"/>
      <c r="B433" s="707"/>
      <c r="C433" s="742" t="s">
        <v>656</v>
      </c>
      <c r="D433" s="637"/>
      <c r="E433" s="637"/>
      <c r="F433" s="637"/>
      <c r="G433" s="637"/>
      <c r="H433" s="637"/>
      <c r="I433" s="637"/>
      <c r="J433" s="637"/>
      <c r="K433" s="637"/>
      <c r="L433" s="637"/>
      <c r="M433" s="637"/>
      <c r="N433" s="637"/>
      <c r="O433" s="637"/>
      <c r="P433" s="637"/>
      <c r="Q433" s="637"/>
      <c r="R433" s="637"/>
      <c r="S433" s="637"/>
      <c r="T433" s="174"/>
      <c r="U433" s="128"/>
      <c r="V433" s="707"/>
      <c r="W433" s="707"/>
      <c r="X433" s="174"/>
      <c r="Y433" s="174"/>
      <c r="Z433" s="140"/>
      <c r="AA433" s="130"/>
      <c r="AB433" s="130"/>
      <c r="AC433" s="130"/>
      <c r="AD433" s="130"/>
      <c r="AE433" s="130"/>
      <c r="AF433" s="130"/>
      <c r="AG433" s="130"/>
      <c r="AH433" s="130"/>
      <c r="AI433" s="779">
        <f>'Veri Girişi'!$B$115</f>
        <v>2</v>
      </c>
      <c r="AJ433" s="637"/>
      <c r="AK433" s="128" t="s">
        <v>357</v>
      </c>
      <c r="AL433" s="783">
        <f>$AH$289</f>
        <v>3400</v>
      </c>
      <c r="AM433" s="637"/>
      <c r="AN433" s="637"/>
      <c r="AO433" s="128"/>
      <c r="AP433" s="130"/>
      <c r="AQ433" s="130"/>
      <c r="AR433" s="130"/>
      <c r="AS433" s="130"/>
      <c r="AT433" s="130"/>
      <c r="AU433" s="130"/>
      <c r="AV433" s="130"/>
      <c r="AW433" s="130"/>
      <c r="AX433" s="130"/>
      <c r="AY433" s="128"/>
      <c r="AZ433" s="130"/>
      <c r="BA433" s="130"/>
      <c r="BB433" s="130"/>
      <c r="BC433" s="130"/>
      <c r="BD433" s="130"/>
      <c r="BE433" s="130"/>
      <c r="BF433" s="128"/>
      <c r="BG433" s="128"/>
      <c r="BH433" s="128"/>
      <c r="BI433" s="128"/>
      <c r="BJ433" s="128"/>
    </row>
    <row r="434" spans="1:62" ht="4.5" customHeight="1">
      <c r="A434" s="146"/>
      <c r="B434" s="140"/>
      <c r="C434" s="140"/>
      <c r="D434" s="146"/>
      <c r="E434" s="140"/>
      <c r="F434" s="140"/>
      <c r="G434" s="174"/>
      <c r="H434" s="174"/>
      <c r="I434" s="174"/>
      <c r="J434" s="140"/>
      <c r="K434" s="140"/>
      <c r="L434" s="140"/>
      <c r="M434" s="140"/>
      <c r="N434" s="140"/>
      <c r="O434" s="140"/>
      <c r="P434" s="140"/>
      <c r="Q434" s="140"/>
      <c r="R434" s="140"/>
      <c r="S434" s="174"/>
      <c r="T434" s="174"/>
      <c r="U434" s="174"/>
      <c r="V434" s="174"/>
      <c r="W434" s="174"/>
      <c r="X434" s="174"/>
      <c r="Y434" s="140"/>
      <c r="Z434" s="130"/>
      <c r="AA434" s="130"/>
      <c r="AB434" s="130"/>
      <c r="AC434" s="130"/>
      <c r="AD434" s="130"/>
      <c r="AE434" s="130"/>
      <c r="AF434" s="130"/>
      <c r="AG434" s="130"/>
      <c r="AH434" s="130"/>
      <c r="AI434" s="130"/>
      <c r="AJ434" s="128"/>
      <c r="AK434" s="128"/>
      <c r="AL434" s="128"/>
      <c r="AM434" s="128"/>
      <c r="AN434" s="128"/>
      <c r="AO434" s="130"/>
      <c r="AP434" s="130"/>
      <c r="AQ434" s="130"/>
      <c r="AR434" s="130"/>
      <c r="AS434" s="130"/>
      <c r="AT434" s="130"/>
      <c r="AU434" s="130"/>
      <c r="AV434" s="130"/>
      <c r="AW434" s="130"/>
      <c r="AX434" s="128"/>
      <c r="AY434" s="130"/>
      <c r="AZ434" s="130"/>
      <c r="BA434" s="130"/>
      <c r="BB434" s="130"/>
      <c r="BC434" s="130"/>
      <c r="BD434" s="130"/>
      <c r="BE434" s="130"/>
      <c r="BF434" s="128"/>
      <c r="BG434" s="128"/>
      <c r="BH434" s="128"/>
      <c r="BI434" s="128"/>
      <c r="BJ434" s="128"/>
    </row>
    <row r="435" spans="1:62" ht="15" customHeight="1">
      <c r="A435" s="721" t="s">
        <v>654</v>
      </c>
      <c r="B435" s="707"/>
      <c r="C435" s="751">
        <f>X432*AA432*((AE432*(AJ432-AM432))+(AP432*(AU432-AX432)))</f>
        <v>640102.5</v>
      </c>
      <c r="D435" s="724"/>
      <c r="E435" s="724"/>
      <c r="F435" s="724"/>
      <c r="G435" s="724"/>
      <c r="H435" s="171"/>
      <c r="I435" s="174"/>
      <c r="J435" s="721" t="s">
        <v>654</v>
      </c>
      <c r="K435" s="707"/>
      <c r="L435" s="838">
        <f>C435/C436</f>
        <v>94.132720588235287</v>
      </c>
      <c r="M435" s="707"/>
      <c r="N435" s="707"/>
      <c r="O435" s="707"/>
      <c r="P435" s="735" t="s">
        <v>374</v>
      </c>
      <c r="Q435" s="707"/>
      <c r="R435" s="140"/>
      <c r="S435" s="174"/>
      <c r="T435" s="174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30"/>
      <c r="BA435" s="130"/>
      <c r="BB435" s="130"/>
      <c r="BC435" s="130"/>
      <c r="BD435" s="130"/>
      <c r="BE435" s="130"/>
      <c r="BF435" s="128"/>
      <c r="BG435" s="128"/>
      <c r="BH435" s="128"/>
      <c r="BI435" s="128"/>
      <c r="BJ435" s="128"/>
    </row>
    <row r="436" spans="1:62" ht="15" customHeight="1">
      <c r="A436" s="707"/>
      <c r="B436" s="707"/>
      <c r="C436" s="742">
        <f>AI433*AL433</f>
        <v>6800</v>
      </c>
      <c r="D436" s="637"/>
      <c r="E436" s="637"/>
      <c r="F436" s="637"/>
      <c r="G436" s="637"/>
      <c r="H436" s="174"/>
      <c r="I436" s="174"/>
      <c r="J436" s="707"/>
      <c r="K436" s="707"/>
      <c r="L436" s="707"/>
      <c r="M436" s="707"/>
      <c r="N436" s="707"/>
      <c r="O436" s="707"/>
      <c r="P436" s="707"/>
      <c r="Q436" s="707"/>
      <c r="R436" s="140"/>
      <c r="S436" s="174"/>
      <c r="T436" s="174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30"/>
      <c r="BA436" s="130"/>
      <c r="BB436" s="130"/>
      <c r="BC436" s="130"/>
      <c r="BD436" s="130"/>
      <c r="BE436" s="130"/>
      <c r="BF436" s="128"/>
      <c r="BG436" s="128"/>
      <c r="BH436" s="128"/>
      <c r="BI436" s="128"/>
      <c r="BJ436" s="128"/>
    </row>
    <row r="437" spans="1:62" ht="4.5" customHeight="1">
      <c r="A437" s="146"/>
      <c r="B437" s="140"/>
      <c r="C437" s="140"/>
      <c r="D437" s="146"/>
      <c r="E437" s="140"/>
      <c r="F437" s="140"/>
      <c r="G437" s="174"/>
      <c r="H437" s="174"/>
      <c r="I437" s="174"/>
      <c r="J437" s="140"/>
      <c r="K437" s="140"/>
      <c r="L437" s="140"/>
      <c r="M437" s="140"/>
      <c r="N437" s="140"/>
      <c r="O437" s="140"/>
      <c r="P437" s="140"/>
      <c r="Q437" s="140"/>
      <c r="R437" s="140"/>
      <c r="S437" s="174"/>
      <c r="T437" s="174"/>
      <c r="U437" s="174"/>
      <c r="V437" s="174"/>
      <c r="W437" s="174"/>
      <c r="X437" s="174"/>
      <c r="Y437" s="140"/>
      <c r="Z437" s="130"/>
      <c r="AA437" s="130"/>
      <c r="AB437" s="130"/>
      <c r="AC437" s="130"/>
      <c r="AD437" s="130"/>
      <c r="AE437" s="130"/>
      <c r="AF437" s="130"/>
      <c r="AG437" s="130"/>
      <c r="AH437" s="130"/>
      <c r="AI437" s="130"/>
      <c r="AJ437" s="128"/>
      <c r="AK437" s="128"/>
      <c r="AL437" s="128"/>
      <c r="AM437" s="128"/>
      <c r="AN437" s="128"/>
      <c r="AO437" s="130"/>
      <c r="AP437" s="130"/>
      <c r="AQ437" s="130"/>
      <c r="AR437" s="130"/>
      <c r="AS437" s="130"/>
      <c r="AT437" s="130"/>
      <c r="AU437" s="130"/>
      <c r="AV437" s="130"/>
      <c r="AW437" s="130"/>
      <c r="AX437" s="128"/>
      <c r="AY437" s="130"/>
      <c r="AZ437" s="130"/>
      <c r="BA437" s="130"/>
      <c r="BB437" s="130"/>
      <c r="BC437" s="130"/>
      <c r="BD437" s="130"/>
      <c r="BE437" s="130"/>
      <c r="BF437" s="128"/>
      <c r="BG437" s="128"/>
      <c r="BH437" s="128"/>
      <c r="BI437" s="128"/>
      <c r="BJ437" s="128"/>
    </row>
    <row r="438" spans="1:62" ht="15" customHeight="1">
      <c r="A438" s="722" t="s">
        <v>657</v>
      </c>
      <c r="B438" s="707"/>
      <c r="C438" s="735" t="s">
        <v>262</v>
      </c>
      <c r="D438" s="738" t="s">
        <v>658</v>
      </c>
      <c r="E438" s="724"/>
      <c r="F438" s="724"/>
      <c r="G438" s="724"/>
      <c r="H438" s="174"/>
      <c r="I438" s="174"/>
      <c r="J438" s="721" t="s">
        <v>657</v>
      </c>
      <c r="K438" s="707"/>
      <c r="L438" s="735" t="s">
        <v>262</v>
      </c>
      <c r="M438" s="206">
        <v>3</v>
      </c>
      <c r="N438" s="206" t="s">
        <v>357</v>
      </c>
      <c r="O438" s="723">
        <f>L435</f>
        <v>94.132720588235287</v>
      </c>
      <c r="P438" s="724"/>
      <c r="Q438" s="724"/>
      <c r="R438" s="724"/>
      <c r="S438" s="234" t="s">
        <v>357</v>
      </c>
      <c r="T438" s="751">
        <f>'Veri Girişi'!$B$111</f>
        <v>3000</v>
      </c>
      <c r="U438" s="724"/>
      <c r="V438" s="724"/>
      <c r="W438" s="174"/>
      <c r="X438" s="174"/>
      <c r="Y438" s="721" t="s">
        <v>657</v>
      </c>
      <c r="Z438" s="707"/>
      <c r="AA438" s="735" t="s">
        <v>262</v>
      </c>
      <c r="AB438" s="721">
        <f>M438*O438*T438/M439</f>
        <v>52949.655330882342</v>
      </c>
      <c r="AC438" s="707"/>
      <c r="AD438" s="707"/>
      <c r="AE438" s="707"/>
      <c r="AF438" s="721" t="s">
        <v>428</v>
      </c>
      <c r="AG438" s="707"/>
      <c r="AH438" s="707"/>
      <c r="AI438" s="164"/>
      <c r="AJ438" s="146"/>
      <c r="AK438" s="729" t="s">
        <v>659</v>
      </c>
      <c r="AL438" s="707"/>
      <c r="AM438" s="721" t="s">
        <v>262</v>
      </c>
      <c r="AN438" s="738" t="s">
        <v>657</v>
      </c>
      <c r="AO438" s="724"/>
      <c r="AP438" s="144"/>
      <c r="AQ438" s="144"/>
      <c r="AR438" s="729" t="s">
        <v>659</v>
      </c>
      <c r="AS438" s="707"/>
      <c r="AT438" s="721" t="s">
        <v>262</v>
      </c>
      <c r="AU438" s="734">
        <f>AB438/VLOOKUP('Veri Girişi'!$E$73,TABLOLAR!$I$60:$S$65,7,0)</f>
        <v>4.4948773625536793</v>
      </c>
      <c r="AV438" s="707"/>
      <c r="AW438" s="707"/>
      <c r="AX438" s="730" t="s">
        <v>406</v>
      </c>
      <c r="AY438" s="707"/>
      <c r="AZ438" s="707"/>
      <c r="BA438" s="707"/>
      <c r="BB438" s="707"/>
      <c r="BC438" s="130"/>
      <c r="BD438" s="130"/>
      <c r="BE438" s="130"/>
      <c r="BF438" s="128"/>
      <c r="BG438" s="128"/>
      <c r="BH438" s="128"/>
      <c r="BI438" s="128"/>
      <c r="BJ438" s="128"/>
    </row>
    <row r="439" spans="1:62" ht="15" customHeight="1">
      <c r="A439" s="707"/>
      <c r="B439" s="707"/>
      <c r="C439" s="707"/>
      <c r="D439" s="753">
        <v>16</v>
      </c>
      <c r="E439" s="637"/>
      <c r="F439" s="637"/>
      <c r="G439" s="637"/>
      <c r="H439" s="174"/>
      <c r="I439" s="174"/>
      <c r="J439" s="707"/>
      <c r="K439" s="707"/>
      <c r="L439" s="707"/>
      <c r="M439" s="742">
        <v>16</v>
      </c>
      <c r="N439" s="637"/>
      <c r="O439" s="637"/>
      <c r="P439" s="637"/>
      <c r="Q439" s="637"/>
      <c r="R439" s="637"/>
      <c r="S439" s="637"/>
      <c r="T439" s="637"/>
      <c r="U439" s="637"/>
      <c r="V439" s="637"/>
      <c r="W439" s="174"/>
      <c r="X439" s="174"/>
      <c r="Y439" s="707"/>
      <c r="Z439" s="707"/>
      <c r="AA439" s="707"/>
      <c r="AB439" s="707"/>
      <c r="AC439" s="707"/>
      <c r="AD439" s="707"/>
      <c r="AE439" s="707"/>
      <c r="AF439" s="707"/>
      <c r="AG439" s="707"/>
      <c r="AH439" s="707"/>
      <c r="AI439" s="164"/>
      <c r="AJ439" s="146"/>
      <c r="AK439" s="707"/>
      <c r="AL439" s="707"/>
      <c r="AM439" s="707"/>
      <c r="AN439" s="753" t="s">
        <v>660</v>
      </c>
      <c r="AO439" s="637"/>
      <c r="AP439" s="144"/>
      <c r="AQ439" s="144"/>
      <c r="AR439" s="707"/>
      <c r="AS439" s="707"/>
      <c r="AT439" s="707"/>
      <c r="AU439" s="707"/>
      <c r="AV439" s="707"/>
      <c r="AW439" s="707"/>
      <c r="AX439" s="707"/>
      <c r="AY439" s="707"/>
      <c r="AZ439" s="707"/>
      <c r="BA439" s="707"/>
      <c r="BB439" s="707"/>
      <c r="BC439" s="130"/>
      <c r="BD439" s="130"/>
      <c r="BE439" s="130"/>
      <c r="BF439" s="128"/>
      <c r="BG439" s="128"/>
      <c r="BH439" s="128"/>
      <c r="BI439" s="128"/>
      <c r="BJ439" s="128"/>
    </row>
    <row r="440" spans="1:62" ht="4.5" customHeight="1">
      <c r="A440" s="146"/>
      <c r="B440" s="140"/>
      <c r="C440" s="140"/>
      <c r="D440" s="146"/>
      <c r="E440" s="140"/>
      <c r="F440" s="140"/>
      <c r="G440" s="174"/>
      <c r="H440" s="174"/>
      <c r="I440" s="174"/>
      <c r="J440" s="140"/>
      <c r="K440" s="140"/>
      <c r="L440" s="140"/>
      <c r="M440" s="140"/>
      <c r="N440" s="140"/>
      <c r="O440" s="140"/>
      <c r="P440" s="140"/>
      <c r="Q440" s="140"/>
      <c r="R440" s="140"/>
      <c r="S440" s="174"/>
      <c r="T440" s="174"/>
      <c r="U440" s="174"/>
      <c r="V440" s="174"/>
      <c r="W440" s="174"/>
      <c r="X440" s="174"/>
      <c r="Y440" s="140"/>
      <c r="Z440" s="130"/>
      <c r="AA440" s="130"/>
      <c r="AB440" s="130"/>
      <c r="AC440" s="130"/>
      <c r="AD440" s="130"/>
      <c r="AE440" s="130"/>
      <c r="AF440" s="130"/>
      <c r="AG440" s="130"/>
      <c r="AH440" s="130"/>
      <c r="AI440" s="130"/>
      <c r="AJ440" s="128"/>
      <c r="AK440" s="128"/>
      <c r="AL440" s="128"/>
      <c r="AM440" s="128"/>
      <c r="AN440" s="128"/>
      <c r="AO440" s="130"/>
      <c r="AP440" s="130"/>
      <c r="AQ440" s="130"/>
      <c r="AR440" s="130"/>
      <c r="AS440" s="130"/>
      <c r="AT440" s="130"/>
      <c r="AU440" s="130"/>
      <c r="AV440" s="130"/>
      <c r="AW440" s="130"/>
      <c r="AX440" s="128"/>
      <c r="AY440" s="130"/>
      <c r="AZ440" s="130"/>
      <c r="BA440" s="130"/>
      <c r="BB440" s="130"/>
      <c r="BC440" s="130"/>
      <c r="BD440" s="130"/>
      <c r="BE440" s="130"/>
      <c r="BF440" s="128"/>
      <c r="BG440" s="128"/>
      <c r="BH440" s="128"/>
      <c r="BI440" s="128"/>
      <c r="BJ440" s="128"/>
    </row>
    <row r="441" spans="1:62" ht="15" customHeight="1">
      <c r="A441" s="721" t="s">
        <v>661</v>
      </c>
      <c r="B441" s="707"/>
      <c r="C441" s="751" t="s">
        <v>701</v>
      </c>
      <c r="D441" s="724"/>
      <c r="E441" s="724"/>
      <c r="F441" s="724"/>
      <c r="G441" s="724"/>
      <c r="H441" s="724"/>
      <c r="I441" s="724"/>
      <c r="J441" s="724"/>
      <c r="K441" s="724"/>
      <c r="L441" s="724"/>
      <c r="M441" s="724"/>
      <c r="N441" s="724"/>
      <c r="O441" s="724"/>
      <c r="P441" s="724"/>
      <c r="Q441" s="724"/>
      <c r="R441" s="724"/>
      <c r="S441" s="724"/>
      <c r="T441" s="174"/>
      <c r="U441" s="721" t="s">
        <v>661</v>
      </c>
      <c r="V441" s="707"/>
      <c r="W441" s="751">
        <v>1.2</v>
      </c>
      <c r="X441" s="724"/>
      <c r="Y441" s="209" t="s">
        <v>357</v>
      </c>
      <c r="Z441" s="751">
        <v>9.81</v>
      </c>
      <c r="AA441" s="724"/>
      <c r="AB441" s="724"/>
      <c r="AC441" s="243" t="s">
        <v>702</v>
      </c>
      <c r="AD441" s="762">
        <f>'Veri Girişi'!$C$59</f>
        <v>800</v>
      </c>
      <c r="AE441" s="724"/>
      <c r="AF441" s="724"/>
      <c r="AG441" s="205" t="s">
        <v>357</v>
      </c>
      <c r="AH441" s="205" t="s">
        <v>413</v>
      </c>
      <c r="AI441" s="760">
        <f>Z312</f>
        <v>181.25</v>
      </c>
      <c r="AJ441" s="724"/>
      <c r="AK441" s="199" t="s">
        <v>317</v>
      </c>
      <c r="AL441" s="244">
        <f>$AH$297</f>
        <v>0</v>
      </c>
      <c r="AM441" s="199" t="s">
        <v>414</v>
      </c>
      <c r="AN441" s="199" t="s">
        <v>316</v>
      </c>
      <c r="AO441" s="762">
        <f>'Veri Girişi'!$C$75</f>
        <v>700</v>
      </c>
      <c r="AP441" s="724"/>
      <c r="AQ441" s="724"/>
      <c r="AR441" s="205" t="s">
        <v>357</v>
      </c>
      <c r="AS441" s="205" t="s">
        <v>413</v>
      </c>
      <c r="AT441" s="786">
        <f>AH296</f>
        <v>0</v>
      </c>
      <c r="AU441" s="724"/>
      <c r="AV441" s="205" t="s">
        <v>317</v>
      </c>
      <c r="AW441" s="786">
        <f>$AH$297</f>
        <v>0</v>
      </c>
      <c r="AX441" s="724"/>
      <c r="AY441" s="205" t="s">
        <v>491</v>
      </c>
      <c r="AZ441" s="130"/>
      <c r="BA441" s="130"/>
      <c r="BB441" s="130"/>
      <c r="BC441" s="130"/>
      <c r="BD441" s="130"/>
      <c r="BE441" s="130"/>
      <c r="BF441" s="128"/>
      <c r="BG441" s="128"/>
      <c r="BH441" s="128"/>
      <c r="BI441" s="128"/>
      <c r="BJ441" s="128"/>
    </row>
    <row r="442" spans="1:62" ht="15" customHeight="1">
      <c r="A442" s="707"/>
      <c r="B442" s="707"/>
      <c r="C442" s="730" t="s">
        <v>703</v>
      </c>
      <c r="D442" s="707"/>
      <c r="E442" s="707"/>
      <c r="F442" s="707"/>
      <c r="G442" s="707"/>
      <c r="H442" s="707"/>
      <c r="I442" s="707"/>
      <c r="J442" s="707"/>
      <c r="K442" s="707"/>
      <c r="L442" s="707"/>
      <c r="M442" s="707"/>
      <c r="N442" s="707"/>
      <c r="O442" s="707"/>
      <c r="P442" s="707"/>
      <c r="Q442" s="707"/>
      <c r="R442" s="707"/>
      <c r="S442" s="174"/>
      <c r="T442" s="174"/>
      <c r="U442" s="707"/>
      <c r="V442" s="707"/>
      <c r="W442" s="174"/>
      <c r="X442" s="174"/>
      <c r="Y442" s="140"/>
      <c r="Z442" s="130"/>
      <c r="AA442" s="130"/>
      <c r="AB442" s="130"/>
      <c r="AC442" s="130"/>
      <c r="AD442" s="130"/>
      <c r="AE442" s="130"/>
      <c r="AF442" s="130"/>
      <c r="AG442" s="130"/>
      <c r="AH442" s="779">
        <f>'Veri Girişi'!$B$115</f>
        <v>2</v>
      </c>
      <c r="AI442" s="637"/>
      <c r="AJ442" s="128" t="s">
        <v>357</v>
      </c>
      <c r="AK442" s="783">
        <f>$AH$289</f>
        <v>3400</v>
      </c>
      <c r="AL442" s="637"/>
      <c r="AM442" s="637"/>
      <c r="AN442" s="128"/>
      <c r="AO442" s="130"/>
      <c r="AP442" s="130"/>
      <c r="AQ442" s="130"/>
      <c r="AR442" s="130"/>
      <c r="AS442" s="130"/>
      <c r="AT442" s="130"/>
      <c r="AU442" s="130"/>
      <c r="AV442" s="130"/>
      <c r="AW442" s="130"/>
      <c r="AX442" s="128"/>
      <c r="AY442" s="130"/>
      <c r="AZ442" s="130"/>
      <c r="BA442" s="130"/>
      <c r="BB442" s="130"/>
      <c r="BC442" s="130"/>
      <c r="BD442" s="130"/>
      <c r="BE442" s="130"/>
      <c r="BF442" s="128"/>
      <c r="BG442" s="128"/>
      <c r="BH442" s="128"/>
      <c r="BI442" s="128"/>
      <c r="BJ442" s="128"/>
    </row>
    <row r="443" spans="1:62" ht="4.5" customHeight="1">
      <c r="A443" s="146"/>
      <c r="B443" s="140"/>
      <c r="C443" s="140"/>
      <c r="D443" s="146"/>
      <c r="E443" s="140"/>
      <c r="F443" s="140"/>
      <c r="G443" s="174"/>
      <c r="H443" s="174"/>
      <c r="I443" s="174"/>
      <c r="J443" s="140"/>
      <c r="K443" s="140"/>
      <c r="L443" s="140"/>
      <c r="M443" s="140"/>
      <c r="N443" s="140"/>
      <c r="O443" s="140"/>
      <c r="P443" s="140"/>
      <c r="Q443" s="140"/>
      <c r="R443" s="140"/>
      <c r="S443" s="174"/>
      <c r="T443" s="174"/>
      <c r="U443" s="174"/>
      <c r="V443" s="174"/>
      <c r="W443" s="174"/>
      <c r="X443" s="174"/>
      <c r="Y443" s="140"/>
      <c r="Z443" s="130"/>
      <c r="AA443" s="130"/>
      <c r="AB443" s="130"/>
      <c r="AC443" s="130"/>
      <c r="AD443" s="130"/>
      <c r="AE443" s="130"/>
      <c r="AF443" s="130"/>
      <c r="AG443" s="130"/>
      <c r="AH443" s="130"/>
      <c r="AI443" s="130"/>
      <c r="AJ443" s="128"/>
      <c r="AK443" s="128"/>
      <c r="AL443" s="128"/>
      <c r="AM443" s="128"/>
      <c r="AN443" s="128"/>
      <c r="AO443" s="130"/>
      <c r="AP443" s="130"/>
      <c r="AQ443" s="130"/>
      <c r="AR443" s="130"/>
      <c r="AS443" s="130"/>
      <c r="AT443" s="130"/>
      <c r="AU443" s="130"/>
      <c r="AV443" s="130"/>
      <c r="AW443" s="130"/>
      <c r="AX443" s="128"/>
      <c r="AY443" s="130"/>
      <c r="AZ443" s="130"/>
      <c r="BA443" s="130"/>
      <c r="BB443" s="130"/>
      <c r="BC443" s="130"/>
      <c r="BD443" s="130"/>
      <c r="BE443" s="130"/>
      <c r="BF443" s="128"/>
      <c r="BG443" s="128"/>
      <c r="BH443" s="128"/>
      <c r="BI443" s="128"/>
      <c r="BJ443" s="128"/>
    </row>
    <row r="444" spans="1:62" ht="15" customHeight="1">
      <c r="A444" s="721" t="s">
        <v>661</v>
      </c>
      <c r="B444" s="707"/>
      <c r="C444" s="751">
        <f>W441*Z441*((AD441*(AI441-AL441))+(AO441*(AT441-AW441)))</f>
        <v>1706940</v>
      </c>
      <c r="D444" s="724"/>
      <c r="E444" s="724"/>
      <c r="F444" s="724"/>
      <c r="G444" s="724"/>
      <c r="H444" s="171"/>
      <c r="I444" s="174"/>
      <c r="J444" s="721" t="s">
        <v>661</v>
      </c>
      <c r="K444" s="707"/>
      <c r="L444" s="838">
        <f>C444/C445</f>
        <v>251.02058823529413</v>
      </c>
      <c r="M444" s="707"/>
      <c r="N444" s="707"/>
      <c r="O444" s="707"/>
      <c r="P444" s="735" t="s">
        <v>374</v>
      </c>
      <c r="Q444" s="707"/>
      <c r="R444" s="140"/>
      <c r="S444" s="174"/>
      <c r="T444" s="174"/>
      <c r="U444" s="174"/>
      <c r="V444" s="174"/>
      <c r="W444" s="174"/>
      <c r="X444" s="174"/>
      <c r="Y444" s="140"/>
      <c r="Z444" s="130"/>
      <c r="AA444" s="130"/>
      <c r="AB444" s="130"/>
      <c r="AC444" s="130"/>
      <c r="AD444" s="130"/>
      <c r="AE444" s="130"/>
      <c r="AF444" s="130"/>
      <c r="AG444" s="130"/>
      <c r="AH444" s="130"/>
      <c r="AI444" s="130"/>
      <c r="AJ444" s="128"/>
      <c r="AK444" s="128"/>
      <c r="AL444" s="128"/>
      <c r="AM444" s="128"/>
      <c r="AN444" s="128"/>
      <c r="AO444" s="130"/>
      <c r="AP444" s="130"/>
      <c r="AQ444" s="130"/>
      <c r="AR444" s="130"/>
      <c r="AS444" s="130"/>
      <c r="AT444" s="130"/>
      <c r="AU444" s="130"/>
      <c r="AV444" s="130"/>
      <c r="AW444" s="130"/>
      <c r="AX444" s="128"/>
      <c r="AY444" s="130"/>
      <c r="AZ444" s="130"/>
      <c r="BA444" s="130"/>
      <c r="BB444" s="130"/>
      <c r="BC444" s="130"/>
      <c r="BD444" s="130"/>
      <c r="BE444" s="130"/>
      <c r="BF444" s="128"/>
      <c r="BG444" s="128"/>
      <c r="BH444" s="128"/>
      <c r="BI444" s="128"/>
      <c r="BJ444" s="128"/>
    </row>
    <row r="445" spans="1:62" ht="15" customHeight="1">
      <c r="A445" s="707"/>
      <c r="B445" s="707"/>
      <c r="C445" s="742">
        <f>AH442*AK442</f>
        <v>6800</v>
      </c>
      <c r="D445" s="637"/>
      <c r="E445" s="637"/>
      <c r="F445" s="637"/>
      <c r="G445" s="637"/>
      <c r="H445" s="174"/>
      <c r="I445" s="174"/>
      <c r="J445" s="707"/>
      <c r="K445" s="707"/>
      <c r="L445" s="707"/>
      <c r="M445" s="707"/>
      <c r="N445" s="707"/>
      <c r="O445" s="707"/>
      <c r="P445" s="707"/>
      <c r="Q445" s="707"/>
      <c r="R445" s="140"/>
      <c r="S445" s="174"/>
      <c r="T445" s="174"/>
      <c r="U445" s="174"/>
      <c r="V445" s="174"/>
      <c r="W445" s="174"/>
      <c r="X445" s="174"/>
      <c r="Y445" s="140"/>
      <c r="Z445" s="130"/>
      <c r="AA445" s="130"/>
      <c r="AB445" s="130"/>
      <c r="AC445" s="130"/>
      <c r="AD445" s="130"/>
      <c r="AE445" s="130"/>
      <c r="AF445" s="130"/>
      <c r="AG445" s="130"/>
      <c r="AH445" s="130"/>
      <c r="AI445" s="130"/>
      <c r="AJ445" s="128"/>
      <c r="AK445" s="128"/>
      <c r="AL445" s="128"/>
      <c r="AM445" s="128"/>
      <c r="AN445" s="128"/>
      <c r="AO445" s="130"/>
      <c r="AP445" s="130"/>
      <c r="AQ445" s="130"/>
      <c r="AR445" s="130"/>
      <c r="AS445" s="130"/>
      <c r="AT445" s="130"/>
      <c r="AU445" s="130"/>
      <c r="AV445" s="130"/>
      <c r="AW445" s="130"/>
      <c r="AX445" s="128"/>
      <c r="AY445" s="130"/>
      <c r="AZ445" s="130"/>
      <c r="BA445" s="130"/>
      <c r="BB445" s="130"/>
      <c r="BC445" s="130"/>
      <c r="BD445" s="130"/>
      <c r="BE445" s="130"/>
      <c r="BF445" s="128"/>
      <c r="BG445" s="128"/>
      <c r="BH445" s="128"/>
      <c r="BI445" s="128"/>
      <c r="BJ445" s="128"/>
    </row>
    <row r="446" spans="1:62" ht="4.5" customHeight="1">
      <c r="A446" s="146"/>
      <c r="B446" s="140"/>
      <c r="C446" s="140"/>
      <c r="D446" s="146"/>
      <c r="E446" s="140"/>
      <c r="F446" s="140"/>
      <c r="G446" s="174"/>
      <c r="H446" s="174"/>
      <c r="I446" s="174"/>
      <c r="J446" s="140"/>
      <c r="K446" s="140"/>
      <c r="L446" s="140"/>
      <c r="M446" s="140"/>
      <c r="N446" s="140"/>
      <c r="O446" s="140"/>
      <c r="P446" s="140"/>
      <c r="Q446" s="140"/>
      <c r="R446" s="140"/>
      <c r="S446" s="174"/>
      <c r="T446" s="174"/>
      <c r="U446" s="174"/>
      <c r="V446" s="174"/>
      <c r="W446" s="174"/>
      <c r="X446" s="174"/>
      <c r="Y446" s="140"/>
      <c r="Z446" s="130"/>
      <c r="AA446" s="130"/>
      <c r="AB446" s="130"/>
      <c r="AC446" s="130"/>
      <c r="AD446" s="130"/>
      <c r="AE446" s="130"/>
      <c r="AF446" s="130"/>
      <c r="AG446" s="130"/>
      <c r="AH446" s="130"/>
      <c r="AI446" s="130"/>
      <c r="AJ446" s="128"/>
      <c r="AK446" s="128"/>
      <c r="AL446" s="128"/>
      <c r="AM446" s="128"/>
      <c r="AN446" s="128"/>
      <c r="AO446" s="130"/>
      <c r="AP446" s="130"/>
      <c r="AQ446" s="130"/>
      <c r="AR446" s="130"/>
      <c r="AS446" s="130"/>
      <c r="AT446" s="130"/>
      <c r="AU446" s="130"/>
      <c r="AV446" s="130"/>
      <c r="AW446" s="130"/>
      <c r="AX446" s="128"/>
      <c r="AY446" s="130"/>
      <c r="AZ446" s="130"/>
      <c r="BA446" s="130"/>
      <c r="BB446" s="130"/>
      <c r="BC446" s="130"/>
      <c r="BD446" s="130"/>
      <c r="BE446" s="130"/>
      <c r="BF446" s="128"/>
      <c r="BG446" s="128"/>
      <c r="BH446" s="128"/>
      <c r="BI446" s="128"/>
      <c r="BJ446" s="128"/>
    </row>
    <row r="447" spans="1:62" ht="15" customHeight="1">
      <c r="A447" s="722" t="s">
        <v>664</v>
      </c>
      <c r="B447" s="707"/>
      <c r="C447" s="735" t="s">
        <v>262</v>
      </c>
      <c r="D447" s="738" t="s">
        <v>665</v>
      </c>
      <c r="E447" s="724"/>
      <c r="F447" s="724"/>
      <c r="G447" s="724"/>
      <c r="H447" s="174"/>
      <c r="I447" s="174"/>
      <c r="J447" s="721" t="s">
        <v>664</v>
      </c>
      <c r="K447" s="707"/>
      <c r="L447" s="735" t="s">
        <v>262</v>
      </c>
      <c r="M447" s="206">
        <v>3</v>
      </c>
      <c r="N447" s="206" t="s">
        <v>357</v>
      </c>
      <c r="O447" s="723">
        <f>L444</f>
        <v>251.02058823529413</v>
      </c>
      <c r="P447" s="724"/>
      <c r="Q447" s="724"/>
      <c r="R447" s="724"/>
      <c r="S447" s="234" t="s">
        <v>357</v>
      </c>
      <c r="T447" s="751">
        <f>'Veri Girişi'!$B$111</f>
        <v>3000</v>
      </c>
      <c r="U447" s="724"/>
      <c r="V447" s="724"/>
      <c r="W447" s="174"/>
      <c r="X447" s="174"/>
      <c r="Y447" s="721" t="s">
        <v>664</v>
      </c>
      <c r="Z447" s="707"/>
      <c r="AA447" s="735" t="s">
        <v>262</v>
      </c>
      <c r="AB447" s="721">
        <f>M447*O447*T447/M448</f>
        <v>141199.08088235295</v>
      </c>
      <c r="AC447" s="707"/>
      <c r="AD447" s="707"/>
      <c r="AE447" s="707"/>
      <c r="AF447" s="721" t="s">
        <v>428</v>
      </c>
      <c r="AG447" s="707"/>
      <c r="AH447" s="707"/>
      <c r="AI447" s="164"/>
      <c r="AJ447" s="146"/>
      <c r="AK447" s="729" t="s">
        <v>666</v>
      </c>
      <c r="AL447" s="707"/>
      <c r="AM447" s="721" t="s">
        <v>262</v>
      </c>
      <c r="AN447" s="738" t="s">
        <v>664</v>
      </c>
      <c r="AO447" s="724"/>
      <c r="AP447" s="144"/>
      <c r="AQ447" s="144"/>
      <c r="AR447" s="729" t="s">
        <v>666</v>
      </c>
      <c r="AS447" s="707"/>
      <c r="AT447" s="721" t="s">
        <v>262</v>
      </c>
      <c r="AU447" s="734">
        <f>AB447/VLOOKUP('Veri Girişi'!$E$73,TABLOLAR!$I$60:$S$65,6,0)</f>
        <v>9.8396572043451531</v>
      </c>
      <c r="AV447" s="707"/>
      <c r="AW447" s="707"/>
      <c r="AX447" s="730" t="s">
        <v>406</v>
      </c>
      <c r="AY447" s="707"/>
      <c r="AZ447" s="707"/>
      <c r="BA447" s="707"/>
      <c r="BB447" s="707"/>
      <c r="BC447" s="130"/>
      <c r="BD447" s="130"/>
      <c r="BE447" s="130"/>
      <c r="BF447" s="128"/>
      <c r="BG447" s="128"/>
      <c r="BH447" s="128"/>
      <c r="BI447" s="128"/>
      <c r="BJ447" s="128"/>
    </row>
    <row r="448" spans="1:62" ht="15" customHeight="1">
      <c r="A448" s="707"/>
      <c r="B448" s="707"/>
      <c r="C448" s="707"/>
      <c r="D448" s="753">
        <v>16</v>
      </c>
      <c r="E448" s="637"/>
      <c r="F448" s="637"/>
      <c r="G448" s="637"/>
      <c r="H448" s="174"/>
      <c r="I448" s="174"/>
      <c r="J448" s="707"/>
      <c r="K448" s="707"/>
      <c r="L448" s="707"/>
      <c r="M448" s="742">
        <v>16</v>
      </c>
      <c r="N448" s="637"/>
      <c r="O448" s="637"/>
      <c r="P448" s="637"/>
      <c r="Q448" s="637"/>
      <c r="R448" s="637"/>
      <c r="S448" s="637"/>
      <c r="T448" s="637"/>
      <c r="U448" s="637"/>
      <c r="V448" s="637"/>
      <c r="W448" s="174"/>
      <c r="X448" s="174"/>
      <c r="Y448" s="707"/>
      <c r="Z448" s="707"/>
      <c r="AA448" s="707"/>
      <c r="AB448" s="707"/>
      <c r="AC448" s="707"/>
      <c r="AD448" s="707"/>
      <c r="AE448" s="707"/>
      <c r="AF448" s="707"/>
      <c r="AG448" s="707"/>
      <c r="AH448" s="707"/>
      <c r="AI448" s="164"/>
      <c r="AJ448" s="146"/>
      <c r="AK448" s="707"/>
      <c r="AL448" s="707"/>
      <c r="AM448" s="707"/>
      <c r="AN448" s="753" t="s">
        <v>407</v>
      </c>
      <c r="AO448" s="637"/>
      <c r="AP448" s="144"/>
      <c r="AQ448" s="144"/>
      <c r="AR448" s="707"/>
      <c r="AS448" s="707"/>
      <c r="AT448" s="707"/>
      <c r="AU448" s="707"/>
      <c r="AV448" s="707"/>
      <c r="AW448" s="707"/>
      <c r="AX448" s="707"/>
      <c r="AY448" s="707"/>
      <c r="AZ448" s="707"/>
      <c r="BA448" s="707"/>
      <c r="BB448" s="707"/>
      <c r="BC448" s="130"/>
      <c r="BD448" s="130"/>
      <c r="BE448" s="130"/>
      <c r="BF448" s="128"/>
      <c r="BG448" s="128"/>
      <c r="BH448" s="128"/>
      <c r="BI448" s="128"/>
      <c r="BJ448" s="128"/>
    </row>
    <row r="449" spans="1:62" ht="4.5" customHeight="1">
      <c r="A449" s="146"/>
      <c r="B449" s="140"/>
      <c r="C449" s="140"/>
      <c r="D449" s="146"/>
      <c r="E449" s="140"/>
      <c r="F449" s="140"/>
      <c r="G449" s="174"/>
      <c r="H449" s="174"/>
      <c r="I449" s="174"/>
      <c r="J449" s="140"/>
      <c r="K449" s="140"/>
      <c r="L449" s="140"/>
      <c r="M449" s="140"/>
      <c r="N449" s="140"/>
      <c r="O449" s="140"/>
      <c r="P449" s="140"/>
      <c r="Q449" s="140"/>
      <c r="R449" s="140"/>
      <c r="S449" s="174"/>
      <c r="T449" s="174"/>
      <c r="U449" s="174"/>
      <c r="V449" s="174"/>
      <c r="W449" s="174"/>
      <c r="X449" s="174"/>
      <c r="Y449" s="140"/>
      <c r="Z449" s="130"/>
      <c r="AA449" s="130"/>
      <c r="AB449" s="130"/>
      <c r="AC449" s="130"/>
      <c r="AD449" s="130"/>
      <c r="AE449" s="130"/>
      <c r="AF449" s="130"/>
      <c r="AG449" s="130"/>
      <c r="AH449" s="130"/>
      <c r="AI449" s="130"/>
      <c r="AJ449" s="128"/>
      <c r="AK449" s="128"/>
      <c r="AL449" s="128"/>
      <c r="AM449" s="128"/>
      <c r="AN449" s="128"/>
      <c r="AO449" s="130"/>
      <c r="AP449" s="130"/>
      <c r="AQ449" s="130"/>
      <c r="AR449" s="130"/>
      <c r="AS449" s="130"/>
      <c r="AT449" s="130"/>
      <c r="AU449" s="130"/>
      <c r="AV449" s="130"/>
      <c r="AW449" s="130"/>
      <c r="AX449" s="128"/>
      <c r="AY449" s="130"/>
      <c r="AZ449" s="130"/>
      <c r="BA449" s="130"/>
      <c r="BB449" s="130"/>
      <c r="BC449" s="130"/>
      <c r="BD449" s="130"/>
      <c r="BE449" s="130"/>
      <c r="BF449" s="128"/>
      <c r="BG449" s="128"/>
      <c r="BH449" s="128"/>
      <c r="BI449" s="128"/>
      <c r="BJ449" s="128"/>
    </row>
    <row r="450" spans="1:62" ht="15" customHeight="1">
      <c r="A450" s="128" t="s">
        <v>704</v>
      </c>
      <c r="B450" s="140"/>
      <c r="C450" s="140"/>
      <c r="D450" s="146"/>
      <c r="E450" s="140"/>
      <c r="F450" s="140"/>
      <c r="G450" s="128"/>
      <c r="H450" s="174"/>
      <c r="I450" s="174"/>
      <c r="J450" s="128"/>
      <c r="K450" s="128"/>
      <c r="L450" s="140"/>
      <c r="M450" s="140"/>
      <c r="N450" s="140"/>
      <c r="O450" s="140"/>
      <c r="P450" s="140"/>
      <c r="Q450" s="140"/>
      <c r="R450" s="140"/>
      <c r="S450" s="174"/>
      <c r="T450" s="174"/>
      <c r="U450" s="174"/>
      <c r="V450" s="174"/>
      <c r="W450" s="174"/>
      <c r="X450" s="174"/>
      <c r="Y450" s="140"/>
      <c r="Z450" s="130"/>
      <c r="AA450" s="130"/>
      <c r="AB450" s="130"/>
      <c r="AC450" s="130"/>
      <c r="AD450" s="130"/>
      <c r="AE450" s="130"/>
      <c r="AF450" s="130"/>
      <c r="AG450" s="130"/>
      <c r="AH450" s="130"/>
      <c r="AI450" s="130"/>
      <c r="AJ450" s="128"/>
      <c r="AK450" s="128"/>
      <c r="AL450" s="128"/>
      <c r="AM450" s="128"/>
      <c r="AN450" s="128"/>
      <c r="AO450" s="130"/>
      <c r="AP450" s="130"/>
      <c r="AQ450" s="130"/>
      <c r="AR450" s="130"/>
      <c r="AS450" s="130"/>
      <c r="AT450" s="130"/>
      <c r="AU450" s="130"/>
      <c r="AV450" s="130"/>
      <c r="AW450" s="130"/>
      <c r="AX450" s="128"/>
      <c r="AY450" s="130"/>
      <c r="AZ450" s="130"/>
      <c r="BA450" s="130"/>
      <c r="BB450" s="130"/>
      <c r="BC450" s="130"/>
      <c r="BD450" s="130"/>
      <c r="BE450" s="130"/>
      <c r="BF450" s="128"/>
      <c r="BG450" s="128"/>
      <c r="BH450" s="128"/>
      <c r="BI450" s="128"/>
      <c r="BJ450" s="128"/>
    </row>
    <row r="451" spans="1:62" ht="4.5" customHeight="1">
      <c r="A451" s="207"/>
      <c r="B451" s="140"/>
      <c r="C451" s="140"/>
      <c r="D451" s="146"/>
      <c r="E451" s="140"/>
      <c r="F451" s="140"/>
      <c r="G451" s="128"/>
      <c r="H451" s="174"/>
      <c r="I451" s="174"/>
      <c r="J451" s="128"/>
      <c r="K451" s="128"/>
      <c r="L451" s="140"/>
      <c r="M451" s="140"/>
      <c r="N451" s="140"/>
      <c r="O451" s="140"/>
      <c r="P451" s="140"/>
      <c r="Q451" s="140"/>
      <c r="R451" s="140"/>
      <c r="S451" s="174"/>
      <c r="T451" s="174"/>
      <c r="U451" s="174"/>
      <c r="V451" s="174"/>
      <c r="W451" s="174"/>
      <c r="X451" s="174"/>
      <c r="Y451" s="140"/>
      <c r="Z451" s="130"/>
      <c r="AA451" s="130"/>
      <c r="AB451" s="130"/>
      <c r="AC451" s="130"/>
      <c r="AD451" s="130"/>
      <c r="AE451" s="130"/>
      <c r="AF451" s="130"/>
      <c r="AG451" s="130"/>
      <c r="AH451" s="130"/>
      <c r="AI451" s="130"/>
      <c r="AJ451" s="128"/>
      <c r="AK451" s="128"/>
      <c r="AL451" s="128"/>
      <c r="AM451" s="128"/>
      <c r="AN451" s="128"/>
      <c r="AO451" s="130"/>
      <c r="AP451" s="130"/>
      <c r="AQ451" s="130"/>
      <c r="AR451" s="130"/>
      <c r="AS451" s="130"/>
      <c r="AT451" s="130"/>
      <c r="AU451" s="130"/>
      <c r="AV451" s="130"/>
      <c r="AW451" s="130"/>
      <c r="AX451" s="128"/>
      <c r="AY451" s="130"/>
      <c r="AZ451" s="130"/>
      <c r="BA451" s="130"/>
      <c r="BB451" s="130"/>
      <c r="BC451" s="130"/>
      <c r="BD451" s="130"/>
      <c r="BE451" s="130"/>
      <c r="BF451" s="128"/>
      <c r="BG451" s="128"/>
      <c r="BH451" s="128"/>
      <c r="BI451" s="128"/>
      <c r="BJ451" s="128"/>
    </row>
    <row r="452" spans="1:62" ht="15" customHeight="1">
      <c r="A452" s="721" t="s">
        <v>669</v>
      </c>
      <c r="B452" s="707"/>
      <c r="C452" s="757" t="s">
        <v>641</v>
      </c>
      <c r="D452" s="730" t="s">
        <v>671</v>
      </c>
      <c r="E452" s="707"/>
      <c r="F452" s="707"/>
      <c r="G452" s="707"/>
      <c r="H452" s="707"/>
      <c r="I452" s="707"/>
      <c r="J452" s="171"/>
      <c r="K452" s="171"/>
      <c r="L452" s="171"/>
      <c r="M452" s="721" t="s">
        <v>669</v>
      </c>
      <c r="N452" s="707"/>
      <c r="O452" s="721" t="s">
        <v>641</v>
      </c>
      <c r="P452" s="752">
        <f>AH291</f>
        <v>329.30800000000005</v>
      </c>
      <c r="Q452" s="707"/>
      <c r="R452" s="707"/>
      <c r="S452" s="730" t="s">
        <v>357</v>
      </c>
      <c r="T452" s="730">
        <v>9.81</v>
      </c>
      <c r="U452" s="707"/>
      <c r="V452" s="707"/>
      <c r="W452" s="721" t="s">
        <v>316</v>
      </c>
      <c r="X452" s="721">
        <v>0</v>
      </c>
      <c r="Y452" s="707"/>
      <c r="Z452" s="246"/>
      <c r="AA452" s="151"/>
      <c r="AB452" s="721" t="s">
        <v>669</v>
      </c>
      <c r="AC452" s="707"/>
      <c r="AD452" s="721" t="s">
        <v>641</v>
      </c>
      <c r="AE452" s="734">
        <f>P452*T452+X452</f>
        <v>3230.5114800000006</v>
      </c>
      <c r="AF452" s="707"/>
      <c r="AG452" s="707"/>
      <c r="AH452" s="707"/>
      <c r="AI452" s="707"/>
      <c r="AJ452" s="721" t="s">
        <v>374</v>
      </c>
      <c r="AK452" s="146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30"/>
      <c r="BE452" s="130"/>
      <c r="BF452" s="128"/>
      <c r="BG452" s="128"/>
      <c r="BH452" s="128"/>
      <c r="BI452" s="128"/>
      <c r="BJ452" s="128"/>
    </row>
    <row r="453" spans="1:62" ht="15" customHeight="1">
      <c r="A453" s="707"/>
      <c r="B453" s="707"/>
      <c r="C453" s="707"/>
      <c r="D453" s="707"/>
      <c r="E453" s="707"/>
      <c r="F453" s="707"/>
      <c r="G453" s="707"/>
      <c r="H453" s="707"/>
      <c r="I453" s="707"/>
      <c r="J453" s="146"/>
      <c r="K453" s="146"/>
      <c r="L453" s="171"/>
      <c r="M453" s="707"/>
      <c r="N453" s="707"/>
      <c r="O453" s="707"/>
      <c r="P453" s="707"/>
      <c r="Q453" s="707"/>
      <c r="R453" s="707"/>
      <c r="S453" s="707"/>
      <c r="T453" s="707"/>
      <c r="U453" s="707"/>
      <c r="V453" s="707"/>
      <c r="W453" s="707"/>
      <c r="X453" s="707"/>
      <c r="Y453" s="707"/>
      <c r="Z453" s="140"/>
      <c r="AA453" s="140"/>
      <c r="AB453" s="707"/>
      <c r="AC453" s="707"/>
      <c r="AD453" s="707"/>
      <c r="AE453" s="707"/>
      <c r="AF453" s="707"/>
      <c r="AG453" s="707"/>
      <c r="AH453" s="707"/>
      <c r="AI453" s="707"/>
      <c r="AJ453" s="707"/>
      <c r="AK453" s="146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30"/>
      <c r="BE453" s="130"/>
      <c r="BF453" s="128"/>
      <c r="BG453" s="128"/>
      <c r="BH453" s="128"/>
      <c r="BI453" s="128"/>
      <c r="BJ453" s="128"/>
    </row>
    <row r="454" spans="1:62" ht="4.5" customHeight="1">
      <c r="A454" s="146"/>
      <c r="B454" s="140"/>
      <c r="C454" s="140"/>
      <c r="D454" s="146"/>
      <c r="E454" s="140"/>
      <c r="F454" s="143"/>
      <c r="G454" s="174"/>
      <c r="H454" s="174"/>
      <c r="I454" s="174"/>
      <c r="J454" s="140"/>
      <c r="K454" s="140"/>
      <c r="L454" s="140"/>
      <c r="M454" s="140"/>
      <c r="N454" s="143"/>
      <c r="O454" s="140"/>
      <c r="P454" s="140"/>
      <c r="Q454" s="140"/>
      <c r="R454" s="140"/>
      <c r="S454" s="174"/>
      <c r="T454" s="174"/>
      <c r="U454" s="174"/>
      <c r="V454" s="174"/>
      <c r="W454" s="174"/>
      <c r="X454" s="174"/>
      <c r="Y454" s="140"/>
      <c r="Z454" s="196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28"/>
      <c r="AK454" s="128"/>
      <c r="AL454" s="128"/>
      <c r="AM454" s="128"/>
      <c r="AN454" s="128"/>
      <c r="AO454" s="130"/>
      <c r="AP454" s="130"/>
      <c r="AQ454" s="130"/>
      <c r="AR454" s="130"/>
      <c r="AS454" s="130"/>
      <c r="AT454" s="130"/>
      <c r="AU454" s="130"/>
      <c r="AV454" s="130"/>
      <c r="AW454" s="130"/>
      <c r="AX454" s="128"/>
      <c r="AY454" s="130"/>
      <c r="AZ454" s="130"/>
      <c r="BA454" s="130"/>
      <c r="BB454" s="130"/>
      <c r="BC454" s="130"/>
      <c r="BD454" s="130"/>
      <c r="BE454" s="130"/>
      <c r="BF454" s="128"/>
      <c r="BG454" s="128"/>
      <c r="BH454" s="128"/>
      <c r="BI454" s="128"/>
      <c r="BJ454" s="128"/>
    </row>
    <row r="455" spans="1:62" ht="15" customHeight="1">
      <c r="A455" s="721" t="s">
        <v>705</v>
      </c>
      <c r="B455" s="707"/>
      <c r="C455" s="757" t="s">
        <v>641</v>
      </c>
      <c r="D455" s="738" t="s">
        <v>682</v>
      </c>
      <c r="E455" s="724"/>
      <c r="F455" s="724"/>
      <c r="G455" s="724"/>
      <c r="H455" s="724"/>
      <c r="I455" s="724"/>
      <c r="J455" s="724"/>
      <c r="K455" s="724"/>
      <c r="L455" s="140"/>
      <c r="M455" s="140"/>
      <c r="N455" s="721" t="s">
        <v>705</v>
      </c>
      <c r="O455" s="707"/>
      <c r="P455" s="757" t="s">
        <v>641</v>
      </c>
      <c r="Q455" s="206" t="s">
        <v>413</v>
      </c>
      <c r="R455" s="723">
        <f>AE452</f>
        <v>3230.5114800000006</v>
      </c>
      <c r="S455" s="724"/>
      <c r="T455" s="724"/>
      <c r="U455" s="724"/>
      <c r="V455" s="234" t="s">
        <v>316</v>
      </c>
      <c r="W455" s="751">
        <v>1.2</v>
      </c>
      <c r="X455" s="724"/>
      <c r="Y455" s="235" t="s">
        <v>357</v>
      </c>
      <c r="Z455" s="738">
        <f>AH292</f>
        <v>150</v>
      </c>
      <c r="AA455" s="724"/>
      <c r="AB455" s="235" t="s">
        <v>414</v>
      </c>
      <c r="AC455" s="144"/>
      <c r="AD455" s="721"/>
      <c r="AE455" s="707"/>
      <c r="AF455" s="707"/>
      <c r="AG455" s="151"/>
      <c r="AH455" s="146"/>
      <c r="AI455" s="721" t="s">
        <v>705</v>
      </c>
      <c r="AJ455" s="707"/>
      <c r="AK455" s="757" t="s">
        <v>641</v>
      </c>
      <c r="AL455" s="734">
        <f>(R455+(W455*Z455))/Q456</f>
        <v>2.1626578820545341</v>
      </c>
      <c r="AM455" s="707"/>
      <c r="AN455" s="707"/>
      <c r="AO455" s="735" t="s">
        <v>406</v>
      </c>
      <c r="AP455" s="707"/>
      <c r="AQ455" s="707"/>
      <c r="AR455" s="707"/>
      <c r="AS455" s="144"/>
      <c r="AT455" s="144"/>
      <c r="AU455" s="144"/>
      <c r="AV455" s="777"/>
      <c r="AW455" s="707"/>
      <c r="AX455" s="146"/>
      <c r="AY455" s="144"/>
      <c r="AZ455" s="144"/>
      <c r="BA455" s="144"/>
      <c r="BB455" s="144"/>
      <c r="BC455" s="144"/>
      <c r="BD455" s="144"/>
      <c r="BE455" s="144"/>
      <c r="BF455" s="146"/>
      <c r="BG455" s="146"/>
      <c r="BH455" s="146"/>
      <c r="BI455" s="146"/>
      <c r="BJ455" s="146"/>
    </row>
    <row r="456" spans="1:62" ht="15" customHeight="1">
      <c r="A456" s="707"/>
      <c r="B456" s="707"/>
      <c r="C456" s="707"/>
      <c r="D456" s="753" t="s">
        <v>397</v>
      </c>
      <c r="E456" s="637"/>
      <c r="F456" s="637"/>
      <c r="G456" s="637"/>
      <c r="H456" s="637"/>
      <c r="I456" s="637"/>
      <c r="J456" s="637"/>
      <c r="K456" s="637"/>
      <c r="L456" s="140"/>
      <c r="M456" s="140"/>
      <c r="N456" s="707"/>
      <c r="O456" s="707"/>
      <c r="P456" s="707"/>
      <c r="Q456" s="742">
        <f>VLOOKUP('Veri Girişi'!$E$73,TABLOLAR!$I$60:$S$65,3,0)</f>
        <v>1577</v>
      </c>
      <c r="R456" s="637"/>
      <c r="S456" s="637"/>
      <c r="T456" s="637"/>
      <c r="U456" s="637"/>
      <c r="V456" s="637"/>
      <c r="W456" s="637"/>
      <c r="X456" s="637"/>
      <c r="Y456" s="637"/>
      <c r="Z456" s="637"/>
      <c r="AA456" s="637"/>
      <c r="AB456" s="637"/>
      <c r="AC456" s="171"/>
      <c r="AD456" s="171"/>
      <c r="AE456" s="171"/>
      <c r="AF456" s="171"/>
      <c r="AG456" s="171"/>
      <c r="AH456" s="171"/>
      <c r="AI456" s="707"/>
      <c r="AJ456" s="707"/>
      <c r="AK456" s="707"/>
      <c r="AL456" s="707"/>
      <c r="AM456" s="707"/>
      <c r="AN456" s="707"/>
      <c r="AO456" s="707"/>
      <c r="AP456" s="707"/>
      <c r="AQ456" s="707"/>
      <c r="AR456" s="707"/>
      <c r="AS456" s="144"/>
      <c r="AT456" s="128"/>
      <c r="AU456" s="128"/>
      <c r="AV456" s="737"/>
      <c r="AW456" s="707"/>
      <c r="AX456" s="128"/>
      <c r="AY456" s="128"/>
      <c r="AZ456" s="128"/>
      <c r="BA456" s="128"/>
      <c r="BB456" s="128"/>
      <c r="BC456" s="128"/>
      <c r="BD456" s="128"/>
      <c r="BE456" s="144"/>
      <c r="BF456" s="146"/>
      <c r="BG456" s="146"/>
      <c r="BH456" s="146"/>
      <c r="BI456" s="146"/>
      <c r="BJ456" s="146"/>
    </row>
    <row r="457" spans="1:62" ht="4.5" customHeight="1">
      <c r="A457" s="247"/>
      <c r="B457" s="140"/>
      <c r="C457" s="140"/>
      <c r="D457" s="146"/>
      <c r="E457" s="140"/>
      <c r="F457" s="140"/>
      <c r="G457" s="174"/>
      <c r="H457" s="174"/>
      <c r="I457" s="174"/>
      <c r="J457" s="140"/>
      <c r="K457" s="140"/>
      <c r="L457" s="140"/>
      <c r="M457" s="140"/>
      <c r="N457" s="140"/>
      <c r="O457" s="140"/>
      <c r="P457" s="140"/>
      <c r="Q457" s="140"/>
      <c r="R457" s="140"/>
      <c r="S457" s="174"/>
      <c r="T457" s="174"/>
      <c r="U457" s="174"/>
      <c r="V457" s="174"/>
      <c r="W457" s="174"/>
      <c r="X457" s="174"/>
      <c r="Y457" s="140"/>
      <c r="Z457" s="130"/>
      <c r="AA457" s="130"/>
      <c r="AB457" s="130"/>
      <c r="AC457" s="130"/>
      <c r="AD457" s="130"/>
      <c r="AE457" s="130"/>
      <c r="AF457" s="130"/>
      <c r="AG457" s="130"/>
      <c r="AH457" s="130"/>
      <c r="AI457" s="130"/>
      <c r="AJ457" s="128"/>
      <c r="AK457" s="128"/>
      <c r="AL457" s="128"/>
      <c r="AM457" s="128"/>
      <c r="AN457" s="128"/>
      <c r="AO457" s="130"/>
      <c r="AP457" s="130"/>
      <c r="AQ457" s="130"/>
      <c r="AR457" s="130"/>
      <c r="AS457" s="130"/>
      <c r="AT457" s="130"/>
      <c r="AU457" s="130"/>
      <c r="AV457" s="130"/>
      <c r="AW457" s="130"/>
      <c r="AX457" s="128"/>
      <c r="AY457" s="130"/>
      <c r="AZ457" s="130"/>
      <c r="BA457" s="130"/>
      <c r="BB457" s="130"/>
      <c r="BC457" s="130"/>
      <c r="BD457" s="130"/>
      <c r="BE457" s="130"/>
      <c r="BF457" s="128"/>
      <c r="BG457" s="128"/>
      <c r="BH457" s="128"/>
      <c r="BI457" s="128"/>
      <c r="BJ457" s="128"/>
    </row>
    <row r="458" spans="1:62" ht="15" customHeight="1">
      <c r="A458" s="146" t="s">
        <v>675</v>
      </c>
      <c r="B458" s="140"/>
      <c r="C458" s="140"/>
      <c r="D458" s="146"/>
      <c r="E458" s="140"/>
      <c r="F458" s="143"/>
      <c r="G458" s="174"/>
      <c r="H458" s="174"/>
      <c r="I458" s="174"/>
      <c r="J458" s="140"/>
      <c r="K458" s="140"/>
      <c r="L458" s="140"/>
      <c r="M458" s="140"/>
      <c r="N458" s="143"/>
      <c r="O458" s="140"/>
      <c r="P458" s="140"/>
      <c r="Q458" s="140"/>
      <c r="R458" s="140"/>
      <c r="S458" s="174"/>
      <c r="T458" s="174"/>
      <c r="U458" s="174"/>
      <c r="V458" s="174"/>
      <c r="W458" s="174"/>
      <c r="X458" s="174"/>
      <c r="Y458" s="140"/>
      <c r="Z458" s="196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28"/>
      <c r="AK458" s="128"/>
      <c r="AL458" s="128"/>
      <c r="AM458" s="128"/>
      <c r="AN458" s="128"/>
      <c r="AO458" s="130"/>
      <c r="AP458" s="130"/>
      <c r="AQ458" s="130"/>
      <c r="AR458" s="130"/>
      <c r="AS458" s="130"/>
      <c r="AT458" s="146"/>
      <c r="AU458" s="146"/>
      <c r="AV458" s="146"/>
      <c r="AW458" s="146"/>
      <c r="AX458" s="146"/>
      <c r="AY458" s="146"/>
      <c r="AZ458" s="146"/>
      <c r="BA458" s="146"/>
      <c r="BB458" s="146"/>
      <c r="BC458" s="146"/>
      <c r="BD458" s="146"/>
      <c r="BE458" s="130"/>
      <c r="BF458" s="128"/>
      <c r="BG458" s="128"/>
      <c r="BH458" s="128"/>
      <c r="BI458" s="128"/>
      <c r="BJ458" s="128"/>
    </row>
    <row r="459" spans="1:62" ht="15" customHeight="1">
      <c r="A459" s="128" t="s">
        <v>653</v>
      </c>
      <c r="B459" s="140"/>
      <c r="C459" s="140"/>
      <c r="D459" s="146"/>
      <c r="E459" s="140"/>
      <c r="F459" s="143"/>
      <c r="G459" s="174"/>
      <c r="H459" s="174"/>
      <c r="I459" s="174"/>
      <c r="J459" s="140"/>
      <c r="K459" s="140"/>
      <c r="L459" s="140"/>
      <c r="M459" s="140"/>
      <c r="N459" s="143"/>
      <c r="O459" s="140"/>
      <c r="P459" s="140"/>
      <c r="Q459" s="140"/>
      <c r="R459" s="140"/>
      <c r="S459" s="174"/>
      <c r="T459" s="174"/>
      <c r="U459" s="174"/>
      <c r="V459" s="174"/>
      <c r="W459" s="174"/>
      <c r="X459" s="174"/>
      <c r="Y459" s="140"/>
      <c r="Z459" s="196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28"/>
      <c r="AK459" s="128"/>
      <c r="AL459" s="128"/>
      <c r="AM459" s="128"/>
      <c r="AN459" s="128"/>
      <c r="AO459" s="130"/>
      <c r="AP459" s="130"/>
      <c r="AQ459" s="130"/>
      <c r="AR459" s="130"/>
      <c r="AS459" s="130"/>
      <c r="AT459" s="239"/>
      <c r="AU459" s="239"/>
      <c r="AV459" s="239"/>
      <c r="AW459" s="239"/>
      <c r="AX459" s="239"/>
      <c r="AY459" s="239"/>
      <c r="AZ459" s="239"/>
      <c r="BA459" s="239"/>
      <c r="BB459" s="239"/>
      <c r="BC459" s="239"/>
      <c r="BD459" s="239"/>
      <c r="BE459" s="130"/>
      <c r="BF459" s="128"/>
      <c r="BG459" s="128"/>
      <c r="BH459" s="128"/>
      <c r="BI459" s="128"/>
      <c r="BJ459" s="128"/>
    </row>
    <row r="460" spans="1:62" ht="4.5" customHeight="1">
      <c r="A460" s="128"/>
      <c r="B460" s="140"/>
      <c r="C460" s="140"/>
      <c r="D460" s="146"/>
      <c r="E460" s="140"/>
      <c r="F460" s="143"/>
      <c r="G460" s="174"/>
      <c r="H460" s="174"/>
      <c r="I460" s="174"/>
      <c r="J460" s="140"/>
      <c r="K460" s="140"/>
      <c r="L460" s="140"/>
      <c r="M460" s="140"/>
      <c r="N460" s="143"/>
      <c r="O460" s="140"/>
      <c r="P460" s="140"/>
      <c r="Q460" s="140"/>
      <c r="R460" s="140"/>
      <c r="S460" s="174"/>
      <c r="T460" s="174"/>
      <c r="U460" s="174"/>
      <c r="V460" s="174"/>
      <c r="W460" s="174"/>
      <c r="X460" s="174"/>
      <c r="Y460" s="140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28"/>
      <c r="AK460" s="128"/>
      <c r="AL460" s="128"/>
      <c r="AM460" s="128"/>
      <c r="AN460" s="128"/>
      <c r="AO460" s="130"/>
      <c r="AP460" s="130"/>
      <c r="AQ460" s="130"/>
      <c r="AR460" s="130"/>
      <c r="AS460" s="130"/>
      <c r="AT460" s="130"/>
      <c r="AU460" s="130"/>
      <c r="AV460" s="130"/>
      <c r="AW460" s="130"/>
      <c r="AX460" s="128"/>
      <c r="AY460" s="130"/>
      <c r="AZ460" s="130"/>
      <c r="BA460" s="130"/>
      <c r="BB460" s="130"/>
      <c r="BC460" s="130"/>
      <c r="BD460" s="130"/>
      <c r="BE460" s="130"/>
      <c r="BF460" s="128"/>
      <c r="BG460" s="128"/>
      <c r="BH460" s="128"/>
      <c r="BI460" s="128"/>
      <c r="BJ460" s="128"/>
    </row>
    <row r="461" spans="1:62" ht="15" customHeight="1">
      <c r="A461" s="128" t="s">
        <v>681</v>
      </c>
      <c r="B461" s="128"/>
      <c r="C461" s="162" t="s">
        <v>641</v>
      </c>
      <c r="D461" s="128" t="s">
        <v>677</v>
      </c>
      <c r="E461" s="128"/>
      <c r="F461" s="146" t="s">
        <v>316</v>
      </c>
      <c r="G461" s="128" t="s">
        <v>678</v>
      </c>
      <c r="H461" s="137"/>
      <c r="I461" s="146" t="s">
        <v>448</v>
      </c>
      <c r="J461" s="128" t="s">
        <v>679</v>
      </c>
      <c r="K461" s="128"/>
      <c r="L461" s="128"/>
      <c r="M461" s="128"/>
      <c r="N461" s="240"/>
      <c r="O461" s="128" t="s">
        <v>681</v>
      </c>
      <c r="P461" s="128"/>
      <c r="Q461" s="162" t="s">
        <v>641</v>
      </c>
      <c r="R461" s="730">
        <f>AU427</f>
        <v>0</v>
      </c>
      <c r="S461" s="707"/>
      <c r="T461" s="707"/>
      <c r="U461" s="174" t="s">
        <v>316</v>
      </c>
      <c r="V461" s="730">
        <f>AU418</f>
        <v>25.904959880280636</v>
      </c>
      <c r="W461" s="707"/>
      <c r="X461" s="707"/>
      <c r="Y461" s="140" t="s">
        <v>262</v>
      </c>
      <c r="Z461" s="721">
        <f>R461+V461</f>
        <v>25.904959880280636</v>
      </c>
      <c r="AA461" s="707"/>
      <c r="AB461" s="707"/>
      <c r="AC461" s="146" t="s">
        <v>448</v>
      </c>
      <c r="AD461" s="721">
        <f>AH305</f>
        <v>165</v>
      </c>
      <c r="AE461" s="707"/>
      <c r="AF461" s="707"/>
      <c r="AG461" s="730" t="s">
        <v>406</v>
      </c>
      <c r="AH461" s="707"/>
      <c r="AI461" s="707"/>
      <c r="AJ461" s="707"/>
      <c r="AK461" s="128"/>
      <c r="AL461" s="128"/>
      <c r="AM461" s="128"/>
      <c r="AN461" s="128"/>
      <c r="AO461" s="130"/>
      <c r="AP461" s="725" t="str">
        <f>IF(Z461&lt;=AD461,"UYGUNDUR.","UYGUN DEĞİLDİR.")</f>
        <v>UYGUNDUR.</v>
      </c>
      <c r="AQ461" s="710"/>
      <c r="AR461" s="710"/>
      <c r="AS461" s="710"/>
      <c r="AT461" s="710"/>
      <c r="AU461" s="710"/>
      <c r="AV461" s="710"/>
      <c r="AW461" s="710"/>
      <c r="AX461" s="710"/>
      <c r="AY461" s="583"/>
      <c r="AZ461" s="130"/>
      <c r="BA461" s="130"/>
      <c r="BB461" s="130"/>
      <c r="BC461" s="130"/>
      <c r="BD461" s="130"/>
      <c r="BE461" s="130"/>
      <c r="BF461" s="128"/>
      <c r="BG461" s="128"/>
      <c r="BH461" s="128"/>
      <c r="BI461" s="128"/>
      <c r="BJ461" s="128"/>
    </row>
    <row r="462" spans="1:62" ht="17.25" customHeight="1">
      <c r="A462" s="146"/>
      <c r="B462" s="140"/>
      <c r="C462" s="140"/>
      <c r="D462" s="146"/>
      <c r="E462" s="140"/>
      <c r="F462" s="143"/>
      <c r="G462" s="174"/>
      <c r="H462" s="174"/>
      <c r="I462" s="174"/>
      <c r="J462" s="140"/>
      <c r="K462" s="140"/>
      <c r="L462" s="140"/>
      <c r="M462" s="140"/>
      <c r="N462" s="143"/>
      <c r="O462" s="140"/>
      <c r="P462" s="140"/>
      <c r="Q462" s="140"/>
      <c r="R462" s="140"/>
      <c r="S462" s="174"/>
      <c r="T462" s="174"/>
      <c r="U462" s="174"/>
      <c r="V462" s="174"/>
      <c r="W462" s="174"/>
      <c r="X462" s="174"/>
      <c r="Y462" s="140"/>
      <c r="Z462" s="196"/>
      <c r="AA462" s="196"/>
      <c r="AB462" s="196"/>
      <c r="AC462" s="171"/>
      <c r="AD462" s="171"/>
      <c r="AE462" s="171"/>
      <c r="AF462" s="171"/>
      <c r="AG462" s="196"/>
      <c r="AH462" s="196"/>
      <c r="AI462" s="196"/>
      <c r="AJ462" s="128"/>
      <c r="AK462" s="128"/>
      <c r="AL462" s="128"/>
      <c r="AM462" s="128"/>
      <c r="AN462" s="128"/>
      <c r="AO462" s="130"/>
      <c r="AP462" s="130"/>
      <c r="AQ462" s="130"/>
      <c r="AR462" s="130"/>
      <c r="AS462" s="130"/>
      <c r="AT462" s="130"/>
      <c r="AU462" s="130"/>
      <c r="AV462" s="130"/>
      <c r="AW462" s="130"/>
      <c r="AX462" s="128"/>
      <c r="AY462" s="130"/>
      <c r="AZ462" s="130"/>
      <c r="BA462" s="130" t="s">
        <v>706</v>
      </c>
      <c r="BB462" s="130"/>
      <c r="BC462" s="130"/>
      <c r="BD462" s="130"/>
      <c r="BE462" s="130"/>
      <c r="BF462" s="128"/>
      <c r="BG462" s="128"/>
      <c r="BH462" s="128"/>
      <c r="BI462" s="128"/>
      <c r="BJ462" s="128"/>
    </row>
    <row r="463" spans="1:62" ht="15" customHeight="1">
      <c r="A463" s="722" t="s">
        <v>680</v>
      </c>
      <c r="B463" s="707"/>
      <c r="C463" s="721" t="s">
        <v>681</v>
      </c>
      <c r="D463" s="707"/>
      <c r="E463" s="730" t="s">
        <v>316</v>
      </c>
      <c r="F463" s="738" t="s">
        <v>707</v>
      </c>
      <c r="G463" s="724"/>
      <c r="H463" s="724"/>
      <c r="I463" s="724"/>
      <c r="J463" s="724"/>
      <c r="K463" s="724"/>
      <c r="L463" s="721" t="s">
        <v>448</v>
      </c>
      <c r="M463" s="722" t="s">
        <v>679</v>
      </c>
      <c r="N463" s="707"/>
      <c r="O463" s="707"/>
      <c r="P463" s="140"/>
      <c r="Q463" s="722" t="s">
        <v>680</v>
      </c>
      <c r="R463" s="707"/>
      <c r="S463" s="730">
        <f>Z461</f>
        <v>25.904959880280636</v>
      </c>
      <c r="T463" s="707"/>
      <c r="U463" s="707"/>
      <c r="V463" s="730" t="s">
        <v>316</v>
      </c>
      <c r="W463" s="751">
        <v>1.2</v>
      </c>
      <c r="X463" s="724"/>
      <c r="Y463" s="235" t="s">
        <v>357</v>
      </c>
      <c r="Z463" s="738">
        <f>$AH$292</f>
        <v>150</v>
      </c>
      <c r="AA463" s="724"/>
      <c r="AB463" s="730" t="s">
        <v>262</v>
      </c>
      <c r="AC463" s="721">
        <f>(AE452+(W463*Z463))/W464+S463</f>
        <v>28.067617762335171</v>
      </c>
      <c r="AD463" s="707"/>
      <c r="AE463" s="707"/>
      <c r="AF463" s="721" t="s">
        <v>448</v>
      </c>
      <c r="AG463" s="721">
        <f>AH305</f>
        <v>165</v>
      </c>
      <c r="AH463" s="707"/>
      <c r="AI463" s="707"/>
      <c r="AJ463" s="730" t="s">
        <v>406</v>
      </c>
      <c r="AK463" s="707"/>
      <c r="AL463" s="707"/>
      <c r="AM463" s="707"/>
      <c r="AN463" s="128"/>
      <c r="AO463" s="725" t="str">
        <f>IF(AC463&lt;=AG463,"UYGUNDUR.","UYGUN DEĞİLDİR.")</f>
        <v>UYGUNDUR.</v>
      </c>
      <c r="AP463" s="637"/>
      <c r="AQ463" s="637"/>
      <c r="AR463" s="637"/>
      <c r="AS463" s="637"/>
      <c r="AT463" s="637"/>
      <c r="AU463" s="637"/>
      <c r="AV463" s="637"/>
      <c r="AW463" s="637"/>
      <c r="AX463" s="690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</row>
    <row r="464" spans="1:62" ht="15" customHeight="1">
      <c r="A464" s="707"/>
      <c r="B464" s="707"/>
      <c r="C464" s="707"/>
      <c r="D464" s="707"/>
      <c r="E464" s="707"/>
      <c r="F464" s="721" t="s">
        <v>397</v>
      </c>
      <c r="G464" s="707"/>
      <c r="H464" s="707"/>
      <c r="I464" s="707"/>
      <c r="J464" s="707"/>
      <c r="K464" s="707"/>
      <c r="L464" s="707"/>
      <c r="M464" s="707"/>
      <c r="N464" s="707"/>
      <c r="O464" s="707"/>
      <c r="P464" s="140"/>
      <c r="Q464" s="707"/>
      <c r="R464" s="707"/>
      <c r="S464" s="707"/>
      <c r="T464" s="707"/>
      <c r="U464" s="707"/>
      <c r="V464" s="707"/>
      <c r="W464" s="742">
        <f>VLOOKUP('Veri Girişi'!$E$73,TABLOLAR!$I$60:$S$65,3,0)</f>
        <v>1577</v>
      </c>
      <c r="X464" s="637"/>
      <c r="Y464" s="637"/>
      <c r="Z464" s="637"/>
      <c r="AA464" s="637"/>
      <c r="AB464" s="707"/>
      <c r="AC464" s="707"/>
      <c r="AD464" s="707"/>
      <c r="AE464" s="707"/>
      <c r="AF464" s="707"/>
      <c r="AG464" s="707"/>
      <c r="AH464" s="707"/>
      <c r="AI464" s="707"/>
      <c r="AJ464" s="707"/>
      <c r="AK464" s="707"/>
      <c r="AL464" s="707"/>
      <c r="AM464" s="707"/>
      <c r="AN464" s="130"/>
      <c r="AO464" s="726"/>
      <c r="AP464" s="724"/>
      <c r="AQ464" s="724"/>
      <c r="AR464" s="724"/>
      <c r="AS464" s="724"/>
      <c r="AT464" s="724"/>
      <c r="AU464" s="724"/>
      <c r="AV464" s="724"/>
      <c r="AW464" s="724"/>
      <c r="AX464" s="727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</row>
    <row r="465" spans="1:62" ht="4.5" customHeight="1">
      <c r="A465" s="146"/>
      <c r="B465" s="140"/>
      <c r="C465" s="140"/>
      <c r="D465" s="146"/>
      <c r="E465" s="140"/>
      <c r="F465" s="143"/>
      <c r="G465" s="174"/>
      <c r="H465" s="174"/>
      <c r="I465" s="174"/>
      <c r="J465" s="140"/>
      <c r="K465" s="140"/>
      <c r="L465" s="140"/>
      <c r="M465" s="140"/>
      <c r="N465" s="143"/>
      <c r="O465" s="140"/>
      <c r="P465" s="140"/>
      <c r="Q465" s="140"/>
      <c r="R465" s="140"/>
      <c r="S465" s="174"/>
      <c r="T465" s="174"/>
      <c r="U465" s="174"/>
      <c r="V465" s="174"/>
      <c r="W465" s="174"/>
      <c r="X465" s="174"/>
      <c r="Y465" s="140"/>
      <c r="Z465" s="196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28"/>
      <c r="AK465" s="128"/>
      <c r="AL465" s="128"/>
      <c r="AM465" s="128"/>
      <c r="AN465" s="128"/>
      <c r="AO465" s="130"/>
      <c r="AP465" s="130"/>
      <c r="AQ465" s="130"/>
      <c r="AR465" s="130"/>
      <c r="AS465" s="130"/>
      <c r="AT465" s="130"/>
      <c r="AU465" s="130"/>
      <c r="AV465" s="130"/>
      <c r="AW465" s="130"/>
      <c r="AX465" s="128"/>
      <c r="AY465" s="130"/>
      <c r="AZ465" s="130"/>
      <c r="BA465" s="130"/>
      <c r="BB465" s="130"/>
      <c r="BC465" s="130"/>
      <c r="BD465" s="130"/>
      <c r="BE465" s="130"/>
      <c r="BF465" s="128"/>
      <c r="BG465" s="128"/>
      <c r="BH465" s="128"/>
      <c r="BI465" s="128"/>
      <c r="BJ465" s="128"/>
    </row>
    <row r="466" spans="1:62" ht="15" customHeight="1">
      <c r="A466" s="128" t="s">
        <v>667</v>
      </c>
      <c r="B466" s="140"/>
      <c r="C466" s="140"/>
      <c r="D466" s="146"/>
      <c r="E466" s="140"/>
      <c r="F466" s="143"/>
      <c r="G466" s="174"/>
      <c r="H466" s="174"/>
      <c r="I466" s="174"/>
      <c r="J466" s="140"/>
      <c r="K466" s="140"/>
      <c r="L466" s="140"/>
      <c r="M466" s="140"/>
      <c r="N466" s="143"/>
      <c r="O466" s="140"/>
      <c r="P466" s="140"/>
      <c r="Q466" s="140"/>
      <c r="R466" s="140"/>
      <c r="S466" s="174"/>
      <c r="T466" s="174"/>
      <c r="U466" s="174"/>
      <c r="V466" s="174"/>
      <c r="W466" s="174"/>
      <c r="X466" s="174"/>
      <c r="Y466" s="140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28"/>
      <c r="AK466" s="128"/>
      <c r="AL466" s="128"/>
      <c r="AM466" s="128"/>
      <c r="AN466" s="128"/>
      <c r="AO466" s="130"/>
      <c r="AP466" s="130"/>
      <c r="AQ466" s="130"/>
      <c r="AR466" s="130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239"/>
      <c r="BD466" s="239"/>
      <c r="BE466" s="130"/>
      <c r="BF466" s="128"/>
      <c r="BG466" s="128"/>
      <c r="BH466" s="128"/>
      <c r="BI466" s="128"/>
      <c r="BJ466" s="128"/>
    </row>
    <row r="467" spans="1:62" ht="4.5" customHeight="1">
      <c r="A467" s="128"/>
      <c r="B467" s="140"/>
      <c r="C467" s="140"/>
      <c r="D467" s="146"/>
      <c r="E467" s="140"/>
      <c r="F467" s="143"/>
      <c r="G467" s="174"/>
      <c r="H467" s="174"/>
      <c r="I467" s="174"/>
      <c r="J467" s="140"/>
      <c r="K467" s="140"/>
      <c r="L467" s="140"/>
      <c r="M467" s="140"/>
      <c r="N467" s="143"/>
      <c r="O467" s="140"/>
      <c r="P467" s="140"/>
      <c r="Q467" s="140"/>
      <c r="R467" s="140"/>
      <c r="S467" s="174"/>
      <c r="T467" s="174"/>
      <c r="U467" s="174"/>
      <c r="V467" s="174"/>
      <c r="W467" s="174"/>
      <c r="X467" s="174"/>
      <c r="Y467" s="140"/>
      <c r="Z467" s="196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28"/>
      <c r="AK467" s="128"/>
      <c r="AL467" s="128"/>
      <c r="AM467" s="128"/>
      <c r="AN467" s="128"/>
      <c r="AO467" s="130"/>
      <c r="AP467" s="130"/>
      <c r="AQ467" s="130"/>
      <c r="AR467" s="130"/>
      <c r="AS467" s="130"/>
      <c r="AT467" s="130"/>
      <c r="AU467" s="130"/>
      <c r="AV467" s="130"/>
      <c r="AW467" s="130"/>
      <c r="AX467" s="128"/>
      <c r="AY467" s="130"/>
      <c r="AZ467" s="130"/>
      <c r="BA467" s="130"/>
      <c r="BB467" s="130"/>
      <c r="BC467" s="130"/>
      <c r="BD467" s="130"/>
      <c r="BE467" s="130"/>
      <c r="BF467" s="128"/>
      <c r="BG467" s="128"/>
      <c r="BH467" s="128"/>
      <c r="BI467" s="128"/>
      <c r="BJ467" s="128"/>
    </row>
    <row r="468" spans="1:62" ht="15" customHeight="1">
      <c r="A468" s="128" t="s">
        <v>681</v>
      </c>
      <c r="B468" s="128"/>
      <c r="C468" s="162" t="s">
        <v>641</v>
      </c>
      <c r="D468" s="128" t="s">
        <v>677</v>
      </c>
      <c r="E468" s="128"/>
      <c r="F468" s="128" t="s">
        <v>316</v>
      </c>
      <c r="G468" s="128" t="s">
        <v>678</v>
      </c>
      <c r="H468" s="137"/>
      <c r="I468" s="146" t="s">
        <v>448</v>
      </c>
      <c r="J468" s="128" t="s">
        <v>679</v>
      </c>
      <c r="K468" s="128"/>
      <c r="L468" s="128"/>
      <c r="M468" s="128"/>
      <c r="N468" s="240"/>
      <c r="O468" s="128" t="s">
        <v>681</v>
      </c>
      <c r="P468" s="128"/>
      <c r="Q468" s="162" t="s">
        <v>641</v>
      </c>
      <c r="R468" s="752">
        <f>AU447</f>
        <v>9.8396572043451531</v>
      </c>
      <c r="S468" s="707"/>
      <c r="T468" s="707"/>
      <c r="U468" s="174" t="s">
        <v>316</v>
      </c>
      <c r="V468" s="752">
        <f>AU438</f>
        <v>4.4948773625536793</v>
      </c>
      <c r="W468" s="707"/>
      <c r="X468" s="707"/>
      <c r="Y468" s="140" t="s">
        <v>262</v>
      </c>
      <c r="Z468" s="734">
        <f>R468+V468</f>
        <v>14.334534566898832</v>
      </c>
      <c r="AA468" s="707"/>
      <c r="AB468" s="707"/>
      <c r="AC468" s="146" t="s">
        <v>448</v>
      </c>
      <c r="AD468" s="721">
        <f>AH305</f>
        <v>165</v>
      </c>
      <c r="AE468" s="707"/>
      <c r="AF468" s="707"/>
      <c r="AG468" s="730" t="s">
        <v>406</v>
      </c>
      <c r="AH468" s="707"/>
      <c r="AI468" s="707"/>
      <c r="AJ468" s="707"/>
      <c r="AK468" s="128"/>
      <c r="AL468" s="128"/>
      <c r="AM468" s="128"/>
      <c r="AN468" s="128"/>
      <c r="AO468" s="130"/>
      <c r="AP468" s="725" t="str">
        <f>IF(Z468&lt;=AD468,"UYGUNDUR.","UYGUN DEĞİLDİR.")</f>
        <v>UYGUNDUR.</v>
      </c>
      <c r="AQ468" s="710"/>
      <c r="AR468" s="710"/>
      <c r="AS468" s="710"/>
      <c r="AT468" s="710"/>
      <c r="AU468" s="710"/>
      <c r="AV468" s="710"/>
      <c r="AW468" s="710"/>
      <c r="AX468" s="710"/>
      <c r="AY468" s="583"/>
      <c r="AZ468" s="130"/>
      <c r="BA468" s="130"/>
      <c r="BB468" s="130"/>
      <c r="BC468" s="130"/>
      <c r="BD468" s="130"/>
      <c r="BE468" s="130"/>
      <c r="BF468" s="128"/>
      <c r="BG468" s="128"/>
      <c r="BH468" s="128"/>
      <c r="BI468" s="128"/>
      <c r="BJ468" s="128"/>
    </row>
    <row r="469" spans="1:62" ht="4.5" customHeight="1">
      <c r="A469" s="146"/>
      <c r="B469" s="140"/>
      <c r="C469" s="140"/>
      <c r="D469" s="146"/>
      <c r="E469" s="140"/>
      <c r="F469" s="143"/>
      <c r="G469" s="174"/>
      <c r="H469" s="174"/>
      <c r="I469" s="174"/>
      <c r="J469" s="140"/>
      <c r="K469" s="140"/>
      <c r="L469" s="140"/>
      <c r="M469" s="140"/>
      <c r="N469" s="143"/>
      <c r="O469" s="140"/>
      <c r="P469" s="140"/>
      <c r="Q469" s="140"/>
      <c r="R469" s="140"/>
      <c r="S469" s="174"/>
      <c r="T469" s="174"/>
      <c r="U469" s="174"/>
      <c r="V469" s="174"/>
      <c r="W469" s="174"/>
      <c r="X469" s="174"/>
      <c r="Y469" s="140"/>
      <c r="Z469" s="196"/>
      <c r="AA469" s="196"/>
      <c r="AB469" s="196"/>
      <c r="AC469" s="171"/>
      <c r="AD469" s="171"/>
      <c r="AE469" s="171"/>
      <c r="AF469" s="171"/>
      <c r="AG469" s="196"/>
      <c r="AH469" s="196"/>
      <c r="AI469" s="196"/>
      <c r="AJ469" s="128"/>
      <c r="AK469" s="128"/>
      <c r="AL469" s="128"/>
      <c r="AM469" s="128"/>
      <c r="AN469" s="128"/>
      <c r="AO469" s="130"/>
      <c r="AP469" s="130"/>
      <c r="AQ469" s="130"/>
      <c r="AR469" s="130"/>
      <c r="AS469" s="130"/>
      <c r="AT469" s="130"/>
      <c r="AU469" s="130"/>
      <c r="AV469" s="130"/>
      <c r="AW469" s="130"/>
      <c r="AX469" s="128"/>
      <c r="AY469" s="130"/>
      <c r="AZ469" s="130"/>
      <c r="BA469" s="130"/>
      <c r="BB469" s="130"/>
      <c r="BC469" s="130"/>
      <c r="BD469" s="130"/>
      <c r="BE469" s="130"/>
      <c r="BF469" s="128"/>
      <c r="BG469" s="128"/>
      <c r="BH469" s="128"/>
      <c r="BI469" s="128"/>
      <c r="BJ469" s="128"/>
    </row>
    <row r="470" spans="1:62" ht="15" customHeight="1">
      <c r="A470" s="722" t="s">
        <v>680</v>
      </c>
      <c r="B470" s="707"/>
      <c r="C470" s="721" t="s">
        <v>681</v>
      </c>
      <c r="D470" s="707"/>
      <c r="E470" s="730" t="s">
        <v>316</v>
      </c>
      <c r="F470" s="738" t="s">
        <v>707</v>
      </c>
      <c r="G470" s="724"/>
      <c r="H470" s="724"/>
      <c r="I470" s="724"/>
      <c r="J470" s="724"/>
      <c r="K470" s="724"/>
      <c r="L470" s="724"/>
      <c r="M470" s="721" t="s">
        <v>448</v>
      </c>
      <c r="N470" s="721" t="s">
        <v>679</v>
      </c>
      <c r="O470" s="707"/>
      <c r="P470" s="707"/>
      <c r="Q470" s="721" t="s">
        <v>680</v>
      </c>
      <c r="R470" s="707"/>
      <c r="S470" s="707"/>
      <c r="T470" s="752">
        <f>Z468</f>
        <v>14.334534566898832</v>
      </c>
      <c r="U470" s="707"/>
      <c r="V470" s="707"/>
      <c r="W470" s="730" t="s">
        <v>316</v>
      </c>
      <c r="X470" s="786">
        <f>AE452</f>
        <v>3230.5114800000006</v>
      </c>
      <c r="Y470" s="724"/>
      <c r="Z470" s="724"/>
      <c r="AA470" s="199" t="s">
        <v>316</v>
      </c>
      <c r="AB470" s="751">
        <v>1.2</v>
      </c>
      <c r="AC470" s="724"/>
      <c r="AD470" s="235" t="s">
        <v>357</v>
      </c>
      <c r="AE470" s="738">
        <f>AH292</f>
        <v>150</v>
      </c>
      <c r="AF470" s="724"/>
      <c r="AG470" s="730" t="s">
        <v>262</v>
      </c>
      <c r="AH470" s="734">
        <f>(X470+(AB470*AE470))/X471+T470</f>
        <v>16.497192448953367</v>
      </c>
      <c r="AI470" s="721" t="s">
        <v>448</v>
      </c>
      <c r="AJ470" s="721">
        <f>AH305</f>
        <v>165</v>
      </c>
      <c r="AK470" s="707"/>
      <c r="AL470" s="707"/>
      <c r="AM470" s="730" t="s">
        <v>406</v>
      </c>
      <c r="AN470" s="707"/>
      <c r="AO470" s="707"/>
      <c r="AP470" s="707"/>
      <c r="AQ470" s="174"/>
      <c r="AR470" s="140"/>
      <c r="AS470" s="725" t="str">
        <f>IF(AH470&lt;=AJ470,"UYGUNDUR.","UYGUN DEĞİLDİR.")</f>
        <v>UYGUNDUR.</v>
      </c>
      <c r="AT470" s="637"/>
      <c r="AU470" s="637"/>
      <c r="AV470" s="637"/>
      <c r="AW470" s="637"/>
      <c r="AX470" s="637"/>
      <c r="AY470" s="637"/>
      <c r="AZ470" s="637"/>
      <c r="BA470" s="637"/>
      <c r="BB470" s="690"/>
      <c r="BC470" s="128"/>
      <c r="BD470" s="128"/>
      <c r="BE470" s="128"/>
      <c r="BF470" s="128"/>
      <c r="BG470" s="128"/>
      <c r="BH470" s="128"/>
      <c r="BI470" s="128"/>
      <c r="BJ470" s="128"/>
    </row>
    <row r="471" spans="1:62" ht="11.25" customHeight="1">
      <c r="A471" s="707"/>
      <c r="B471" s="707"/>
      <c r="C471" s="707"/>
      <c r="D471" s="707"/>
      <c r="E471" s="707"/>
      <c r="F471" s="721" t="s">
        <v>397</v>
      </c>
      <c r="G471" s="707"/>
      <c r="H471" s="707"/>
      <c r="I471" s="707"/>
      <c r="J471" s="707"/>
      <c r="K471" s="707"/>
      <c r="L471" s="707"/>
      <c r="M471" s="707"/>
      <c r="N471" s="707"/>
      <c r="O471" s="707"/>
      <c r="P471" s="707"/>
      <c r="Q471" s="707"/>
      <c r="R471" s="707"/>
      <c r="S471" s="707"/>
      <c r="T471" s="707"/>
      <c r="U471" s="707"/>
      <c r="V471" s="707"/>
      <c r="W471" s="707"/>
      <c r="X471" s="730">
        <f>VLOOKUP('Veri Girişi'!$E$73,TABLOLAR!$I$60:$S$65,3,0)</f>
        <v>1577</v>
      </c>
      <c r="Y471" s="707"/>
      <c r="Z471" s="707"/>
      <c r="AA471" s="707"/>
      <c r="AB471" s="707"/>
      <c r="AC471" s="707"/>
      <c r="AD471" s="707"/>
      <c r="AE471" s="707"/>
      <c r="AF471" s="707"/>
      <c r="AG471" s="707"/>
      <c r="AH471" s="707"/>
      <c r="AI471" s="707"/>
      <c r="AJ471" s="707"/>
      <c r="AK471" s="707"/>
      <c r="AL471" s="707"/>
      <c r="AM471" s="707"/>
      <c r="AN471" s="707"/>
      <c r="AO471" s="707"/>
      <c r="AP471" s="707"/>
      <c r="AQ471" s="174"/>
      <c r="AR471" s="140"/>
      <c r="AS471" s="726"/>
      <c r="AT471" s="724"/>
      <c r="AU471" s="724"/>
      <c r="AV471" s="724"/>
      <c r="AW471" s="724"/>
      <c r="AX471" s="724"/>
      <c r="AY471" s="724"/>
      <c r="AZ471" s="724"/>
      <c r="BA471" s="724"/>
      <c r="BB471" s="727"/>
      <c r="BC471" s="128"/>
      <c r="BD471" s="128"/>
      <c r="BE471" s="128"/>
      <c r="BF471" s="128"/>
      <c r="BG471" s="128"/>
      <c r="BH471" s="128"/>
      <c r="BI471" s="128"/>
      <c r="BJ471" s="128"/>
    </row>
    <row r="472" spans="1:62" ht="4.5" customHeight="1">
      <c r="A472" s="128"/>
      <c r="B472" s="140"/>
      <c r="C472" s="140"/>
      <c r="D472" s="146"/>
      <c r="E472" s="140"/>
      <c r="F472" s="140"/>
      <c r="G472" s="174"/>
      <c r="H472" s="174"/>
      <c r="I472" s="174"/>
      <c r="J472" s="140"/>
      <c r="K472" s="140"/>
      <c r="L472" s="140"/>
      <c r="M472" s="140"/>
      <c r="N472" s="140"/>
      <c r="O472" s="140"/>
      <c r="P472" s="140"/>
      <c r="Q472" s="140"/>
      <c r="R472" s="140"/>
      <c r="S472" s="174"/>
      <c r="T472" s="174"/>
      <c r="U472" s="174"/>
      <c r="V472" s="174"/>
      <c r="W472" s="174"/>
      <c r="X472" s="174"/>
      <c r="Y472" s="140"/>
      <c r="Z472" s="130"/>
      <c r="AA472" s="130"/>
      <c r="AB472" s="130"/>
      <c r="AC472" s="130"/>
      <c r="AD472" s="130"/>
      <c r="AE472" s="130"/>
      <c r="AF472" s="130"/>
      <c r="AG472" s="130"/>
      <c r="AH472" s="130"/>
      <c r="AI472" s="130"/>
      <c r="AJ472" s="128"/>
      <c r="AK472" s="128"/>
      <c r="AL472" s="128"/>
      <c r="AM472" s="128"/>
      <c r="AN472" s="128"/>
      <c r="AO472" s="130"/>
      <c r="AP472" s="130"/>
      <c r="AQ472" s="130"/>
      <c r="AR472" s="130"/>
      <c r="AS472" s="227"/>
      <c r="AT472" s="227"/>
      <c r="AU472" s="227"/>
      <c r="AV472" s="227"/>
      <c r="AW472" s="227"/>
      <c r="AX472" s="227"/>
      <c r="AY472" s="227"/>
      <c r="AZ472" s="227"/>
      <c r="BA472" s="227"/>
      <c r="BB472" s="227"/>
      <c r="BC472" s="130"/>
      <c r="BD472" s="130"/>
      <c r="BE472" s="130"/>
      <c r="BF472" s="128"/>
      <c r="BG472" s="128"/>
      <c r="BH472" s="128"/>
      <c r="BI472" s="128"/>
      <c r="BJ472" s="128"/>
    </row>
    <row r="473" spans="1:62" ht="15" customHeight="1">
      <c r="A473" s="146" t="s">
        <v>684</v>
      </c>
      <c r="B473" s="140"/>
      <c r="C473" s="140"/>
      <c r="D473" s="146"/>
      <c r="E473" s="140"/>
      <c r="F473" s="143"/>
      <c r="G473" s="174"/>
      <c r="H473" s="174"/>
      <c r="I473" s="174"/>
      <c r="J473" s="140"/>
      <c r="K473" s="140"/>
      <c r="L473" s="140"/>
      <c r="M473" s="140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30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30"/>
      <c r="BC473" s="130"/>
      <c r="BD473" s="130"/>
      <c r="BE473" s="130"/>
      <c r="BF473" s="128"/>
      <c r="BG473" s="128"/>
      <c r="BH473" s="128"/>
      <c r="BI473" s="128"/>
      <c r="BJ473" s="128"/>
    </row>
    <row r="474" spans="1:62" ht="15" customHeight="1">
      <c r="A474" s="128" t="s">
        <v>653</v>
      </c>
      <c r="B474" s="140"/>
      <c r="C474" s="140"/>
      <c r="D474" s="146"/>
      <c r="E474" s="140"/>
      <c r="F474" s="143"/>
      <c r="G474" s="174"/>
      <c r="H474" s="174"/>
      <c r="I474" s="174"/>
      <c r="J474" s="140"/>
      <c r="K474" s="140"/>
      <c r="L474" s="140"/>
      <c r="M474" s="140"/>
      <c r="N474" s="143"/>
      <c r="O474" s="140"/>
      <c r="P474" s="140"/>
      <c r="Q474" s="140"/>
      <c r="R474" s="140"/>
      <c r="S474" s="174"/>
      <c r="T474" s="174"/>
      <c r="U474" s="174"/>
      <c r="V474" s="174"/>
      <c r="W474" s="174"/>
      <c r="X474" s="174"/>
      <c r="Y474" s="140"/>
      <c r="Z474" s="196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28"/>
      <c r="AK474" s="128"/>
      <c r="AL474" s="128"/>
      <c r="AM474" s="128"/>
      <c r="AN474" s="128"/>
      <c r="AO474" s="130"/>
      <c r="AP474" s="130"/>
      <c r="AQ474" s="130"/>
      <c r="AR474" s="130"/>
      <c r="AS474" s="130"/>
      <c r="AT474" s="130"/>
      <c r="AU474" s="130"/>
      <c r="AV474" s="130"/>
      <c r="AW474" s="130"/>
      <c r="AX474" s="128"/>
      <c r="AY474" s="130"/>
      <c r="AZ474" s="130"/>
      <c r="BA474" s="130"/>
      <c r="BB474" s="130"/>
      <c r="BC474" s="130"/>
      <c r="BD474" s="130"/>
      <c r="BE474" s="130"/>
      <c r="BF474" s="128"/>
      <c r="BG474" s="128"/>
      <c r="BH474" s="128"/>
      <c r="BI474" s="128"/>
      <c r="BJ474" s="128"/>
    </row>
    <row r="475" spans="1:62" ht="4.5" customHeight="1">
      <c r="A475" s="146"/>
      <c r="B475" s="140"/>
      <c r="C475" s="140"/>
      <c r="D475" s="146"/>
      <c r="E475" s="140"/>
      <c r="F475" s="143"/>
      <c r="G475" s="174"/>
      <c r="H475" s="174"/>
      <c r="I475" s="174"/>
      <c r="J475" s="140"/>
      <c r="K475" s="140"/>
      <c r="L475" s="140"/>
      <c r="M475" s="140"/>
      <c r="N475" s="143"/>
      <c r="O475" s="140"/>
      <c r="P475" s="140"/>
      <c r="Q475" s="140"/>
      <c r="R475" s="140"/>
      <c r="S475" s="174"/>
      <c r="T475" s="174"/>
      <c r="U475" s="174"/>
      <c r="V475" s="174"/>
      <c r="W475" s="174"/>
      <c r="X475" s="174"/>
      <c r="Y475" s="140"/>
      <c r="Z475" s="196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28"/>
      <c r="AK475" s="128"/>
      <c r="AL475" s="128"/>
      <c r="AM475" s="128"/>
      <c r="AN475" s="128"/>
      <c r="AO475" s="130"/>
      <c r="AP475" s="130"/>
      <c r="AQ475" s="130"/>
      <c r="AR475" s="130"/>
      <c r="AS475" s="130"/>
      <c r="AT475" s="130"/>
      <c r="AU475" s="130"/>
      <c r="AV475" s="130"/>
      <c r="AW475" s="130"/>
      <c r="AX475" s="128"/>
      <c r="AY475" s="130"/>
      <c r="AZ475" s="130"/>
      <c r="BA475" s="130"/>
      <c r="BB475" s="130"/>
      <c r="BC475" s="130"/>
      <c r="BD475" s="130"/>
      <c r="BE475" s="130"/>
      <c r="BF475" s="128"/>
      <c r="BG475" s="128"/>
      <c r="BH475" s="128"/>
      <c r="BI475" s="128"/>
      <c r="BJ475" s="128"/>
    </row>
    <row r="476" spans="1:62" ht="15" customHeight="1">
      <c r="A476" s="722" t="s">
        <v>685</v>
      </c>
      <c r="B476" s="707"/>
      <c r="C476" s="707"/>
      <c r="D476" s="738" t="s">
        <v>686</v>
      </c>
      <c r="E476" s="724"/>
      <c r="F476" s="724"/>
      <c r="G476" s="724"/>
      <c r="H476" s="724"/>
      <c r="I476" s="724"/>
      <c r="J476" s="721" t="s">
        <v>448</v>
      </c>
      <c r="K476" s="722" t="s">
        <v>679</v>
      </c>
      <c r="L476" s="707"/>
      <c r="M476" s="707"/>
      <c r="N476" s="722" t="s">
        <v>685</v>
      </c>
      <c r="O476" s="707"/>
      <c r="P476" s="707"/>
      <c r="Q476" s="751">
        <f>L415</f>
        <v>542.50742647058826</v>
      </c>
      <c r="R476" s="724"/>
      <c r="S476" s="724"/>
      <c r="T476" s="234" t="s">
        <v>357</v>
      </c>
      <c r="U476" s="751">
        <f>(VLOOKUP('Veri Girişi'!E73,TABLOLAR!I69:N74,5,0))*6</f>
        <v>203.39999999999998</v>
      </c>
      <c r="V476" s="724"/>
      <c r="W476" s="724"/>
      <c r="X476" s="724"/>
      <c r="Y476" s="730" t="s">
        <v>262</v>
      </c>
      <c r="Z476" s="734">
        <f>Q476*U476/Q477</f>
        <v>11.893681682326186</v>
      </c>
      <c r="AA476" s="707"/>
      <c r="AB476" s="707"/>
      <c r="AC476" s="721" t="s">
        <v>448</v>
      </c>
      <c r="AD476" s="721">
        <f>AH305</f>
        <v>165</v>
      </c>
      <c r="AE476" s="707"/>
      <c r="AF476" s="707"/>
      <c r="AG476" s="735" t="s">
        <v>406</v>
      </c>
      <c r="AH476" s="707"/>
      <c r="AI476" s="707"/>
      <c r="AJ476" s="707"/>
      <c r="AK476" s="128"/>
      <c r="AL476" s="725" t="str">
        <f>IF(Z476&lt;=AD476,"UYGUNDUR.","UYGUN DEĞİLDİR.")</f>
        <v>UYGUNDUR.</v>
      </c>
      <c r="AM476" s="637"/>
      <c r="AN476" s="637"/>
      <c r="AO476" s="637"/>
      <c r="AP476" s="637"/>
      <c r="AQ476" s="637"/>
      <c r="AR476" s="637"/>
      <c r="AS476" s="637"/>
      <c r="AT476" s="637"/>
      <c r="AU476" s="690"/>
      <c r="AV476" s="130"/>
      <c r="AW476" s="130"/>
      <c r="AX476" s="128"/>
      <c r="AY476" s="130"/>
      <c r="AZ476" s="130"/>
      <c r="BA476" s="130"/>
      <c r="BB476" s="130"/>
      <c r="BC476" s="130"/>
      <c r="BD476" s="130"/>
      <c r="BE476" s="130"/>
      <c r="BF476" s="128"/>
      <c r="BG476" s="128"/>
      <c r="BH476" s="128"/>
      <c r="BI476" s="128"/>
      <c r="BJ476" s="128"/>
    </row>
    <row r="477" spans="1:62" ht="15" customHeight="1">
      <c r="A477" s="707"/>
      <c r="B477" s="707"/>
      <c r="C477" s="707"/>
      <c r="D477" s="753" t="s">
        <v>687</v>
      </c>
      <c r="E477" s="637"/>
      <c r="F477" s="637"/>
      <c r="G477" s="637"/>
      <c r="H477" s="637"/>
      <c r="I477" s="637"/>
      <c r="J477" s="707"/>
      <c r="K477" s="707"/>
      <c r="L477" s="707"/>
      <c r="M477" s="707"/>
      <c r="N477" s="707"/>
      <c r="O477" s="707"/>
      <c r="P477" s="707"/>
      <c r="Q477" s="742">
        <f>(((VLOOKUP('Veri Girişi'!E73,TABLOLAR!I60:S65,10,0))*(VLOOKUP('Veri Girişi'!E73,TABLOLAR!I60:S65,10,0)))*(1+2*(VLOOKUP('Veri Girişi'!E73,TABLOLAR!I69:N74,6,0))))</f>
        <v>9277.6999999999989</v>
      </c>
      <c r="R477" s="637"/>
      <c r="S477" s="637"/>
      <c r="T477" s="637"/>
      <c r="U477" s="637"/>
      <c r="V477" s="637"/>
      <c r="W477" s="637"/>
      <c r="X477" s="637"/>
      <c r="Y477" s="707"/>
      <c r="Z477" s="707"/>
      <c r="AA477" s="707"/>
      <c r="AB477" s="707"/>
      <c r="AC477" s="707"/>
      <c r="AD477" s="707"/>
      <c r="AE477" s="707"/>
      <c r="AF477" s="707"/>
      <c r="AG477" s="707"/>
      <c r="AH477" s="707"/>
      <c r="AI477" s="707"/>
      <c r="AJ477" s="707"/>
      <c r="AK477" s="128"/>
      <c r="AL477" s="726"/>
      <c r="AM477" s="724"/>
      <c r="AN477" s="724"/>
      <c r="AO477" s="724"/>
      <c r="AP477" s="724"/>
      <c r="AQ477" s="724"/>
      <c r="AR477" s="724"/>
      <c r="AS477" s="724"/>
      <c r="AT477" s="724"/>
      <c r="AU477" s="727"/>
      <c r="AV477" s="130"/>
      <c r="AW477" s="130"/>
      <c r="AX477" s="128"/>
      <c r="AY477" s="130"/>
      <c r="AZ477" s="130"/>
      <c r="BA477" s="130"/>
      <c r="BB477" s="130"/>
      <c r="BC477" s="130"/>
      <c r="BD477" s="130"/>
      <c r="BE477" s="130"/>
      <c r="BF477" s="128"/>
      <c r="BG477" s="128"/>
      <c r="BH477" s="128"/>
      <c r="BI477" s="128"/>
      <c r="BJ477" s="128"/>
    </row>
    <row r="478" spans="1:62" ht="4.5" customHeight="1">
      <c r="A478" s="146"/>
      <c r="B478" s="140"/>
      <c r="C478" s="140"/>
      <c r="D478" s="146"/>
      <c r="E478" s="140"/>
      <c r="F478" s="143"/>
      <c r="G478" s="174"/>
      <c r="H478" s="174"/>
      <c r="I478" s="174"/>
      <c r="J478" s="140"/>
      <c r="K478" s="140"/>
      <c r="L478" s="140"/>
      <c r="M478" s="140"/>
      <c r="N478" s="143"/>
      <c r="O478" s="140"/>
      <c r="P478" s="140"/>
      <c r="Q478" s="140"/>
      <c r="R478" s="140"/>
      <c r="S478" s="174"/>
      <c r="T478" s="174"/>
      <c r="U478" s="174"/>
      <c r="V478" s="174"/>
      <c r="W478" s="174"/>
      <c r="X478" s="174"/>
      <c r="Y478" s="140"/>
      <c r="Z478" s="241"/>
      <c r="AA478" s="241"/>
      <c r="AB478" s="241"/>
      <c r="AC478" s="196"/>
      <c r="AD478" s="196"/>
      <c r="AE478" s="196"/>
      <c r="AF478" s="196"/>
      <c r="AG478" s="196"/>
      <c r="AH478" s="196"/>
      <c r="AI478" s="196"/>
      <c r="AJ478" s="128"/>
      <c r="AK478" s="128"/>
      <c r="AL478" s="128"/>
      <c r="AM478" s="128"/>
      <c r="AN478" s="128"/>
      <c r="AO478" s="130"/>
      <c r="AP478" s="130"/>
      <c r="AQ478" s="130"/>
      <c r="AR478" s="130"/>
      <c r="AS478" s="130"/>
      <c r="AT478" s="130"/>
      <c r="AU478" s="130"/>
      <c r="AV478" s="130"/>
      <c r="AW478" s="130"/>
      <c r="AX478" s="128"/>
      <c r="AY478" s="130"/>
      <c r="AZ478" s="130"/>
      <c r="BA478" s="130"/>
      <c r="BB478" s="130"/>
      <c r="BC478" s="130"/>
      <c r="BD478" s="130"/>
      <c r="BE478" s="130"/>
      <c r="BF478" s="128"/>
      <c r="BG478" s="128"/>
      <c r="BH478" s="128"/>
      <c r="BI478" s="128"/>
      <c r="BJ478" s="128"/>
    </row>
    <row r="479" spans="1:62" ht="15" customHeight="1">
      <c r="A479" s="128" t="s">
        <v>667</v>
      </c>
      <c r="B479" s="140"/>
      <c r="C479" s="140"/>
      <c r="D479" s="146"/>
      <c r="E479" s="140"/>
      <c r="F479" s="143"/>
      <c r="G479" s="174"/>
      <c r="H479" s="174"/>
      <c r="I479" s="174"/>
      <c r="J479" s="140"/>
      <c r="K479" s="140"/>
      <c r="L479" s="140"/>
      <c r="M479" s="140"/>
      <c r="N479" s="143"/>
      <c r="O479" s="140"/>
      <c r="P479" s="140"/>
      <c r="Q479" s="140"/>
      <c r="R479" s="140"/>
      <c r="S479" s="174"/>
      <c r="T479" s="174"/>
      <c r="U479" s="174"/>
      <c r="V479" s="174"/>
      <c r="W479" s="174"/>
      <c r="X479" s="174"/>
      <c r="Y479" s="140"/>
      <c r="Z479" s="241"/>
      <c r="AA479" s="241"/>
      <c r="AB479" s="241"/>
      <c r="AC479" s="196"/>
      <c r="AD479" s="196"/>
      <c r="AE479" s="196"/>
      <c r="AF479" s="196"/>
      <c r="AG479" s="196"/>
      <c r="AH479" s="196"/>
      <c r="AI479" s="196"/>
      <c r="AJ479" s="128"/>
      <c r="AK479" s="128"/>
      <c r="AL479" s="128"/>
      <c r="AM479" s="128"/>
      <c r="AN479" s="128"/>
      <c r="AO479" s="130"/>
      <c r="AP479" s="130"/>
      <c r="AQ479" s="130"/>
      <c r="AR479" s="130"/>
      <c r="AS479" s="130"/>
      <c r="AT479" s="130"/>
      <c r="AU479" s="130"/>
      <c r="AV479" s="130"/>
      <c r="AW479" s="130"/>
      <c r="AX479" s="128"/>
      <c r="AY479" s="130"/>
      <c r="AZ479" s="130"/>
      <c r="BA479" s="130"/>
      <c r="BB479" s="130"/>
      <c r="BC479" s="130"/>
      <c r="BD479" s="130"/>
      <c r="BE479" s="130"/>
      <c r="BF479" s="128"/>
      <c r="BG479" s="128"/>
      <c r="BH479" s="128"/>
      <c r="BI479" s="128"/>
      <c r="BJ479" s="128"/>
    </row>
    <row r="480" spans="1:62" ht="4.5" customHeight="1">
      <c r="A480" s="146"/>
      <c r="B480" s="140"/>
      <c r="C480" s="140"/>
      <c r="D480" s="146"/>
      <c r="E480" s="140"/>
      <c r="F480" s="143"/>
      <c r="G480" s="174"/>
      <c r="H480" s="174"/>
      <c r="I480" s="174"/>
      <c r="J480" s="140"/>
      <c r="K480" s="140"/>
      <c r="L480" s="140"/>
      <c r="M480" s="140"/>
      <c r="N480" s="143"/>
      <c r="O480" s="140"/>
      <c r="P480" s="140"/>
      <c r="Q480" s="140"/>
      <c r="R480" s="140"/>
      <c r="S480" s="174"/>
      <c r="T480" s="174"/>
      <c r="U480" s="174"/>
      <c r="V480" s="174"/>
      <c r="W480" s="174"/>
      <c r="X480" s="174"/>
      <c r="Y480" s="140"/>
      <c r="Z480" s="241"/>
      <c r="AA480" s="241"/>
      <c r="AB480" s="241"/>
      <c r="AC480" s="196"/>
      <c r="AD480" s="196"/>
      <c r="AE480" s="196"/>
      <c r="AF480" s="196"/>
      <c r="AG480" s="196"/>
      <c r="AH480" s="196"/>
      <c r="AI480" s="196"/>
      <c r="AJ480" s="128"/>
      <c r="AK480" s="128"/>
      <c r="AL480" s="128"/>
      <c r="AM480" s="128"/>
      <c r="AN480" s="128"/>
      <c r="AO480" s="130"/>
      <c r="AP480" s="130"/>
      <c r="AQ480" s="130"/>
      <c r="AR480" s="130"/>
      <c r="AS480" s="130"/>
      <c r="AT480" s="130"/>
      <c r="AU480" s="130"/>
      <c r="AV480" s="130"/>
      <c r="AW480" s="130"/>
      <c r="AX480" s="128"/>
      <c r="AY480" s="130"/>
      <c r="AZ480" s="130"/>
      <c r="BA480" s="130"/>
      <c r="BB480" s="130"/>
      <c r="BC480" s="130"/>
      <c r="BD480" s="130"/>
      <c r="BE480" s="130"/>
      <c r="BF480" s="128"/>
      <c r="BG480" s="128"/>
      <c r="BH480" s="128"/>
      <c r="BI480" s="128"/>
      <c r="BJ480" s="128"/>
    </row>
    <row r="481" spans="1:62" ht="15" customHeight="1">
      <c r="A481" s="722" t="s">
        <v>685</v>
      </c>
      <c r="B481" s="707"/>
      <c r="C481" s="707"/>
      <c r="D481" s="738" t="s">
        <v>686</v>
      </c>
      <c r="E481" s="724"/>
      <c r="F481" s="724"/>
      <c r="G481" s="724"/>
      <c r="H481" s="724"/>
      <c r="I481" s="724"/>
      <c r="J481" s="721" t="s">
        <v>448</v>
      </c>
      <c r="K481" s="722" t="s">
        <v>679</v>
      </c>
      <c r="L481" s="707"/>
      <c r="M481" s="707"/>
      <c r="N481" s="722" t="s">
        <v>685</v>
      </c>
      <c r="O481" s="707"/>
      <c r="P481" s="707"/>
      <c r="Q481" s="723">
        <f>L435</f>
        <v>94.132720588235287</v>
      </c>
      <c r="R481" s="724"/>
      <c r="S481" s="724"/>
      <c r="T481" s="234" t="s">
        <v>357</v>
      </c>
      <c r="U481" s="751">
        <f>(VLOOKUP('Veri Girişi'!E73,TABLOLAR!I69:N74,5,0))*6</f>
        <v>203.39999999999998</v>
      </c>
      <c r="V481" s="724"/>
      <c r="W481" s="724"/>
      <c r="X481" s="724"/>
      <c r="Y481" s="730" t="s">
        <v>262</v>
      </c>
      <c r="Z481" s="734">
        <f>Q481*U481/Q482</f>
        <v>2.063722190591101</v>
      </c>
      <c r="AA481" s="707"/>
      <c r="AB481" s="707"/>
      <c r="AC481" s="721" t="s">
        <v>448</v>
      </c>
      <c r="AD481" s="721">
        <f>AH305</f>
        <v>165</v>
      </c>
      <c r="AE481" s="707"/>
      <c r="AF481" s="707"/>
      <c r="AG481" s="735" t="s">
        <v>406</v>
      </c>
      <c r="AH481" s="707"/>
      <c r="AI481" s="707"/>
      <c r="AJ481" s="707"/>
      <c r="AK481" s="128"/>
      <c r="AL481" s="725" t="str">
        <f>IF(Z481&lt;=AD481,"UYGUNDUR.","UYGUN DEĞİLDİR.")</f>
        <v>UYGUNDUR.</v>
      </c>
      <c r="AM481" s="637"/>
      <c r="AN481" s="637"/>
      <c r="AO481" s="637"/>
      <c r="AP481" s="637"/>
      <c r="AQ481" s="637"/>
      <c r="AR481" s="637"/>
      <c r="AS481" s="637"/>
      <c r="AT481" s="637"/>
      <c r="AU481" s="690"/>
      <c r="AV481" s="130"/>
      <c r="AW481" s="130"/>
      <c r="AX481" s="128"/>
      <c r="AY481" s="130"/>
      <c r="AZ481" s="130"/>
      <c r="BA481" s="130"/>
      <c r="BB481" s="130"/>
      <c r="BC481" s="130"/>
      <c r="BD481" s="130"/>
      <c r="BE481" s="130"/>
      <c r="BF481" s="128"/>
      <c r="BG481" s="128"/>
      <c r="BH481" s="128"/>
      <c r="BI481" s="128"/>
      <c r="BJ481" s="128"/>
    </row>
    <row r="482" spans="1:62" ht="15" customHeight="1">
      <c r="A482" s="707"/>
      <c r="B482" s="707"/>
      <c r="C482" s="707"/>
      <c r="D482" s="753" t="s">
        <v>687</v>
      </c>
      <c r="E482" s="637"/>
      <c r="F482" s="637"/>
      <c r="G482" s="637"/>
      <c r="H482" s="637"/>
      <c r="I482" s="637"/>
      <c r="J482" s="707"/>
      <c r="K482" s="707"/>
      <c r="L482" s="707"/>
      <c r="M482" s="707"/>
      <c r="N482" s="707"/>
      <c r="O482" s="707"/>
      <c r="P482" s="707"/>
      <c r="Q482" s="742">
        <f>(((VLOOKUP('Veri Girişi'!E73,TABLOLAR!I60:S65,10,0))*(VLOOKUP('Veri Girişi'!E73,TABLOLAR!I60:S65,10,0)))*(1+2*(VLOOKUP('Veri Girişi'!E73,TABLOLAR!I69:N74,6,0))))</f>
        <v>9277.6999999999989</v>
      </c>
      <c r="R482" s="637"/>
      <c r="S482" s="637"/>
      <c r="T482" s="637"/>
      <c r="U482" s="637"/>
      <c r="V482" s="637"/>
      <c r="W482" s="637"/>
      <c r="X482" s="637"/>
      <c r="Y482" s="707"/>
      <c r="Z482" s="707"/>
      <c r="AA482" s="707"/>
      <c r="AB482" s="707"/>
      <c r="AC482" s="707"/>
      <c r="AD482" s="707"/>
      <c r="AE482" s="707"/>
      <c r="AF482" s="707"/>
      <c r="AG482" s="707"/>
      <c r="AH482" s="707"/>
      <c r="AI482" s="707"/>
      <c r="AJ482" s="707"/>
      <c r="AK482" s="128"/>
      <c r="AL482" s="726"/>
      <c r="AM482" s="724"/>
      <c r="AN482" s="724"/>
      <c r="AO482" s="724"/>
      <c r="AP482" s="724"/>
      <c r="AQ482" s="724"/>
      <c r="AR482" s="724"/>
      <c r="AS482" s="724"/>
      <c r="AT482" s="724"/>
      <c r="AU482" s="727"/>
      <c r="AV482" s="130"/>
      <c r="AW482" s="130"/>
      <c r="AX482" s="128"/>
      <c r="AY482" s="130"/>
      <c r="AZ482" s="130"/>
      <c r="BA482" s="130"/>
      <c r="BB482" s="130"/>
      <c r="BC482" s="130"/>
      <c r="BD482" s="130"/>
      <c r="BE482" s="130"/>
      <c r="BF482" s="128"/>
      <c r="BG482" s="128"/>
      <c r="BH482" s="128"/>
      <c r="BI482" s="128"/>
      <c r="BJ482" s="128"/>
    </row>
    <row r="483" spans="1:62" ht="4.5" customHeight="1">
      <c r="A483" s="146"/>
      <c r="B483" s="140"/>
      <c r="C483" s="140"/>
      <c r="D483" s="146"/>
      <c r="E483" s="140"/>
      <c r="F483" s="143"/>
      <c r="G483" s="174"/>
      <c r="H483" s="174"/>
      <c r="I483" s="174"/>
      <c r="J483" s="140"/>
      <c r="K483" s="140"/>
      <c r="L483" s="140"/>
      <c r="M483" s="140"/>
      <c r="N483" s="143"/>
      <c r="O483" s="140"/>
      <c r="P483" s="140"/>
      <c r="Q483" s="140"/>
      <c r="R483" s="140"/>
      <c r="S483" s="174"/>
      <c r="T483" s="174"/>
      <c r="U483" s="174"/>
      <c r="V483" s="174"/>
      <c r="W483" s="174"/>
      <c r="X483" s="174"/>
      <c r="Y483" s="140"/>
      <c r="Z483" s="196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28"/>
      <c r="AK483" s="128"/>
      <c r="AL483" s="128"/>
      <c r="AM483" s="128"/>
      <c r="AN483" s="128"/>
      <c r="AO483" s="130"/>
      <c r="AP483" s="130"/>
      <c r="AQ483" s="130"/>
      <c r="AR483" s="130"/>
      <c r="AS483" s="130"/>
      <c r="AT483" s="130"/>
      <c r="AU483" s="130"/>
      <c r="AV483" s="130"/>
      <c r="AW483" s="130"/>
      <c r="AX483" s="128"/>
      <c r="AY483" s="130"/>
      <c r="AZ483" s="130"/>
      <c r="BA483" s="130"/>
      <c r="BB483" s="130"/>
      <c r="BC483" s="130"/>
      <c r="BD483" s="130"/>
      <c r="BE483" s="130"/>
      <c r="BF483" s="128"/>
      <c r="BG483" s="128"/>
      <c r="BH483" s="128"/>
      <c r="BI483" s="128"/>
      <c r="BJ483" s="128"/>
    </row>
    <row r="484" spans="1:62" ht="15" customHeight="1">
      <c r="A484" s="146" t="s">
        <v>689</v>
      </c>
      <c r="B484" s="140"/>
      <c r="C484" s="140"/>
      <c r="D484" s="146"/>
      <c r="E484" s="140"/>
      <c r="F484" s="143"/>
      <c r="G484" s="174"/>
      <c r="H484" s="174"/>
      <c r="I484" s="174"/>
      <c r="J484" s="140"/>
      <c r="K484" s="140"/>
      <c r="L484" s="140"/>
      <c r="M484" s="140"/>
      <c r="N484" s="143"/>
      <c r="O484" s="140"/>
      <c r="P484" s="140"/>
      <c r="Q484" s="140"/>
      <c r="R484" s="140"/>
      <c r="S484" s="174"/>
      <c r="T484" s="174"/>
      <c r="U484" s="174"/>
      <c r="V484" s="174"/>
      <c r="W484" s="174"/>
      <c r="X484" s="174"/>
      <c r="Y484" s="140"/>
      <c r="Z484" s="196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28"/>
      <c r="AK484" s="128"/>
      <c r="AL484" s="128"/>
      <c r="AM484" s="128"/>
      <c r="AN484" s="128"/>
      <c r="AO484" s="130"/>
      <c r="AP484" s="130"/>
      <c r="AQ484" s="130"/>
      <c r="AR484" s="130"/>
      <c r="AS484" s="130"/>
      <c r="AT484" s="130"/>
      <c r="AU484" s="130"/>
      <c r="AV484" s="130"/>
      <c r="AW484" s="130"/>
      <c r="AX484" s="128"/>
      <c r="AY484" s="130"/>
      <c r="AZ484" s="130"/>
      <c r="BA484" s="130"/>
      <c r="BB484" s="130"/>
      <c r="BC484" s="130"/>
      <c r="BD484" s="130"/>
      <c r="BE484" s="130"/>
      <c r="BF484" s="128"/>
      <c r="BG484" s="128"/>
      <c r="BH484" s="128"/>
      <c r="BI484" s="128"/>
      <c r="BJ484" s="128"/>
    </row>
    <row r="485" spans="1:62" ht="15" customHeight="1">
      <c r="A485" s="128" t="s">
        <v>653</v>
      </c>
      <c r="B485" s="140"/>
      <c r="C485" s="140"/>
      <c r="D485" s="146"/>
      <c r="E485" s="140"/>
      <c r="F485" s="143"/>
      <c r="G485" s="174"/>
      <c r="H485" s="174"/>
      <c r="I485" s="174"/>
      <c r="J485" s="140"/>
      <c r="K485" s="140"/>
      <c r="L485" s="140"/>
      <c r="M485" s="140"/>
      <c r="N485" s="143"/>
      <c r="O485" s="140"/>
      <c r="P485" s="140"/>
      <c r="Q485" s="140"/>
      <c r="R485" s="140"/>
      <c r="S485" s="174"/>
      <c r="T485" s="174"/>
      <c r="U485" s="174"/>
      <c r="V485" s="174"/>
      <c r="W485" s="174"/>
      <c r="X485" s="174"/>
      <c r="Y485" s="140"/>
      <c r="Z485" s="196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28"/>
      <c r="AK485" s="128"/>
      <c r="AL485" s="128"/>
      <c r="AM485" s="128"/>
      <c r="AN485" s="128"/>
      <c r="AO485" s="130"/>
      <c r="AP485" s="130"/>
      <c r="AQ485" s="130"/>
      <c r="AR485" s="130"/>
      <c r="AS485" s="130"/>
      <c r="AT485" s="130"/>
      <c r="AU485" s="130"/>
      <c r="AV485" s="130"/>
      <c r="AW485" s="130"/>
      <c r="AX485" s="128"/>
      <c r="AY485" s="130"/>
      <c r="AZ485" s="130"/>
      <c r="BA485" s="130"/>
      <c r="BB485" s="130"/>
      <c r="BC485" s="130"/>
      <c r="BD485" s="130"/>
      <c r="BE485" s="130"/>
      <c r="BF485" s="128"/>
      <c r="BG485" s="128"/>
      <c r="BH485" s="128"/>
      <c r="BI485" s="128"/>
      <c r="BJ485" s="128"/>
    </row>
    <row r="486" spans="1:62" ht="4.5" customHeight="1">
      <c r="A486" s="146"/>
      <c r="B486" s="140"/>
      <c r="C486" s="140"/>
      <c r="D486" s="146"/>
      <c r="E486" s="140"/>
      <c r="F486" s="143"/>
      <c r="G486" s="174"/>
      <c r="H486" s="174"/>
      <c r="I486" s="174"/>
      <c r="J486" s="140"/>
      <c r="K486" s="140"/>
      <c r="L486" s="140"/>
      <c r="M486" s="140"/>
      <c r="N486" s="143"/>
      <c r="O486" s="140"/>
      <c r="P486" s="140"/>
      <c r="Q486" s="140"/>
      <c r="R486" s="140"/>
      <c r="S486" s="174"/>
      <c r="T486" s="174"/>
      <c r="U486" s="174"/>
      <c r="V486" s="174"/>
      <c r="W486" s="174"/>
      <c r="X486" s="174"/>
      <c r="Y486" s="140"/>
      <c r="Z486" s="196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28"/>
      <c r="AK486" s="128"/>
      <c r="AL486" s="128"/>
      <c r="AM486" s="128"/>
      <c r="AN486" s="128"/>
      <c r="AO486" s="130"/>
      <c r="AP486" s="130"/>
      <c r="AQ486" s="130"/>
      <c r="AR486" s="130"/>
      <c r="AS486" s="130"/>
      <c r="AT486" s="130"/>
      <c r="AU486" s="130"/>
      <c r="AV486" s="130"/>
      <c r="AW486" s="130"/>
      <c r="AX486" s="128"/>
      <c r="AY486" s="130"/>
      <c r="AZ486" s="130"/>
      <c r="BA486" s="130"/>
      <c r="BB486" s="130"/>
      <c r="BC486" s="130"/>
      <c r="BD486" s="130"/>
      <c r="BE486" s="130"/>
      <c r="BF486" s="128"/>
      <c r="BG486" s="128"/>
      <c r="BH486" s="128"/>
      <c r="BI486" s="128"/>
      <c r="BJ486" s="128"/>
    </row>
    <row r="487" spans="1:62" ht="15" customHeight="1">
      <c r="A487" s="729" t="s">
        <v>690</v>
      </c>
      <c r="B487" s="757" t="s">
        <v>262</v>
      </c>
      <c r="C487" s="730" t="s">
        <v>691</v>
      </c>
      <c r="D487" s="707"/>
      <c r="E487" s="707"/>
      <c r="F487" s="808" t="s">
        <v>692</v>
      </c>
      <c r="G487" s="724"/>
      <c r="H487" s="724"/>
      <c r="I487" s="724"/>
      <c r="J487" s="724"/>
      <c r="K487" s="755" t="s">
        <v>448</v>
      </c>
      <c r="L487" s="729" t="s">
        <v>693</v>
      </c>
      <c r="M487" s="707"/>
      <c r="N487" s="140"/>
      <c r="O487" s="140"/>
      <c r="P487" s="729" t="s">
        <v>690</v>
      </c>
      <c r="Q487" s="757" t="s">
        <v>262</v>
      </c>
      <c r="R487" s="730">
        <v>0.7</v>
      </c>
      <c r="S487" s="707"/>
      <c r="T487" s="730" t="s">
        <v>357</v>
      </c>
      <c r="U487" s="751">
        <f>L415</f>
        <v>542.50742647058826</v>
      </c>
      <c r="V487" s="724"/>
      <c r="W487" s="724"/>
      <c r="X487" s="724"/>
      <c r="Y487" s="724"/>
      <c r="Z487" s="206" t="s">
        <v>357</v>
      </c>
      <c r="AA487" s="738">
        <f>('Veri Girişi'!$B$111)^3</f>
        <v>27000000000</v>
      </c>
      <c r="AB487" s="724"/>
      <c r="AC487" s="724"/>
      <c r="AD487" s="724"/>
      <c r="AE487" s="724"/>
      <c r="AF487" s="724"/>
      <c r="AG487" s="757" t="s">
        <v>262</v>
      </c>
      <c r="AH487" s="734">
        <f>R487*AA487*U487/(U488*X488*AC488)</f>
        <v>1.9784441395333174</v>
      </c>
      <c r="AI487" s="707"/>
      <c r="AJ487" s="707"/>
      <c r="AK487" s="721" t="s">
        <v>448</v>
      </c>
      <c r="AL487" s="721">
        <v>5</v>
      </c>
      <c r="AM487" s="722" t="s">
        <v>122</v>
      </c>
      <c r="AN487" s="707"/>
      <c r="AO487" s="130"/>
      <c r="AP487" s="130"/>
      <c r="AQ487" s="725" t="str">
        <f>IF(AH487&lt;=AL487,"UYGUNDUR.","UYGUN DEĞİLDİR.")</f>
        <v>UYGUNDUR.</v>
      </c>
      <c r="AR487" s="637"/>
      <c r="AS487" s="637"/>
      <c r="AT487" s="637"/>
      <c r="AU487" s="637"/>
      <c r="AV487" s="637"/>
      <c r="AW487" s="637"/>
      <c r="AX487" s="637"/>
      <c r="AY487" s="637"/>
      <c r="AZ487" s="690"/>
      <c r="BA487" s="130"/>
      <c r="BB487" s="130"/>
      <c r="BC487" s="130"/>
      <c r="BD487" s="130"/>
      <c r="BE487" s="130"/>
      <c r="BF487" s="128"/>
      <c r="BG487" s="128"/>
      <c r="BH487" s="128"/>
      <c r="BI487" s="128"/>
      <c r="BJ487" s="128"/>
    </row>
    <row r="488" spans="1:62" ht="15" customHeight="1">
      <c r="A488" s="707"/>
      <c r="B488" s="707"/>
      <c r="C488" s="707"/>
      <c r="D488" s="707"/>
      <c r="E488" s="707"/>
      <c r="F488" s="743" t="s">
        <v>694</v>
      </c>
      <c r="G488" s="637"/>
      <c r="H488" s="637"/>
      <c r="I488" s="637"/>
      <c r="J488" s="637"/>
      <c r="K488" s="707"/>
      <c r="L488" s="707"/>
      <c r="M488" s="707"/>
      <c r="N488" s="140"/>
      <c r="O488" s="140"/>
      <c r="P488" s="707"/>
      <c r="Q488" s="707"/>
      <c r="R488" s="707"/>
      <c r="S488" s="707"/>
      <c r="T488" s="707"/>
      <c r="U488" s="730">
        <f>48</f>
        <v>48</v>
      </c>
      <c r="V488" s="707"/>
      <c r="W488" s="171" t="s">
        <v>357</v>
      </c>
      <c r="X488" s="730">
        <v>206010</v>
      </c>
      <c r="Y488" s="707"/>
      <c r="Z488" s="707"/>
      <c r="AA488" s="707"/>
      <c r="AB488" s="171" t="s">
        <v>357</v>
      </c>
      <c r="AC488" s="730">
        <f>VLOOKUP('Veri Girişi'!$E$73,TABLOLAR!$I$60:$S$65,5,0)</f>
        <v>524100</v>
      </c>
      <c r="AD488" s="707"/>
      <c r="AE488" s="707"/>
      <c r="AF488" s="707"/>
      <c r="AG488" s="707"/>
      <c r="AH488" s="707"/>
      <c r="AI488" s="707"/>
      <c r="AJ488" s="707"/>
      <c r="AK488" s="707"/>
      <c r="AL488" s="707"/>
      <c r="AM488" s="707"/>
      <c r="AN488" s="707"/>
      <c r="AO488" s="130"/>
      <c r="AP488" s="130"/>
      <c r="AQ488" s="726"/>
      <c r="AR488" s="724"/>
      <c r="AS488" s="724"/>
      <c r="AT488" s="724"/>
      <c r="AU488" s="724"/>
      <c r="AV488" s="724"/>
      <c r="AW488" s="724"/>
      <c r="AX488" s="724"/>
      <c r="AY488" s="724"/>
      <c r="AZ488" s="727"/>
      <c r="BA488" s="130"/>
      <c r="BB488" s="130"/>
      <c r="BC488" s="130"/>
      <c r="BD488" s="130"/>
      <c r="BE488" s="130"/>
      <c r="BF488" s="128"/>
      <c r="BG488" s="128"/>
      <c r="BH488" s="128"/>
      <c r="BI488" s="128"/>
      <c r="BJ488" s="128"/>
    </row>
    <row r="489" spans="1:62" ht="4.5" customHeight="1">
      <c r="A489" s="146"/>
      <c r="B489" s="140"/>
      <c r="C489" s="140"/>
      <c r="D489" s="146"/>
      <c r="E489" s="140"/>
      <c r="F489" s="140"/>
      <c r="G489" s="174"/>
      <c r="H489" s="174"/>
      <c r="I489" s="174"/>
      <c r="J489" s="140"/>
      <c r="K489" s="140"/>
      <c r="L489" s="140"/>
      <c r="M489" s="140"/>
      <c r="N489" s="140"/>
      <c r="O489" s="140"/>
      <c r="P489" s="140"/>
      <c r="Q489" s="140"/>
      <c r="R489" s="140"/>
      <c r="S489" s="174"/>
      <c r="T489" s="174"/>
      <c r="U489" s="174"/>
      <c r="V489" s="174"/>
      <c r="W489" s="174"/>
      <c r="X489" s="174"/>
      <c r="Y489" s="140"/>
      <c r="Z489" s="196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28"/>
      <c r="AK489" s="128"/>
      <c r="AL489" s="128"/>
      <c r="AM489" s="128"/>
      <c r="AN489" s="128"/>
      <c r="AO489" s="130"/>
      <c r="AP489" s="130"/>
      <c r="AQ489" s="130"/>
      <c r="AR489" s="130"/>
      <c r="AS489" s="130"/>
      <c r="AT489" s="130"/>
      <c r="AU489" s="130"/>
      <c r="AV489" s="130"/>
      <c r="AW489" s="130"/>
      <c r="AX489" s="128"/>
      <c r="AY489" s="130"/>
      <c r="AZ489" s="130"/>
      <c r="BA489" s="130"/>
      <c r="BB489" s="130"/>
      <c r="BC489" s="130"/>
      <c r="BD489" s="130"/>
      <c r="BE489" s="130"/>
      <c r="BF489" s="128"/>
      <c r="BG489" s="128"/>
      <c r="BH489" s="128"/>
      <c r="BI489" s="128"/>
      <c r="BJ489" s="128"/>
    </row>
    <row r="490" spans="1:62" ht="16.5" customHeight="1">
      <c r="A490" s="729" t="s">
        <v>695</v>
      </c>
      <c r="B490" s="757" t="s">
        <v>262</v>
      </c>
      <c r="C490" s="730" t="s">
        <v>691</v>
      </c>
      <c r="D490" s="707"/>
      <c r="E490" s="707"/>
      <c r="F490" s="770" t="s">
        <v>696</v>
      </c>
      <c r="G490" s="724"/>
      <c r="H490" s="724"/>
      <c r="I490" s="724"/>
      <c r="J490" s="724"/>
      <c r="K490" s="755" t="s">
        <v>448</v>
      </c>
      <c r="L490" s="729" t="s">
        <v>693</v>
      </c>
      <c r="M490" s="707"/>
      <c r="N490" s="140"/>
      <c r="O490" s="140"/>
      <c r="P490" s="729" t="s">
        <v>695</v>
      </c>
      <c r="Q490" s="757" t="s">
        <v>262</v>
      </c>
      <c r="R490" s="730">
        <v>0.7</v>
      </c>
      <c r="S490" s="707"/>
      <c r="T490" s="730" t="s">
        <v>357</v>
      </c>
      <c r="U490" s="751">
        <f>L424</f>
        <v>0</v>
      </c>
      <c r="V490" s="724"/>
      <c r="W490" s="724"/>
      <c r="X490" s="724"/>
      <c r="Y490" s="724"/>
      <c r="Z490" s="206" t="s">
        <v>357</v>
      </c>
      <c r="AA490" s="738">
        <f>('Veri Girişi'!$B$111)^3</f>
        <v>27000000000</v>
      </c>
      <c r="AB490" s="724"/>
      <c r="AC490" s="724"/>
      <c r="AD490" s="724"/>
      <c r="AE490" s="724"/>
      <c r="AF490" s="724"/>
      <c r="AG490" s="757" t="s">
        <v>262</v>
      </c>
      <c r="AH490" s="734">
        <f>R490*AA490*U490/(U491*X491*AC491)</f>
        <v>0</v>
      </c>
      <c r="AI490" s="707"/>
      <c r="AJ490" s="707"/>
      <c r="AK490" s="721" t="s">
        <v>448</v>
      </c>
      <c r="AL490" s="721">
        <v>5</v>
      </c>
      <c r="AM490" s="722" t="s">
        <v>122</v>
      </c>
      <c r="AN490" s="707"/>
      <c r="AO490" s="130"/>
      <c r="AP490" s="130"/>
      <c r="AQ490" s="725" t="str">
        <f>IF(AH490&lt;=AL490,"UYGUNDUR.","UYGUN DEĞİLDİR.")</f>
        <v>UYGUNDUR.</v>
      </c>
      <c r="AR490" s="637"/>
      <c r="AS490" s="637"/>
      <c r="AT490" s="637"/>
      <c r="AU490" s="637"/>
      <c r="AV490" s="637"/>
      <c r="AW490" s="637"/>
      <c r="AX490" s="637"/>
      <c r="AY490" s="637"/>
      <c r="AZ490" s="690"/>
      <c r="BA490" s="130"/>
      <c r="BB490" s="130"/>
      <c r="BC490" s="130"/>
      <c r="BD490" s="130"/>
      <c r="BE490" s="130"/>
      <c r="BF490" s="128"/>
      <c r="BG490" s="128"/>
      <c r="BH490" s="128"/>
      <c r="BI490" s="128"/>
      <c r="BJ490" s="128"/>
    </row>
    <row r="491" spans="1:62" ht="16.5" customHeight="1">
      <c r="A491" s="707"/>
      <c r="B491" s="707"/>
      <c r="C491" s="707"/>
      <c r="D491" s="707"/>
      <c r="E491" s="707"/>
      <c r="F491" s="743" t="s">
        <v>697</v>
      </c>
      <c r="G491" s="637"/>
      <c r="H491" s="637"/>
      <c r="I491" s="637"/>
      <c r="J491" s="637"/>
      <c r="K491" s="707"/>
      <c r="L491" s="707"/>
      <c r="M491" s="707"/>
      <c r="N491" s="140"/>
      <c r="O491" s="140"/>
      <c r="P491" s="707"/>
      <c r="Q491" s="707"/>
      <c r="R491" s="707"/>
      <c r="S491" s="707"/>
      <c r="T491" s="707"/>
      <c r="U491" s="730">
        <f>48</f>
        <v>48</v>
      </c>
      <c r="V491" s="707"/>
      <c r="W491" s="171" t="s">
        <v>357</v>
      </c>
      <c r="X491" s="730">
        <v>206010</v>
      </c>
      <c r="Y491" s="707"/>
      <c r="Z491" s="707"/>
      <c r="AA491" s="707"/>
      <c r="AB491" s="171" t="s">
        <v>357</v>
      </c>
      <c r="AC491" s="730">
        <f>VLOOKUP('Veri Girişi'!$E$73,TABLOLAR!$I$60:$S$65,4,0)</f>
        <v>598300</v>
      </c>
      <c r="AD491" s="707"/>
      <c r="AE491" s="707"/>
      <c r="AF491" s="707"/>
      <c r="AG491" s="707"/>
      <c r="AH491" s="707"/>
      <c r="AI491" s="707"/>
      <c r="AJ491" s="707"/>
      <c r="AK491" s="707"/>
      <c r="AL491" s="707"/>
      <c r="AM491" s="707"/>
      <c r="AN491" s="707"/>
      <c r="AO491" s="130"/>
      <c r="AP491" s="130"/>
      <c r="AQ491" s="726"/>
      <c r="AR491" s="724"/>
      <c r="AS491" s="724"/>
      <c r="AT491" s="724"/>
      <c r="AU491" s="724"/>
      <c r="AV491" s="724"/>
      <c r="AW491" s="724"/>
      <c r="AX491" s="724"/>
      <c r="AY491" s="724"/>
      <c r="AZ491" s="727"/>
      <c r="BA491" s="130"/>
      <c r="BB491" s="130"/>
      <c r="BC491" s="130"/>
      <c r="BD491" s="130"/>
      <c r="BE491" s="130"/>
      <c r="BF491" s="128"/>
      <c r="BG491" s="128"/>
      <c r="BH491" s="128"/>
      <c r="BI491" s="128"/>
      <c r="BJ491" s="128"/>
    </row>
    <row r="492" spans="1:62" ht="4.5" customHeight="1">
      <c r="A492" s="146"/>
      <c r="B492" s="140"/>
      <c r="C492" s="140"/>
      <c r="D492" s="146"/>
      <c r="E492" s="140"/>
      <c r="F492" s="140"/>
      <c r="G492" s="174"/>
      <c r="H492" s="174"/>
      <c r="I492" s="174"/>
      <c r="J492" s="140"/>
      <c r="K492" s="140"/>
      <c r="L492" s="140"/>
      <c r="M492" s="140"/>
      <c r="N492" s="140"/>
      <c r="O492" s="140"/>
      <c r="P492" s="140"/>
      <c r="Q492" s="140"/>
      <c r="R492" s="140"/>
      <c r="S492" s="174"/>
      <c r="T492" s="174"/>
      <c r="U492" s="174"/>
      <c r="V492" s="174"/>
      <c r="W492" s="174"/>
      <c r="X492" s="174"/>
      <c r="Y492" s="140"/>
      <c r="Z492" s="196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28"/>
      <c r="AK492" s="128"/>
      <c r="AL492" s="128"/>
      <c r="AM492" s="128"/>
      <c r="AN492" s="128"/>
      <c r="AO492" s="130"/>
      <c r="AP492" s="130"/>
      <c r="AQ492" s="130"/>
      <c r="AR492" s="130"/>
      <c r="AS492" s="130"/>
      <c r="AT492" s="130"/>
      <c r="AU492" s="130"/>
      <c r="AV492" s="130"/>
      <c r="AW492" s="130"/>
      <c r="AX492" s="128"/>
      <c r="AY492" s="130"/>
      <c r="AZ492" s="130"/>
      <c r="BA492" s="130"/>
      <c r="BB492" s="130"/>
      <c r="BC492" s="130"/>
      <c r="BD492" s="130"/>
      <c r="BE492" s="130"/>
      <c r="BF492" s="128"/>
      <c r="BG492" s="128"/>
      <c r="BH492" s="128"/>
      <c r="BI492" s="128"/>
      <c r="BJ492" s="128"/>
    </row>
    <row r="493" spans="1:62" ht="15" customHeight="1">
      <c r="A493" s="128" t="s">
        <v>698</v>
      </c>
      <c r="B493" s="140"/>
      <c r="C493" s="140"/>
      <c r="D493" s="146"/>
      <c r="E493" s="140"/>
      <c r="F493" s="143"/>
      <c r="G493" s="174"/>
      <c r="H493" s="174"/>
      <c r="I493" s="174"/>
      <c r="J493" s="140"/>
      <c r="K493" s="140"/>
      <c r="L493" s="140"/>
      <c r="M493" s="140"/>
      <c r="N493" s="143"/>
      <c r="O493" s="140"/>
      <c r="P493" s="140"/>
      <c r="Q493" s="140"/>
      <c r="R493" s="140"/>
      <c r="S493" s="174"/>
      <c r="T493" s="174"/>
      <c r="U493" s="174"/>
      <c r="V493" s="174"/>
      <c r="W493" s="174"/>
      <c r="X493" s="174"/>
      <c r="Y493" s="140"/>
      <c r="Z493" s="196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28"/>
      <c r="AK493" s="128"/>
      <c r="AL493" s="128"/>
      <c r="AM493" s="128"/>
      <c r="AN493" s="128"/>
      <c r="AO493" s="130"/>
      <c r="AP493" s="130"/>
      <c r="AQ493" s="130"/>
      <c r="AR493" s="130"/>
      <c r="AS493" s="130"/>
      <c r="AT493" s="130"/>
      <c r="AU493" s="130"/>
      <c r="AV493" s="130"/>
      <c r="AW493" s="130"/>
      <c r="AX493" s="128"/>
      <c r="AY493" s="130"/>
      <c r="AZ493" s="130"/>
      <c r="BA493" s="130"/>
      <c r="BB493" s="130"/>
      <c r="BC493" s="130"/>
      <c r="BD493" s="130"/>
      <c r="BE493" s="130"/>
      <c r="BF493" s="128"/>
      <c r="BG493" s="128"/>
      <c r="BH493" s="128"/>
      <c r="BI493" s="128"/>
      <c r="BJ493" s="128"/>
    </row>
    <row r="494" spans="1:62" ht="4.5" customHeight="1">
      <c r="A494" s="146"/>
      <c r="B494" s="140"/>
      <c r="C494" s="140"/>
      <c r="D494" s="146"/>
      <c r="E494" s="140"/>
      <c r="F494" s="143"/>
      <c r="G494" s="174"/>
      <c r="H494" s="174"/>
      <c r="I494" s="174"/>
      <c r="J494" s="140"/>
      <c r="K494" s="140"/>
      <c r="L494" s="140"/>
      <c r="M494" s="140"/>
      <c r="N494" s="143"/>
      <c r="O494" s="140"/>
      <c r="P494" s="140"/>
      <c r="Q494" s="140"/>
      <c r="R494" s="140"/>
      <c r="S494" s="174"/>
      <c r="T494" s="174"/>
      <c r="U494" s="174"/>
      <c r="V494" s="174"/>
      <c r="W494" s="174"/>
      <c r="X494" s="174"/>
      <c r="Y494" s="140"/>
      <c r="Z494" s="196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28"/>
      <c r="AK494" s="128"/>
      <c r="AL494" s="128"/>
      <c r="AM494" s="128"/>
      <c r="AN494" s="128"/>
      <c r="AO494" s="130"/>
      <c r="AP494" s="130"/>
      <c r="AQ494" s="130"/>
      <c r="AR494" s="130"/>
      <c r="AS494" s="130"/>
      <c r="AT494" s="130"/>
      <c r="AU494" s="130"/>
      <c r="AV494" s="130"/>
      <c r="AW494" s="130"/>
      <c r="AX494" s="128"/>
      <c r="AY494" s="130"/>
      <c r="AZ494" s="130"/>
      <c r="BA494" s="130"/>
      <c r="BB494" s="130"/>
      <c r="BC494" s="130"/>
      <c r="BD494" s="130"/>
      <c r="BE494" s="130"/>
      <c r="BF494" s="128"/>
      <c r="BG494" s="128"/>
      <c r="BH494" s="128"/>
      <c r="BI494" s="128"/>
      <c r="BJ494" s="128"/>
    </row>
    <row r="495" spans="1:62" ht="15" customHeight="1">
      <c r="A495" s="729" t="s">
        <v>690</v>
      </c>
      <c r="B495" s="757" t="s">
        <v>262</v>
      </c>
      <c r="C495" s="730" t="s">
        <v>691</v>
      </c>
      <c r="D495" s="707"/>
      <c r="E495" s="707"/>
      <c r="F495" s="808" t="s">
        <v>692</v>
      </c>
      <c r="G495" s="724"/>
      <c r="H495" s="724"/>
      <c r="I495" s="724"/>
      <c r="J495" s="724"/>
      <c r="K495" s="755" t="s">
        <v>448</v>
      </c>
      <c r="L495" s="729" t="s">
        <v>693</v>
      </c>
      <c r="M495" s="707"/>
      <c r="N495" s="140"/>
      <c r="O495" s="140"/>
      <c r="P495" s="729" t="s">
        <v>690</v>
      </c>
      <c r="Q495" s="757" t="s">
        <v>262</v>
      </c>
      <c r="R495" s="730">
        <v>0.7</v>
      </c>
      <c r="S495" s="707"/>
      <c r="T495" s="730" t="s">
        <v>357</v>
      </c>
      <c r="U495" s="723">
        <f>L435</f>
        <v>94.132720588235287</v>
      </c>
      <c r="V495" s="724"/>
      <c r="W495" s="724"/>
      <c r="X495" s="724"/>
      <c r="Y495" s="724"/>
      <c r="Z495" s="206" t="s">
        <v>357</v>
      </c>
      <c r="AA495" s="738">
        <f>('Veri Girişi'!$B$111)^3</f>
        <v>27000000000</v>
      </c>
      <c r="AB495" s="724"/>
      <c r="AC495" s="724"/>
      <c r="AD495" s="724"/>
      <c r="AE495" s="724"/>
      <c r="AF495" s="724"/>
      <c r="AG495" s="757" t="s">
        <v>262</v>
      </c>
      <c r="AH495" s="734">
        <f>R495*AA495*U495/(U496*X496*AC496)</f>
        <v>0.34328807367251418</v>
      </c>
      <c r="AI495" s="707"/>
      <c r="AJ495" s="707"/>
      <c r="AK495" s="721" t="s">
        <v>448</v>
      </c>
      <c r="AL495" s="721">
        <v>5</v>
      </c>
      <c r="AM495" s="722" t="s">
        <v>122</v>
      </c>
      <c r="AN495" s="707"/>
      <c r="AO495" s="130"/>
      <c r="AP495" s="130"/>
      <c r="AQ495" s="725" t="str">
        <f>IF(AH495&lt;=AL495,"UYGUNDUR.","UYGUN DEĞİLDİR.")</f>
        <v>UYGUNDUR.</v>
      </c>
      <c r="AR495" s="637"/>
      <c r="AS495" s="637"/>
      <c r="AT495" s="637"/>
      <c r="AU495" s="637"/>
      <c r="AV495" s="637"/>
      <c r="AW495" s="637"/>
      <c r="AX495" s="637"/>
      <c r="AY495" s="637"/>
      <c r="AZ495" s="690"/>
      <c r="BA495" s="130"/>
      <c r="BB495" s="130"/>
      <c r="BC495" s="130"/>
      <c r="BD495" s="130"/>
      <c r="BE495" s="130"/>
      <c r="BF495" s="128"/>
      <c r="BG495" s="128"/>
      <c r="BH495" s="128"/>
      <c r="BI495" s="128"/>
      <c r="BJ495" s="128"/>
    </row>
    <row r="496" spans="1:62" ht="15" customHeight="1">
      <c r="A496" s="707"/>
      <c r="B496" s="707"/>
      <c r="C496" s="707"/>
      <c r="D496" s="707"/>
      <c r="E496" s="707"/>
      <c r="F496" s="743" t="s">
        <v>694</v>
      </c>
      <c r="G496" s="637"/>
      <c r="H496" s="637"/>
      <c r="I496" s="637"/>
      <c r="J496" s="637"/>
      <c r="K496" s="707"/>
      <c r="L496" s="707"/>
      <c r="M496" s="707"/>
      <c r="N496" s="140"/>
      <c r="O496" s="140"/>
      <c r="P496" s="707"/>
      <c r="Q496" s="707"/>
      <c r="R496" s="707"/>
      <c r="S496" s="707"/>
      <c r="T496" s="707"/>
      <c r="U496" s="730">
        <f>48</f>
        <v>48</v>
      </c>
      <c r="V496" s="707"/>
      <c r="W496" s="171" t="s">
        <v>357</v>
      </c>
      <c r="X496" s="730">
        <v>206010</v>
      </c>
      <c r="Y496" s="707"/>
      <c r="Z496" s="707"/>
      <c r="AA496" s="707"/>
      <c r="AB496" s="171" t="s">
        <v>357</v>
      </c>
      <c r="AC496" s="730">
        <f>VLOOKUP('Veri Girişi'!$E$73,TABLOLAR!$I$60:$S$65,5,0)</f>
        <v>524100</v>
      </c>
      <c r="AD496" s="707"/>
      <c r="AE496" s="707"/>
      <c r="AF496" s="707"/>
      <c r="AG496" s="707"/>
      <c r="AH496" s="707"/>
      <c r="AI496" s="707"/>
      <c r="AJ496" s="707"/>
      <c r="AK496" s="707"/>
      <c r="AL496" s="707"/>
      <c r="AM496" s="707"/>
      <c r="AN496" s="707"/>
      <c r="AO496" s="130"/>
      <c r="AP496" s="130"/>
      <c r="AQ496" s="726"/>
      <c r="AR496" s="724"/>
      <c r="AS496" s="724"/>
      <c r="AT496" s="724"/>
      <c r="AU496" s="724"/>
      <c r="AV496" s="724"/>
      <c r="AW496" s="724"/>
      <c r="AX496" s="724"/>
      <c r="AY496" s="724"/>
      <c r="AZ496" s="727"/>
      <c r="BA496" s="130"/>
      <c r="BB496" s="130"/>
      <c r="BC496" s="130"/>
      <c r="BD496" s="130"/>
      <c r="BE496" s="130"/>
      <c r="BF496" s="128"/>
      <c r="BG496" s="128"/>
      <c r="BH496" s="128"/>
      <c r="BI496" s="128"/>
      <c r="BJ496" s="128"/>
    </row>
    <row r="497" spans="1:62" ht="4.5" customHeight="1">
      <c r="A497" s="146"/>
      <c r="B497" s="140"/>
      <c r="C497" s="140"/>
      <c r="D497" s="146"/>
      <c r="E497" s="140"/>
      <c r="F497" s="140"/>
      <c r="G497" s="174"/>
      <c r="H497" s="174"/>
      <c r="I497" s="174"/>
      <c r="J497" s="140"/>
      <c r="K497" s="140"/>
      <c r="L497" s="140"/>
      <c r="M497" s="140"/>
      <c r="N497" s="140"/>
      <c r="O497" s="140"/>
      <c r="P497" s="140"/>
      <c r="Q497" s="140"/>
      <c r="R497" s="140"/>
      <c r="S497" s="174"/>
      <c r="T497" s="174"/>
      <c r="U497" s="174"/>
      <c r="V497" s="174"/>
      <c r="W497" s="174"/>
      <c r="X497" s="174"/>
      <c r="Y497" s="140"/>
      <c r="Z497" s="196"/>
      <c r="AA497" s="196"/>
      <c r="AB497" s="196"/>
      <c r="AC497" s="196"/>
      <c r="AD497" s="196"/>
      <c r="AE497" s="196"/>
      <c r="AF497" s="196"/>
      <c r="AG497" s="196"/>
      <c r="AH497" s="241"/>
      <c r="AI497" s="241"/>
      <c r="AJ497" s="242"/>
      <c r="AK497" s="128"/>
      <c r="AL497" s="128"/>
      <c r="AM497" s="128"/>
      <c r="AN497" s="128"/>
      <c r="AO497" s="130"/>
      <c r="AP497" s="130"/>
      <c r="AQ497" s="130"/>
      <c r="AR497" s="130"/>
      <c r="AS497" s="130"/>
      <c r="AT497" s="130"/>
      <c r="AU497" s="130"/>
      <c r="AV497" s="130"/>
      <c r="AW497" s="130"/>
      <c r="AX497" s="128"/>
      <c r="AY497" s="130"/>
      <c r="AZ497" s="130"/>
      <c r="BA497" s="130"/>
      <c r="BB497" s="130"/>
      <c r="BC497" s="130"/>
      <c r="BD497" s="130"/>
      <c r="BE497" s="130"/>
      <c r="BF497" s="128"/>
      <c r="BG497" s="128"/>
      <c r="BH497" s="128"/>
      <c r="BI497" s="128"/>
      <c r="BJ497" s="128"/>
    </row>
    <row r="498" spans="1:62" ht="16.5" customHeight="1">
      <c r="A498" s="729" t="s">
        <v>695</v>
      </c>
      <c r="B498" s="757" t="s">
        <v>262</v>
      </c>
      <c r="C498" s="730" t="s">
        <v>691</v>
      </c>
      <c r="D498" s="707"/>
      <c r="E498" s="707"/>
      <c r="F498" s="751" t="s">
        <v>696</v>
      </c>
      <c r="G498" s="724"/>
      <c r="H498" s="724"/>
      <c r="I498" s="724"/>
      <c r="J498" s="724"/>
      <c r="K498" s="755" t="s">
        <v>448</v>
      </c>
      <c r="L498" s="729" t="s">
        <v>693</v>
      </c>
      <c r="M498" s="707"/>
      <c r="N498" s="140"/>
      <c r="O498" s="140"/>
      <c r="P498" s="729" t="s">
        <v>695</v>
      </c>
      <c r="Q498" s="757" t="s">
        <v>262</v>
      </c>
      <c r="R498" s="730">
        <v>0.7</v>
      </c>
      <c r="S498" s="707"/>
      <c r="T498" s="730" t="s">
        <v>357</v>
      </c>
      <c r="U498" s="723">
        <f>L444</f>
        <v>251.02058823529413</v>
      </c>
      <c r="V498" s="724"/>
      <c r="W498" s="724"/>
      <c r="X498" s="724"/>
      <c r="Y498" s="724"/>
      <c r="Z498" s="206" t="s">
        <v>357</v>
      </c>
      <c r="AA498" s="738">
        <f>('Veri Girişi'!$B$111)^3</f>
        <v>27000000000</v>
      </c>
      <c r="AB498" s="724"/>
      <c r="AC498" s="724"/>
      <c r="AD498" s="724"/>
      <c r="AE498" s="724"/>
      <c r="AF498" s="724"/>
      <c r="AG498" s="757" t="s">
        <v>262</v>
      </c>
      <c r="AH498" s="734">
        <f>R498*AA498*U498/(U499*X499*AC499)</f>
        <v>0.80190441545162272</v>
      </c>
      <c r="AI498" s="707"/>
      <c r="AJ498" s="707"/>
      <c r="AK498" s="721" t="s">
        <v>448</v>
      </c>
      <c r="AL498" s="721">
        <v>5</v>
      </c>
      <c r="AM498" s="722" t="s">
        <v>122</v>
      </c>
      <c r="AN498" s="707"/>
      <c r="AO498" s="130"/>
      <c r="AP498" s="130"/>
      <c r="AQ498" s="725" t="str">
        <f>IF(AH498&lt;=AL498,"UYGUNDUR.","UYGUN DEĞİLDİR.")</f>
        <v>UYGUNDUR.</v>
      </c>
      <c r="AR498" s="637"/>
      <c r="AS498" s="637"/>
      <c r="AT498" s="637"/>
      <c r="AU498" s="637"/>
      <c r="AV498" s="637"/>
      <c r="AW498" s="637"/>
      <c r="AX498" s="637"/>
      <c r="AY498" s="637"/>
      <c r="AZ498" s="690"/>
      <c r="BA498" s="130"/>
      <c r="BB498" s="130"/>
      <c r="BC498" s="130"/>
      <c r="BD498" s="130"/>
      <c r="BE498" s="130"/>
      <c r="BF498" s="128"/>
      <c r="BG498" s="128"/>
      <c r="BH498" s="128"/>
      <c r="BI498" s="128"/>
      <c r="BJ498" s="128"/>
    </row>
    <row r="499" spans="1:62" ht="16.5" customHeight="1">
      <c r="A499" s="707"/>
      <c r="B499" s="707"/>
      <c r="C499" s="707"/>
      <c r="D499" s="707"/>
      <c r="E499" s="707"/>
      <c r="F499" s="743" t="s">
        <v>697</v>
      </c>
      <c r="G499" s="637"/>
      <c r="H499" s="637"/>
      <c r="I499" s="637"/>
      <c r="J499" s="637"/>
      <c r="K499" s="707"/>
      <c r="L499" s="707"/>
      <c r="M499" s="707"/>
      <c r="N499" s="140"/>
      <c r="O499" s="140"/>
      <c r="P499" s="707"/>
      <c r="Q499" s="707"/>
      <c r="R499" s="707"/>
      <c r="S499" s="707"/>
      <c r="T499" s="707"/>
      <c r="U499" s="730">
        <f>48</f>
        <v>48</v>
      </c>
      <c r="V499" s="707"/>
      <c r="W499" s="171" t="s">
        <v>357</v>
      </c>
      <c r="X499" s="730">
        <v>206010</v>
      </c>
      <c r="Y499" s="707"/>
      <c r="Z499" s="707"/>
      <c r="AA499" s="707"/>
      <c r="AB499" s="171" t="s">
        <v>357</v>
      </c>
      <c r="AC499" s="730">
        <f>VLOOKUP('Veri Girişi'!$E$73,TABLOLAR!$I$60:$S$65,4,0)</f>
        <v>598300</v>
      </c>
      <c r="AD499" s="707"/>
      <c r="AE499" s="707"/>
      <c r="AF499" s="707"/>
      <c r="AG499" s="707"/>
      <c r="AH499" s="707"/>
      <c r="AI499" s="707"/>
      <c r="AJ499" s="707"/>
      <c r="AK499" s="707"/>
      <c r="AL499" s="707"/>
      <c r="AM499" s="707"/>
      <c r="AN499" s="707"/>
      <c r="AO499" s="130"/>
      <c r="AP499" s="130"/>
      <c r="AQ499" s="726"/>
      <c r="AR499" s="724"/>
      <c r="AS499" s="724"/>
      <c r="AT499" s="724"/>
      <c r="AU499" s="724"/>
      <c r="AV499" s="724"/>
      <c r="AW499" s="724"/>
      <c r="AX499" s="724"/>
      <c r="AY499" s="724"/>
      <c r="AZ499" s="727"/>
      <c r="BA499" s="130"/>
      <c r="BB499" s="130"/>
      <c r="BC499" s="130"/>
      <c r="BD499" s="130"/>
      <c r="BE499" s="130"/>
      <c r="BF499" s="128"/>
      <c r="BG499" s="128"/>
      <c r="BH499" s="128"/>
      <c r="BI499" s="128"/>
      <c r="BJ499" s="128"/>
    </row>
    <row r="500" spans="1:62" ht="4.5" customHeight="1">
      <c r="A500" s="146"/>
      <c r="B500" s="140"/>
      <c r="C500" s="140"/>
      <c r="D500" s="146"/>
      <c r="E500" s="140"/>
      <c r="F500" s="140"/>
      <c r="G500" s="174"/>
      <c r="H500" s="174"/>
      <c r="I500" s="174"/>
      <c r="J500" s="140"/>
      <c r="K500" s="140"/>
      <c r="L500" s="140"/>
      <c r="M500" s="140"/>
      <c r="N500" s="140"/>
      <c r="O500" s="140"/>
      <c r="P500" s="140"/>
      <c r="Q500" s="140"/>
      <c r="R500" s="140"/>
      <c r="S500" s="174"/>
      <c r="T500" s="174"/>
      <c r="U500" s="174"/>
      <c r="V500" s="174"/>
      <c r="W500" s="174"/>
      <c r="X500" s="174"/>
      <c r="Y500" s="140"/>
      <c r="Z500" s="130"/>
      <c r="AA500" s="130"/>
      <c r="AB500" s="130"/>
      <c r="AC500" s="130"/>
      <c r="AD500" s="130"/>
      <c r="AE500" s="130"/>
      <c r="AF500" s="130"/>
      <c r="AG500" s="130"/>
      <c r="AH500" s="130"/>
      <c r="AI500" s="130"/>
      <c r="AJ500" s="128"/>
      <c r="AK500" s="128"/>
      <c r="AL500" s="128"/>
      <c r="AM500" s="128"/>
      <c r="AN500" s="128"/>
      <c r="AO500" s="130"/>
      <c r="AP500" s="130"/>
      <c r="AQ500" s="130"/>
      <c r="AR500" s="130"/>
      <c r="AS500" s="130"/>
      <c r="AT500" s="130"/>
      <c r="AU500" s="130"/>
      <c r="AV500" s="130"/>
      <c r="AW500" s="130"/>
      <c r="AX500" s="128"/>
      <c r="AY500" s="130"/>
      <c r="AZ500" s="130"/>
      <c r="BA500" s="130"/>
      <c r="BB500" s="130"/>
      <c r="BC500" s="130"/>
      <c r="BD500" s="130"/>
      <c r="BE500" s="130"/>
      <c r="BF500" s="128"/>
      <c r="BG500" s="128"/>
      <c r="BH500" s="128"/>
      <c r="BI500" s="128"/>
      <c r="BJ500" s="128"/>
    </row>
    <row r="501" spans="1:62" ht="15" customHeight="1">
      <c r="A501" s="233" t="s">
        <v>708</v>
      </c>
      <c r="B501" s="140"/>
      <c r="C501" s="140"/>
      <c r="D501" s="146"/>
      <c r="E501" s="140"/>
      <c r="F501" s="140"/>
      <c r="G501" s="174"/>
      <c r="H501" s="174"/>
      <c r="I501" s="174"/>
      <c r="J501" s="140"/>
      <c r="K501" s="140"/>
      <c r="L501" s="140"/>
      <c r="M501" s="140"/>
      <c r="N501" s="140"/>
      <c r="O501" s="140"/>
      <c r="P501" s="140"/>
      <c r="Q501" s="140"/>
      <c r="R501" s="140"/>
      <c r="S501" s="174"/>
      <c r="T501" s="174"/>
      <c r="U501" s="174"/>
      <c r="V501" s="174"/>
      <c r="W501" s="174"/>
      <c r="X501" s="174"/>
      <c r="Y501" s="140"/>
      <c r="Z501" s="130"/>
      <c r="AA501" s="130"/>
      <c r="AB501" s="130"/>
      <c r="AC501" s="130"/>
      <c r="AD501" s="130"/>
      <c r="AE501" s="130"/>
      <c r="AF501" s="130"/>
      <c r="AG501" s="130"/>
      <c r="AH501" s="130"/>
      <c r="AI501" s="130"/>
      <c r="AJ501" s="128"/>
      <c r="AK501" s="128"/>
      <c r="AL501" s="128"/>
      <c r="AM501" s="128"/>
      <c r="AN501" s="128"/>
      <c r="AO501" s="130"/>
      <c r="AP501" s="130"/>
      <c r="AQ501" s="130"/>
      <c r="AR501" s="130"/>
      <c r="AS501" s="130"/>
      <c r="AT501" s="130"/>
      <c r="AU501" s="130"/>
      <c r="AV501" s="130"/>
      <c r="AW501" s="130"/>
      <c r="AX501" s="128"/>
      <c r="AY501" s="130"/>
      <c r="AZ501" s="130"/>
      <c r="BA501" s="130"/>
      <c r="BB501" s="130"/>
      <c r="BC501" s="130"/>
      <c r="BD501" s="130"/>
      <c r="BE501" s="130"/>
      <c r="BF501" s="128"/>
      <c r="BG501" s="128"/>
      <c r="BH501" s="128"/>
      <c r="BI501" s="128"/>
      <c r="BJ501" s="128"/>
    </row>
    <row r="502" spans="1:62" ht="4.5" customHeight="1">
      <c r="A502" s="146"/>
      <c r="B502" s="140"/>
      <c r="C502" s="140"/>
      <c r="D502" s="146"/>
      <c r="E502" s="140"/>
      <c r="F502" s="140"/>
      <c r="G502" s="174"/>
      <c r="H502" s="174"/>
      <c r="I502" s="174"/>
      <c r="J502" s="140"/>
      <c r="K502" s="140"/>
      <c r="L502" s="140"/>
      <c r="M502" s="140"/>
      <c r="N502" s="140"/>
      <c r="O502" s="140"/>
      <c r="P502" s="140"/>
      <c r="Q502" s="140"/>
      <c r="R502" s="140"/>
      <c r="S502" s="174"/>
      <c r="T502" s="174"/>
      <c r="U502" s="174"/>
      <c r="V502" s="174"/>
      <c r="W502" s="174"/>
      <c r="X502" s="174"/>
      <c r="Y502" s="140"/>
      <c r="Z502" s="130"/>
      <c r="AA502" s="130"/>
      <c r="AB502" s="130"/>
      <c r="AC502" s="130"/>
      <c r="AD502" s="130"/>
      <c r="AE502" s="130"/>
      <c r="AF502" s="130"/>
      <c r="AG502" s="130"/>
      <c r="AH502" s="130"/>
      <c r="AI502" s="130"/>
      <c r="AJ502" s="128"/>
      <c r="AK502" s="128"/>
      <c r="AL502" s="128"/>
      <c r="AM502" s="128"/>
      <c r="AN502" s="128"/>
      <c r="AO502" s="130"/>
      <c r="AP502" s="130"/>
      <c r="AQ502" s="130"/>
      <c r="AR502" s="130"/>
      <c r="AS502" s="130"/>
      <c r="AT502" s="130"/>
      <c r="AU502" s="130"/>
      <c r="AV502" s="130"/>
      <c r="AW502" s="130"/>
      <c r="AX502" s="128"/>
      <c r="AY502" s="130"/>
      <c r="AZ502" s="130"/>
      <c r="BA502" s="130"/>
      <c r="BB502" s="130"/>
      <c r="BC502" s="130"/>
      <c r="BD502" s="130"/>
      <c r="BE502" s="130"/>
      <c r="BF502" s="128"/>
      <c r="BG502" s="128"/>
      <c r="BH502" s="128"/>
      <c r="BI502" s="128"/>
      <c r="BJ502" s="128"/>
    </row>
    <row r="503" spans="1:62" ht="15" customHeight="1">
      <c r="A503" s="146" t="s">
        <v>652</v>
      </c>
      <c r="B503" s="140"/>
      <c r="C503" s="140"/>
      <c r="D503" s="146"/>
      <c r="E503" s="140"/>
      <c r="F503" s="140"/>
      <c r="G503" s="174"/>
      <c r="H503" s="174"/>
      <c r="I503" s="174"/>
      <c r="J503" s="140"/>
      <c r="K503" s="140"/>
      <c r="L503" s="140"/>
      <c r="M503" s="140"/>
      <c r="N503" s="140"/>
      <c r="O503" s="140"/>
      <c r="P503" s="140"/>
      <c r="Q503" s="140"/>
      <c r="R503" s="140"/>
      <c r="S503" s="174"/>
      <c r="T503" s="174"/>
      <c r="U503" s="174"/>
      <c r="V503" s="174"/>
      <c r="W503" s="174"/>
      <c r="X503" s="174"/>
      <c r="Y503" s="140"/>
      <c r="Z503" s="130"/>
      <c r="AA503" s="130"/>
      <c r="AB503" s="130"/>
      <c r="AC503" s="130"/>
      <c r="AD503" s="130"/>
      <c r="AE503" s="130"/>
      <c r="AF503" s="130"/>
      <c r="AG503" s="130"/>
      <c r="AH503" s="130"/>
      <c r="AI503" s="130"/>
      <c r="AJ503" s="128"/>
      <c r="AK503" s="128"/>
      <c r="AL503" s="128"/>
      <c r="AM503" s="128"/>
      <c r="AN503" s="128"/>
      <c r="AO503" s="130"/>
      <c r="AP503" s="130"/>
      <c r="AQ503" s="130"/>
      <c r="AR503" s="130"/>
      <c r="AS503" s="130"/>
      <c r="AT503" s="130"/>
      <c r="AU503" s="130"/>
      <c r="AV503" s="130"/>
      <c r="AW503" s="130"/>
      <c r="AX503" s="128"/>
      <c r="AY503" s="130"/>
      <c r="AZ503" s="130"/>
      <c r="BA503" s="130"/>
      <c r="BB503" s="130"/>
      <c r="BC503" s="130"/>
      <c r="BD503" s="130"/>
      <c r="BE503" s="130"/>
      <c r="BF503" s="128"/>
      <c r="BG503" s="128"/>
      <c r="BH503" s="128"/>
      <c r="BI503" s="128"/>
      <c r="BJ503" s="128"/>
    </row>
    <row r="504" spans="1:62" ht="4.5" customHeight="1">
      <c r="A504" s="146"/>
      <c r="B504" s="140"/>
      <c r="C504" s="140"/>
      <c r="D504" s="146"/>
      <c r="E504" s="140"/>
      <c r="F504" s="140"/>
      <c r="G504" s="174"/>
      <c r="H504" s="174"/>
      <c r="I504" s="174"/>
      <c r="J504" s="140"/>
      <c r="K504" s="140"/>
      <c r="L504" s="140"/>
      <c r="M504" s="140"/>
      <c r="N504" s="140"/>
      <c r="O504" s="140"/>
      <c r="P504" s="140"/>
      <c r="Q504" s="140"/>
      <c r="R504" s="140"/>
      <c r="S504" s="174"/>
      <c r="T504" s="174"/>
      <c r="U504" s="174"/>
      <c r="V504" s="174"/>
      <c r="W504" s="174"/>
      <c r="X504" s="174"/>
      <c r="Y504" s="140"/>
      <c r="Z504" s="130"/>
      <c r="AA504" s="130"/>
      <c r="AB504" s="130"/>
      <c r="AC504" s="130"/>
      <c r="AD504" s="130"/>
      <c r="AE504" s="130"/>
      <c r="AF504" s="130"/>
      <c r="AG504" s="130"/>
      <c r="AH504" s="130"/>
      <c r="AI504" s="130"/>
      <c r="AJ504" s="128"/>
      <c r="AK504" s="128"/>
      <c r="AL504" s="128"/>
      <c r="AM504" s="128"/>
      <c r="AN504" s="128"/>
      <c r="AO504" s="130"/>
      <c r="AP504" s="130"/>
      <c r="AQ504" s="130"/>
      <c r="AR504" s="130"/>
      <c r="AS504" s="130"/>
      <c r="AT504" s="130"/>
      <c r="AU504" s="130"/>
      <c r="AV504" s="130"/>
      <c r="AW504" s="130"/>
      <c r="AX504" s="128"/>
      <c r="AY504" s="130"/>
      <c r="AZ504" s="130"/>
      <c r="BA504" s="130"/>
      <c r="BB504" s="130"/>
      <c r="BC504" s="130"/>
      <c r="BD504" s="130"/>
      <c r="BE504" s="130"/>
      <c r="BF504" s="128"/>
      <c r="BG504" s="128"/>
      <c r="BH504" s="128"/>
      <c r="BI504" s="128"/>
      <c r="BJ504" s="128"/>
    </row>
    <row r="505" spans="1:62" ht="15" customHeight="1">
      <c r="A505" s="721" t="s">
        <v>654</v>
      </c>
      <c r="B505" s="707"/>
      <c r="C505" s="751" t="s">
        <v>709</v>
      </c>
      <c r="D505" s="724"/>
      <c r="E505" s="724"/>
      <c r="F505" s="724"/>
      <c r="G505" s="724"/>
      <c r="H505" s="724"/>
      <c r="I505" s="724"/>
      <c r="J505" s="724"/>
      <c r="K505" s="724"/>
      <c r="L505" s="724"/>
      <c r="M505" s="724"/>
      <c r="N505" s="724"/>
      <c r="O505" s="724"/>
      <c r="P505" s="724"/>
      <c r="Q505" s="140"/>
      <c r="R505" s="140"/>
      <c r="S505" s="721" t="s">
        <v>654</v>
      </c>
      <c r="T505" s="707"/>
      <c r="U505" s="751">
        <v>9.81</v>
      </c>
      <c r="V505" s="724"/>
      <c r="W505" s="724"/>
      <c r="X505" s="234" t="s">
        <v>357</v>
      </c>
      <c r="Y505" s="732">
        <f>'Veri Girişi'!C75</f>
        <v>700</v>
      </c>
      <c r="Z505" s="724"/>
      <c r="AA505" s="724"/>
      <c r="AB505" s="235" t="s">
        <v>357</v>
      </c>
      <c r="AC505" s="235" t="s">
        <v>413</v>
      </c>
      <c r="AD505" s="768">
        <f>AH295</f>
        <v>77.678571428571431</v>
      </c>
      <c r="AE505" s="724"/>
      <c r="AF505" s="235" t="s">
        <v>317</v>
      </c>
      <c r="AG505" s="768">
        <f>AH297</f>
        <v>0</v>
      </c>
      <c r="AH505" s="724"/>
      <c r="AI505" s="235" t="s">
        <v>414</v>
      </c>
      <c r="AJ505" s="217" t="s">
        <v>316</v>
      </c>
      <c r="AK505" s="738">
        <f>AH303</f>
        <v>3139.2000000000003</v>
      </c>
      <c r="AL505" s="724"/>
      <c r="AM505" s="724"/>
      <c r="AN505" s="724"/>
      <c r="AO505" s="235" t="s">
        <v>357</v>
      </c>
      <c r="AP505" s="235" t="s">
        <v>413</v>
      </c>
      <c r="AQ505" s="768">
        <f>AH299</f>
        <v>650</v>
      </c>
      <c r="AR505" s="724"/>
      <c r="AS505" s="235" t="s">
        <v>317</v>
      </c>
      <c r="AT505" s="768">
        <f>AH297</f>
        <v>0</v>
      </c>
      <c r="AU505" s="724"/>
      <c r="AV505" s="235" t="s">
        <v>414</v>
      </c>
      <c r="AW505" s="130"/>
      <c r="AX505" s="128"/>
      <c r="AY505" s="130"/>
      <c r="AZ505" s="130"/>
      <c r="BA505" s="130"/>
      <c r="BB505" s="130"/>
      <c r="BC505" s="130"/>
      <c r="BD505" s="130"/>
      <c r="BE505" s="130"/>
      <c r="BF505" s="128"/>
      <c r="BG505" s="128"/>
      <c r="BH505" s="128"/>
      <c r="BI505" s="128"/>
      <c r="BJ505" s="128"/>
    </row>
    <row r="506" spans="1:62" ht="15" customHeight="1">
      <c r="A506" s="707"/>
      <c r="B506" s="707"/>
      <c r="C506" s="742" t="s">
        <v>656</v>
      </c>
      <c r="D506" s="637"/>
      <c r="E506" s="637"/>
      <c r="F506" s="637"/>
      <c r="G506" s="637"/>
      <c r="H506" s="637"/>
      <c r="I506" s="637"/>
      <c r="J506" s="637"/>
      <c r="K506" s="637"/>
      <c r="L506" s="637"/>
      <c r="M506" s="637"/>
      <c r="N506" s="637"/>
      <c r="O506" s="637"/>
      <c r="P506" s="637"/>
      <c r="Q506" s="140"/>
      <c r="R506" s="140"/>
      <c r="S506" s="707"/>
      <c r="T506" s="707"/>
      <c r="U506" s="174"/>
      <c r="V506" s="174"/>
      <c r="W506" s="174"/>
      <c r="X506" s="174"/>
      <c r="Y506" s="140"/>
      <c r="Z506" s="130"/>
      <c r="AA506" s="130"/>
      <c r="AB506" s="130"/>
      <c r="AC506" s="130"/>
      <c r="AD506" s="779">
        <f>'Veri Girişi'!B115</f>
        <v>2</v>
      </c>
      <c r="AE506" s="637"/>
      <c r="AF506" s="130" t="s">
        <v>357</v>
      </c>
      <c r="AG506" s="783">
        <f>AH289</f>
        <v>3400</v>
      </c>
      <c r="AH506" s="637"/>
      <c r="AI506" s="637"/>
      <c r="AJ506" s="128"/>
      <c r="AK506" s="128"/>
      <c r="AL506" s="128"/>
      <c r="AM506" s="128"/>
      <c r="AN506" s="128"/>
      <c r="AO506" s="130"/>
      <c r="AP506" s="130"/>
      <c r="AQ506" s="130"/>
      <c r="AR506" s="130"/>
      <c r="AS506" s="130"/>
      <c r="AT506" s="130"/>
      <c r="AU506" s="130"/>
      <c r="AV506" s="130"/>
      <c r="AW506" s="130"/>
      <c r="AX506" s="128"/>
      <c r="AY506" s="130"/>
      <c r="AZ506" s="130"/>
      <c r="BA506" s="130"/>
      <c r="BB506" s="130"/>
      <c r="BC506" s="130"/>
      <c r="BD506" s="130"/>
      <c r="BE506" s="130"/>
      <c r="BF506" s="128"/>
      <c r="BG506" s="128"/>
      <c r="BH506" s="128"/>
      <c r="BI506" s="128"/>
      <c r="BJ506" s="128"/>
    </row>
    <row r="507" spans="1:62" ht="4.5" customHeight="1">
      <c r="A507" s="146"/>
      <c r="B507" s="140"/>
      <c r="C507" s="140"/>
      <c r="D507" s="146"/>
      <c r="E507" s="140"/>
      <c r="F507" s="140"/>
      <c r="G507" s="174"/>
      <c r="H507" s="174"/>
      <c r="I507" s="174"/>
      <c r="J507" s="140"/>
      <c r="K507" s="140"/>
      <c r="L507" s="140"/>
      <c r="M507" s="140"/>
      <c r="N507" s="140"/>
      <c r="O507" s="140"/>
      <c r="P507" s="140"/>
      <c r="Q507" s="140"/>
      <c r="R507" s="140"/>
      <c r="S507" s="174"/>
      <c r="T507" s="174"/>
      <c r="U507" s="174"/>
      <c r="V507" s="174"/>
      <c r="W507" s="174"/>
      <c r="X507" s="174"/>
      <c r="Y507" s="140"/>
      <c r="Z507" s="130"/>
      <c r="AA507" s="130"/>
      <c r="AB507" s="130"/>
      <c r="AC507" s="130"/>
      <c r="AD507" s="130"/>
      <c r="AE507" s="130"/>
      <c r="AF507" s="130"/>
      <c r="AG507" s="130"/>
      <c r="AH507" s="130"/>
      <c r="AI507" s="130"/>
      <c r="AJ507" s="128"/>
      <c r="AK507" s="128"/>
      <c r="AL507" s="128"/>
      <c r="AM507" s="128"/>
      <c r="AN507" s="128"/>
      <c r="AO507" s="130"/>
      <c r="AP507" s="130"/>
      <c r="AQ507" s="130"/>
      <c r="AR507" s="130"/>
      <c r="AS507" s="130"/>
      <c r="AT507" s="130"/>
      <c r="AU507" s="130"/>
      <c r="AV507" s="130"/>
      <c r="AW507" s="130"/>
      <c r="AX507" s="128"/>
      <c r="AY507" s="130"/>
      <c r="AZ507" s="130"/>
      <c r="BA507" s="130"/>
      <c r="BB507" s="130"/>
      <c r="BC507" s="130"/>
      <c r="BD507" s="130"/>
      <c r="BE507" s="130"/>
      <c r="BF507" s="128"/>
      <c r="BG507" s="128"/>
      <c r="BH507" s="128"/>
      <c r="BI507" s="128"/>
      <c r="BJ507" s="128"/>
    </row>
    <row r="508" spans="1:62" ht="15" customHeight="1">
      <c r="A508" s="721" t="s">
        <v>654</v>
      </c>
      <c r="B508" s="707"/>
      <c r="C508" s="751">
        <f>(U505*Y505*(AD505-AG505))+AK505*(AQ505-AT505)</f>
        <v>2573898.75</v>
      </c>
      <c r="D508" s="724"/>
      <c r="E508" s="724"/>
      <c r="F508" s="724"/>
      <c r="G508" s="724"/>
      <c r="H508" s="174"/>
      <c r="I508" s="174"/>
      <c r="J508" s="721" t="s">
        <v>654</v>
      </c>
      <c r="K508" s="707"/>
      <c r="L508" s="838">
        <f>C508/C509</f>
        <v>378.5145220588235</v>
      </c>
      <c r="M508" s="707"/>
      <c r="N508" s="707"/>
      <c r="O508" s="707"/>
      <c r="P508" s="735" t="s">
        <v>374</v>
      </c>
      <c r="Q508" s="707"/>
      <c r="R508" s="140"/>
      <c r="S508" s="174"/>
      <c r="T508" s="174"/>
      <c r="U508" s="174"/>
      <c r="V508" s="174"/>
      <c r="W508" s="174"/>
      <c r="X508" s="174"/>
      <c r="Y508" s="140"/>
      <c r="Z508" s="130"/>
      <c r="AA508" s="130"/>
      <c r="AB508" s="130"/>
      <c r="AC508" s="130"/>
      <c r="AD508" s="130"/>
      <c r="AE508" s="130"/>
      <c r="AF508" s="130"/>
      <c r="AG508" s="130"/>
      <c r="AH508" s="130"/>
      <c r="AI508" s="130"/>
      <c r="AJ508" s="128"/>
      <c r="AK508" s="128"/>
      <c r="AL508" s="128"/>
      <c r="AM508" s="128"/>
      <c r="AN508" s="128"/>
      <c r="AO508" s="130"/>
      <c r="AP508" s="130"/>
      <c r="AQ508" s="130"/>
      <c r="AR508" s="130"/>
      <c r="AS508" s="130"/>
      <c r="AT508" s="130"/>
      <c r="AU508" s="130"/>
      <c r="AV508" s="130"/>
      <c r="AW508" s="130"/>
      <c r="AX508" s="128"/>
      <c r="AY508" s="130"/>
      <c r="AZ508" s="130"/>
      <c r="BA508" s="130"/>
      <c r="BB508" s="130"/>
      <c r="BC508" s="130"/>
      <c r="BD508" s="130"/>
      <c r="BE508" s="130"/>
      <c r="BF508" s="128"/>
      <c r="BG508" s="128"/>
      <c r="BH508" s="128"/>
      <c r="BI508" s="128"/>
      <c r="BJ508" s="128"/>
    </row>
    <row r="509" spans="1:62" ht="15" customHeight="1">
      <c r="A509" s="707"/>
      <c r="B509" s="707"/>
      <c r="C509" s="742">
        <f>AD506*AG506</f>
        <v>6800</v>
      </c>
      <c r="D509" s="637"/>
      <c r="E509" s="637"/>
      <c r="F509" s="637"/>
      <c r="G509" s="637"/>
      <c r="H509" s="174"/>
      <c r="I509" s="174"/>
      <c r="J509" s="707"/>
      <c r="K509" s="707"/>
      <c r="L509" s="707"/>
      <c r="M509" s="707"/>
      <c r="N509" s="707"/>
      <c r="O509" s="707"/>
      <c r="P509" s="707"/>
      <c r="Q509" s="707"/>
      <c r="R509" s="140"/>
      <c r="S509" s="174"/>
      <c r="T509" s="174"/>
      <c r="U509" s="174"/>
      <c r="V509" s="174"/>
      <c r="W509" s="174"/>
      <c r="X509" s="174"/>
      <c r="Y509" s="140"/>
      <c r="Z509" s="130"/>
      <c r="AA509" s="130"/>
      <c r="AB509" s="130"/>
      <c r="AC509" s="130"/>
      <c r="AD509" s="130"/>
      <c r="AE509" s="130"/>
      <c r="AF509" s="130"/>
      <c r="AG509" s="130"/>
      <c r="AH509" s="130"/>
      <c r="AI509" s="130"/>
      <c r="AJ509" s="128"/>
      <c r="AK509" s="128"/>
      <c r="AL509" s="128"/>
      <c r="AM509" s="128"/>
      <c r="AN509" s="128"/>
      <c r="AO509" s="130"/>
      <c r="AP509" s="130"/>
      <c r="AQ509" s="130"/>
      <c r="AR509" s="130"/>
      <c r="AS509" s="130"/>
      <c r="AT509" s="130"/>
      <c r="AU509" s="130"/>
      <c r="AV509" s="130"/>
      <c r="AW509" s="130"/>
      <c r="AX509" s="128"/>
      <c r="AY509" s="130"/>
      <c r="AZ509" s="130"/>
      <c r="BA509" s="130"/>
      <c r="BB509" s="130"/>
      <c r="BC509" s="130"/>
      <c r="BD509" s="130"/>
      <c r="BE509" s="130"/>
      <c r="BF509" s="128"/>
      <c r="BG509" s="128"/>
      <c r="BH509" s="128"/>
      <c r="BI509" s="128"/>
      <c r="BJ509" s="128"/>
    </row>
    <row r="510" spans="1:62" ht="4.5" customHeight="1">
      <c r="A510" s="146"/>
      <c r="B510" s="140"/>
      <c r="C510" s="140"/>
      <c r="D510" s="146"/>
      <c r="E510" s="140"/>
      <c r="F510" s="140"/>
      <c r="G510" s="174"/>
      <c r="H510" s="174"/>
      <c r="I510" s="174"/>
      <c r="J510" s="140"/>
      <c r="K510" s="140"/>
      <c r="L510" s="140"/>
      <c r="M510" s="140"/>
      <c r="N510" s="140"/>
      <c r="O510" s="140"/>
      <c r="P510" s="140"/>
      <c r="Q510" s="140"/>
      <c r="R510" s="140"/>
      <c r="S510" s="174"/>
      <c r="T510" s="174"/>
      <c r="U510" s="174"/>
      <c r="V510" s="174"/>
      <c r="W510" s="174"/>
      <c r="X510" s="174"/>
      <c r="Y510" s="140"/>
      <c r="Z510" s="130"/>
      <c r="AA510" s="130"/>
      <c r="AB510" s="130"/>
      <c r="AC510" s="130"/>
      <c r="AD510" s="130"/>
      <c r="AE510" s="130"/>
      <c r="AF510" s="130"/>
      <c r="AG510" s="130"/>
      <c r="AH510" s="130"/>
      <c r="AI510" s="130"/>
      <c r="AJ510" s="128"/>
      <c r="AK510" s="128"/>
      <c r="AL510" s="128"/>
      <c r="AM510" s="128"/>
      <c r="AN510" s="128"/>
      <c r="AO510" s="130"/>
      <c r="AP510" s="130"/>
      <c r="AQ510" s="130"/>
      <c r="AR510" s="130"/>
      <c r="AS510" s="130"/>
      <c r="AT510" s="130"/>
      <c r="AU510" s="130"/>
      <c r="AV510" s="130"/>
      <c r="AW510" s="130"/>
      <c r="AX510" s="128"/>
      <c r="AY510" s="130"/>
      <c r="AZ510" s="130"/>
      <c r="BA510" s="130"/>
      <c r="BB510" s="130"/>
      <c r="BC510" s="130"/>
      <c r="BD510" s="130"/>
      <c r="BE510" s="130"/>
      <c r="BF510" s="128"/>
      <c r="BG510" s="128"/>
      <c r="BH510" s="128"/>
      <c r="BI510" s="128"/>
      <c r="BJ510" s="128"/>
    </row>
    <row r="511" spans="1:62" ht="15" customHeight="1">
      <c r="A511" s="722" t="s">
        <v>657</v>
      </c>
      <c r="B511" s="707"/>
      <c r="C511" s="735" t="s">
        <v>262</v>
      </c>
      <c r="D511" s="738" t="s">
        <v>658</v>
      </c>
      <c r="E511" s="724"/>
      <c r="F511" s="724"/>
      <c r="G511" s="724"/>
      <c r="H511" s="174"/>
      <c r="I511" s="174"/>
      <c r="J511" s="721" t="s">
        <v>657</v>
      </c>
      <c r="K511" s="707"/>
      <c r="L511" s="735" t="s">
        <v>262</v>
      </c>
      <c r="M511" s="206">
        <v>3</v>
      </c>
      <c r="N511" s="206" t="s">
        <v>357</v>
      </c>
      <c r="O511" s="723">
        <f>L508</f>
        <v>378.5145220588235</v>
      </c>
      <c r="P511" s="724"/>
      <c r="Q511" s="724"/>
      <c r="R511" s="724"/>
      <c r="S511" s="234" t="s">
        <v>357</v>
      </c>
      <c r="T511" s="751">
        <f>'Veri Girişi'!$B$111</f>
        <v>3000</v>
      </c>
      <c r="U511" s="724"/>
      <c r="V511" s="724"/>
      <c r="W511" s="174"/>
      <c r="X511" s="174"/>
      <c r="Y511" s="721" t="s">
        <v>657</v>
      </c>
      <c r="Z511" s="707"/>
      <c r="AA511" s="735" t="s">
        <v>262</v>
      </c>
      <c r="AB511" s="721">
        <f>M511*O511*T511/M512</f>
        <v>212914.41865808822</v>
      </c>
      <c r="AC511" s="707"/>
      <c r="AD511" s="707"/>
      <c r="AE511" s="707"/>
      <c r="AF511" s="721" t="s">
        <v>428</v>
      </c>
      <c r="AG511" s="707"/>
      <c r="AH511" s="707"/>
      <c r="AI511" s="164"/>
      <c r="AJ511" s="146"/>
      <c r="AK511" s="729" t="s">
        <v>659</v>
      </c>
      <c r="AL511" s="707"/>
      <c r="AM511" s="721" t="s">
        <v>262</v>
      </c>
      <c r="AN511" s="738" t="s">
        <v>657</v>
      </c>
      <c r="AO511" s="724"/>
      <c r="AP511" s="144"/>
      <c r="AQ511" s="144"/>
      <c r="AR511" s="729" t="s">
        <v>659</v>
      </c>
      <c r="AS511" s="707"/>
      <c r="AT511" s="721" t="s">
        <v>262</v>
      </c>
      <c r="AU511" s="721">
        <f>AB511/VLOOKUP('Veri Girişi'!$E$73,TABLOLAR!$I$60:$S$65,7,0)</f>
        <v>18.074229088122941</v>
      </c>
      <c r="AV511" s="707"/>
      <c r="AW511" s="707"/>
      <c r="AX511" s="730" t="s">
        <v>406</v>
      </c>
      <c r="AY511" s="707"/>
      <c r="AZ511" s="707"/>
      <c r="BA511" s="707"/>
      <c r="BB511" s="707"/>
      <c r="BC511" s="130"/>
      <c r="BD511" s="130"/>
      <c r="BE511" s="130"/>
      <c r="BF511" s="128"/>
      <c r="BG511" s="128"/>
      <c r="BH511" s="128"/>
      <c r="BI511" s="128"/>
      <c r="BJ511" s="128"/>
    </row>
    <row r="512" spans="1:62" ht="15" customHeight="1">
      <c r="A512" s="707"/>
      <c r="B512" s="707"/>
      <c r="C512" s="707"/>
      <c r="D512" s="753">
        <v>16</v>
      </c>
      <c r="E512" s="637"/>
      <c r="F512" s="637"/>
      <c r="G512" s="637"/>
      <c r="H512" s="174"/>
      <c r="I512" s="174"/>
      <c r="J512" s="707"/>
      <c r="K512" s="707"/>
      <c r="L512" s="707"/>
      <c r="M512" s="742">
        <v>16</v>
      </c>
      <c r="N512" s="637"/>
      <c r="O512" s="637"/>
      <c r="P512" s="637"/>
      <c r="Q512" s="637"/>
      <c r="R512" s="637"/>
      <c r="S512" s="637"/>
      <c r="T512" s="637"/>
      <c r="U512" s="637"/>
      <c r="V512" s="637"/>
      <c r="W512" s="174"/>
      <c r="X512" s="174"/>
      <c r="Y512" s="707"/>
      <c r="Z512" s="707"/>
      <c r="AA512" s="707"/>
      <c r="AB512" s="707"/>
      <c r="AC512" s="707"/>
      <c r="AD512" s="707"/>
      <c r="AE512" s="707"/>
      <c r="AF512" s="707"/>
      <c r="AG512" s="707"/>
      <c r="AH512" s="707"/>
      <c r="AI512" s="164"/>
      <c r="AJ512" s="146"/>
      <c r="AK512" s="707"/>
      <c r="AL512" s="707"/>
      <c r="AM512" s="707"/>
      <c r="AN512" s="753" t="s">
        <v>660</v>
      </c>
      <c r="AO512" s="637"/>
      <c r="AP512" s="144"/>
      <c r="AQ512" s="144"/>
      <c r="AR512" s="707"/>
      <c r="AS512" s="707"/>
      <c r="AT512" s="707"/>
      <c r="AU512" s="707"/>
      <c r="AV512" s="707"/>
      <c r="AW512" s="707"/>
      <c r="AX512" s="707"/>
      <c r="AY512" s="707"/>
      <c r="AZ512" s="707"/>
      <c r="BA512" s="707"/>
      <c r="BB512" s="707"/>
      <c r="BC512" s="130"/>
      <c r="BD512" s="130"/>
      <c r="BE512" s="130"/>
      <c r="BF512" s="128"/>
      <c r="BG512" s="128"/>
      <c r="BH512" s="128"/>
      <c r="BI512" s="128"/>
      <c r="BJ512" s="128"/>
    </row>
    <row r="513" spans="1:62" ht="4.5" customHeight="1">
      <c r="A513" s="146"/>
      <c r="B513" s="140"/>
      <c r="C513" s="140"/>
      <c r="D513" s="146"/>
      <c r="E513" s="140"/>
      <c r="F513" s="140"/>
      <c r="G513" s="174"/>
      <c r="H513" s="174"/>
      <c r="I513" s="174"/>
      <c r="J513" s="140"/>
      <c r="K513" s="140"/>
      <c r="L513" s="140"/>
      <c r="M513" s="140"/>
      <c r="N513" s="140"/>
      <c r="O513" s="140"/>
      <c r="P513" s="140"/>
      <c r="Q513" s="140"/>
      <c r="R513" s="140"/>
      <c r="S513" s="174"/>
      <c r="T513" s="174"/>
      <c r="U513" s="174"/>
      <c r="V513" s="174"/>
      <c r="W513" s="174"/>
      <c r="X513" s="174"/>
      <c r="Y513" s="140"/>
      <c r="Z513" s="130"/>
      <c r="AA513" s="130"/>
      <c r="AB513" s="130"/>
      <c r="AC513" s="130"/>
      <c r="AD513" s="130"/>
      <c r="AE513" s="130"/>
      <c r="AF513" s="130"/>
      <c r="AG513" s="130"/>
      <c r="AH513" s="130"/>
      <c r="AI513" s="130"/>
      <c r="AJ513" s="128"/>
      <c r="AK513" s="128"/>
      <c r="AL513" s="128"/>
      <c r="AM513" s="128"/>
      <c r="AN513" s="128"/>
      <c r="AO513" s="130"/>
      <c r="AP513" s="130"/>
      <c r="AQ513" s="130"/>
      <c r="AR513" s="130"/>
      <c r="AS513" s="130"/>
      <c r="AT513" s="130"/>
      <c r="AU513" s="130"/>
      <c r="AV513" s="130"/>
      <c r="AW513" s="130"/>
      <c r="AX513" s="128"/>
      <c r="AY513" s="130"/>
      <c r="AZ513" s="130"/>
      <c r="BA513" s="130"/>
      <c r="BB513" s="130"/>
      <c r="BC513" s="130"/>
      <c r="BD513" s="130"/>
      <c r="BE513" s="130"/>
      <c r="BF513" s="128"/>
      <c r="BG513" s="128"/>
      <c r="BH513" s="128"/>
      <c r="BI513" s="128"/>
      <c r="BJ513" s="128"/>
    </row>
    <row r="514" spans="1:62" ht="15" customHeight="1">
      <c r="A514" s="721" t="s">
        <v>661</v>
      </c>
      <c r="B514" s="707"/>
      <c r="C514" s="751" t="s">
        <v>710</v>
      </c>
      <c r="D514" s="724"/>
      <c r="E514" s="724"/>
      <c r="F514" s="724"/>
      <c r="G514" s="724"/>
      <c r="H514" s="724"/>
      <c r="I514" s="724"/>
      <c r="J514" s="724"/>
      <c r="K514" s="724"/>
      <c r="L514" s="724"/>
      <c r="M514" s="724"/>
      <c r="N514" s="724"/>
      <c r="O514" s="724"/>
      <c r="P514" s="724"/>
      <c r="Q514" s="140"/>
      <c r="R514" s="140"/>
      <c r="S514" s="721" t="s">
        <v>661</v>
      </c>
      <c r="T514" s="707"/>
      <c r="U514" s="751">
        <v>9.81</v>
      </c>
      <c r="V514" s="724"/>
      <c r="W514" s="724"/>
      <c r="X514" s="234" t="s">
        <v>357</v>
      </c>
      <c r="Y514" s="732">
        <f>'Veri Girişi'!C75</f>
        <v>700</v>
      </c>
      <c r="Z514" s="724"/>
      <c r="AA514" s="724"/>
      <c r="AB514" s="235" t="s">
        <v>357</v>
      </c>
      <c r="AC514" s="235" t="s">
        <v>413</v>
      </c>
      <c r="AD514" s="768">
        <f>AH296</f>
        <v>0</v>
      </c>
      <c r="AE514" s="724"/>
      <c r="AF514" s="235" t="s">
        <v>317</v>
      </c>
      <c r="AG514" s="768">
        <f>AH298</f>
        <v>0</v>
      </c>
      <c r="AH514" s="724"/>
      <c r="AI514" s="235" t="s">
        <v>414</v>
      </c>
      <c r="AJ514" s="217" t="s">
        <v>316</v>
      </c>
      <c r="AK514" s="738">
        <f>AH303</f>
        <v>3139.2000000000003</v>
      </c>
      <c r="AL514" s="724"/>
      <c r="AM514" s="724"/>
      <c r="AN514" s="724"/>
      <c r="AO514" s="235" t="s">
        <v>357</v>
      </c>
      <c r="AP514" s="235" t="s">
        <v>413</v>
      </c>
      <c r="AQ514" s="768">
        <f>AH300</f>
        <v>0</v>
      </c>
      <c r="AR514" s="724"/>
      <c r="AS514" s="235" t="s">
        <v>317</v>
      </c>
      <c r="AT514" s="768">
        <f>AH298</f>
        <v>0</v>
      </c>
      <c r="AU514" s="724"/>
      <c r="AV514" s="235" t="s">
        <v>414</v>
      </c>
      <c r="AW514" s="130"/>
      <c r="AX514" s="128"/>
      <c r="AY514" s="130"/>
      <c r="AZ514" s="130"/>
      <c r="BA514" s="130"/>
      <c r="BB514" s="130"/>
      <c r="BC514" s="130"/>
      <c r="BD514" s="130"/>
      <c r="BE514" s="130"/>
      <c r="BF514" s="128"/>
      <c r="BG514" s="128"/>
      <c r="BH514" s="128"/>
      <c r="BI514" s="128"/>
      <c r="BJ514" s="128"/>
    </row>
    <row r="515" spans="1:62" ht="15" customHeight="1">
      <c r="A515" s="707"/>
      <c r="B515" s="707"/>
      <c r="C515" s="742" t="s">
        <v>703</v>
      </c>
      <c r="D515" s="637"/>
      <c r="E515" s="637"/>
      <c r="F515" s="637"/>
      <c r="G515" s="637"/>
      <c r="H515" s="637"/>
      <c r="I515" s="637"/>
      <c r="J515" s="637"/>
      <c r="K515" s="637"/>
      <c r="L515" s="637"/>
      <c r="M515" s="637"/>
      <c r="N515" s="637"/>
      <c r="O515" s="637"/>
      <c r="P515" s="637"/>
      <c r="Q515" s="140"/>
      <c r="R515" s="140"/>
      <c r="S515" s="707"/>
      <c r="T515" s="707"/>
      <c r="U515" s="174"/>
      <c r="V515" s="174"/>
      <c r="W515" s="174"/>
      <c r="X515" s="174"/>
      <c r="Y515" s="140"/>
      <c r="Z515" s="130"/>
      <c r="AA515" s="130"/>
      <c r="AB515" s="130"/>
      <c r="AC515" s="130"/>
      <c r="AD515" s="779">
        <f>'Veri Girişi'!B115</f>
        <v>2</v>
      </c>
      <c r="AE515" s="637"/>
      <c r="AF515" s="130" t="s">
        <v>357</v>
      </c>
      <c r="AG515" s="783">
        <f>AH289</f>
        <v>3400</v>
      </c>
      <c r="AH515" s="637"/>
      <c r="AI515" s="637"/>
      <c r="AJ515" s="128"/>
      <c r="AK515" s="128"/>
      <c r="AL515" s="128"/>
      <c r="AM515" s="128"/>
      <c r="AN515" s="128"/>
      <c r="AO515" s="130"/>
      <c r="AP515" s="130"/>
      <c r="AQ515" s="130"/>
      <c r="AR515" s="130"/>
      <c r="AS515" s="130"/>
      <c r="AT515" s="130"/>
      <c r="AU515" s="130"/>
      <c r="AV515" s="130"/>
      <c r="AW515" s="130"/>
      <c r="AX515" s="128"/>
      <c r="AY515" s="130"/>
      <c r="AZ515" s="130"/>
      <c r="BA515" s="130"/>
      <c r="BB515" s="130"/>
      <c r="BC515" s="130"/>
      <c r="BD515" s="130"/>
      <c r="BE515" s="130"/>
      <c r="BF515" s="128"/>
      <c r="BG515" s="128"/>
      <c r="BH515" s="128"/>
      <c r="BI515" s="128"/>
      <c r="BJ515" s="128"/>
    </row>
    <row r="516" spans="1:62" ht="15" customHeight="1">
      <c r="A516" s="721" t="s">
        <v>711</v>
      </c>
      <c r="B516" s="707"/>
      <c r="C516" s="751">
        <f>(U514*Y514*(AD514-AG514))+AK514*(AQ514-AT514)</f>
        <v>0</v>
      </c>
      <c r="D516" s="724"/>
      <c r="E516" s="724"/>
      <c r="F516" s="724"/>
      <c r="G516" s="724"/>
      <c r="H516" s="174"/>
      <c r="I516" s="174"/>
      <c r="J516" s="721" t="s">
        <v>661</v>
      </c>
      <c r="K516" s="707"/>
      <c r="L516" s="752">
        <f>C516/C517</f>
        <v>0</v>
      </c>
      <c r="M516" s="707"/>
      <c r="N516" s="707"/>
      <c r="O516" s="707"/>
      <c r="P516" s="735" t="s">
        <v>374</v>
      </c>
      <c r="Q516" s="707"/>
      <c r="R516" s="140"/>
      <c r="S516" s="174"/>
      <c r="T516" s="174"/>
      <c r="U516" s="174"/>
      <c r="V516" s="174"/>
      <c r="W516" s="174"/>
      <c r="X516" s="174"/>
      <c r="Y516" s="140"/>
      <c r="Z516" s="130"/>
      <c r="AA516" s="130"/>
      <c r="AB516" s="130"/>
      <c r="AC516" s="130"/>
      <c r="AD516" s="130"/>
      <c r="AE516" s="130"/>
      <c r="AF516" s="130"/>
      <c r="AG516" s="130"/>
      <c r="AH516" s="130"/>
      <c r="AI516" s="130"/>
      <c r="AJ516" s="128"/>
      <c r="AK516" s="128"/>
      <c r="AL516" s="128"/>
      <c r="AM516" s="128"/>
      <c r="AN516" s="128"/>
      <c r="AO516" s="130"/>
      <c r="AP516" s="130"/>
      <c r="AQ516" s="130"/>
      <c r="AR516" s="130"/>
      <c r="AS516" s="130"/>
      <c r="AT516" s="130"/>
      <c r="AU516" s="130"/>
      <c r="AV516" s="130"/>
      <c r="AW516" s="130"/>
      <c r="AX516" s="128"/>
      <c r="AY516" s="130"/>
      <c r="AZ516" s="130"/>
      <c r="BA516" s="130"/>
      <c r="BB516" s="130"/>
      <c r="BC516" s="130"/>
      <c r="BD516" s="130"/>
      <c r="BE516" s="130"/>
      <c r="BF516" s="128"/>
      <c r="BG516" s="128"/>
      <c r="BH516" s="128"/>
      <c r="BI516" s="128"/>
      <c r="BJ516" s="128"/>
    </row>
    <row r="517" spans="1:62" ht="15" customHeight="1">
      <c r="A517" s="707"/>
      <c r="B517" s="707"/>
      <c r="C517" s="742">
        <f>AD515*AG515</f>
        <v>6800</v>
      </c>
      <c r="D517" s="637"/>
      <c r="E517" s="637"/>
      <c r="F517" s="637"/>
      <c r="G517" s="637"/>
      <c r="H517" s="174"/>
      <c r="I517" s="174"/>
      <c r="J517" s="707"/>
      <c r="K517" s="707"/>
      <c r="L517" s="707"/>
      <c r="M517" s="707"/>
      <c r="N517" s="707"/>
      <c r="O517" s="707"/>
      <c r="P517" s="707"/>
      <c r="Q517" s="707"/>
      <c r="R517" s="140"/>
      <c r="S517" s="174"/>
      <c r="T517" s="174"/>
      <c r="U517" s="174"/>
      <c r="V517" s="174"/>
      <c r="W517" s="174"/>
      <c r="X517" s="174"/>
      <c r="Y517" s="140"/>
      <c r="Z517" s="130"/>
      <c r="AA517" s="130"/>
      <c r="AB517" s="130"/>
      <c r="AC517" s="130"/>
      <c r="AD517" s="130"/>
      <c r="AE517" s="130"/>
      <c r="AF517" s="130"/>
      <c r="AG517" s="130"/>
      <c r="AH517" s="130"/>
      <c r="AI517" s="130"/>
      <c r="AJ517" s="128"/>
      <c r="AK517" s="128"/>
      <c r="AL517" s="128"/>
      <c r="AM517" s="128"/>
      <c r="AN517" s="128"/>
      <c r="AO517" s="130"/>
      <c r="AP517" s="130"/>
      <c r="AQ517" s="130"/>
      <c r="AR517" s="130"/>
      <c r="AS517" s="130"/>
      <c r="AT517" s="130"/>
      <c r="AU517" s="130"/>
      <c r="AV517" s="130"/>
      <c r="AW517" s="130"/>
      <c r="AX517" s="128"/>
      <c r="AY517" s="130"/>
      <c r="AZ517" s="130"/>
      <c r="BA517" s="130"/>
      <c r="BB517" s="130"/>
      <c r="BC517" s="130"/>
      <c r="BD517" s="130"/>
      <c r="BE517" s="130"/>
      <c r="BF517" s="128"/>
      <c r="BG517" s="128"/>
      <c r="BH517" s="128"/>
      <c r="BI517" s="128"/>
      <c r="BJ517" s="128"/>
    </row>
    <row r="518" spans="1:62" ht="4.5" customHeight="1">
      <c r="A518" s="146"/>
      <c r="B518" s="140"/>
      <c r="C518" s="140"/>
      <c r="D518" s="146"/>
      <c r="E518" s="140"/>
      <c r="F518" s="140"/>
      <c r="G518" s="174"/>
      <c r="H518" s="174"/>
      <c r="I518" s="174"/>
      <c r="J518" s="140"/>
      <c r="K518" s="140"/>
      <c r="L518" s="140"/>
      <c r="M518" s="140"/>
      <c r="N518" s="140"/>
      <c r="O518" s="140"/>
      <c r="P518" s="140"/>
      <c r="Q518" s="140"/>
      <c r="R518" s="140"/>
      <c r="S518" s="174"/>
      <c r="T518" s="174"/>
      <c r="U518" s="174"/>
      <c r="V518" s="174"/>
      <c r="W518" s="174"/>
      <c r="X518" s="174"/>
      <c r="Y518" s="140"/>
      <c r="Z518" s="130"/>
      <c r="AA518" s="130"/>
      <c r="AB518" s="130"/>
      <c r="AC518" s="130"/>
      <c r="AD518" s="130"/>
      <c r="AE518" s="130"/>
      <c r="AF518" s="130"/>
      <c r="AG518" s="130"/>
      <c r="AH518" s="130"/>
      <c r="AI518" s="130"/>
      <c r="AJ518" s="128"/>
      <c r="AK518" s="128"/>
      <c r="AL518" s="128"/>
      <c r="AM518" s="128"/>
      <c r="AN518" s="128"/>
      <c r="AO518" s="130"/>
      <c r="AP518" s="130"/>
      <c r="AQ518" s="130"/>
      <c r="AR518" s="130"/>
      <c r="AS518" s="130"/>
      <c r="AT518" s="130"/>
      <c r="AU518" s="130"/>
      <c r="AV518" s="130"/>
      <c r="AW518" s="130"/>
      <c r="AX518" s="128"/>
      <c r="AY518" s="130"/>
      <c r="AZ518" s="130"/>
      <c r="BA518" s="130"/>
      <c r="BB518" s="130"/>
      <c r="BC518" s="130"/>
      <c r="BD518" s="130"/>
      <c r="BE518" s="130"/>
      <c r="BF518" s="128"/>
      <c r="BG518" s="128"/>
      <c r="BH518" s="128"/>
      <c r="BI518" s="128"/>
      <c r="BJ518" s="128"/>
    </row>
    <row r="519" spans="1:62" ht="15" customHeight="1">
      <c r="A519" s="722" t="s">
        <v>664</v>
      </c>
      <c r="B519" s="707"/>
      <c r="C519" s="735" t="s">
        <v>262</v>
      </c>
      <c r="D519" s="738" t="s">
        <v>665</v>
      </c>
      <c r="E519" s="724"/>
      <c r="F519" s="724"/>
      <c r="G519" s="724"/>
      <c r="H519" s="174"/>
      <c r="I519" s="174"/>
      <c r="J519" s="721" t="s">
        <v>664</v>
      </c>
      <c r="K519" s="707"/>
      <c r="L519" s="735" t="s">
        <v>262</v>
      </c>
      <c r="M519" s="206">
        <v>3</v>
      </c>
      <c r="N519" s="206" t="s">
        <v>357</v>
      </c>
      <c r="O519" s="723">
        <f>L516</f>
        <v>0</v>
      </c>
      <c r="P519" s="724"/>
      <c r="Q519" s="724"/>
      <c r="R519" s="724"/>
      <c r="S519" s="234" t="s">
        <v>357</v>
      </c>
      <c r="T519" s="751">
        <f>'Veri Girişi'!$B$111</f>
        <v>3000</v>
      </c>
      <c r="U519" s="724"/>
      <c r="V519" s="724"/>
      <c r="W519" s="174"/>
      <c r="X519" s="174"/>
      <c r="Y519" s="721" t="s">
        <v>664</v>
      </c>
      <c r="Z519" s="707"/>
      <c r="AA519" s="735" t="s">
        <v>262</v>
      </c>
      <c r="AB519" s="721">
        <f>M519*O519*T519/M520</f>
        <v>0</v>
      </c>
      <c r="AC519" s="707"/>
      <c r="AD519" s="707"/>
      <c r="AE519" s="707"/>
      <c r="AF519" s="721" t="s">
        <v>428</v>
      </c>
      <c r="AG519" s="707"/>
      <c r="AH519" s="707"/>
      <c r="AI519" s="164"/>
      <c r="AJ519" s="146"/>
      <c r="AK519" s="729" t="s">
        <v>666</v>
      </c>
      <c r="AL519" s="707"/>
      <c r="AM519" s="721" t="s">
        <v>262</v>
      </c>
      <c r="AN519" s="738" t="s">
        <v>664</v>
      </c>
      <c r="AO519" s="724"/>
      <c r="AP519" s="144"/>
      <c r="AQ519" s="144"/>
      <c r="AR519" s="729" t="s">
        <v>666</v>
      </c>
      <c r="AS519" s="707"/>
      <c r="AT519" s="721" t="s">
        <v>262</v>
      </c>
      <c r="AU519" s="734">
        <f>AB519/VLOOKUP('Veri Girişi'!$E$73,TABLOLAR!$I$60:$S$65,6,0)</f>
        <v>0</v>
      </c>
      <c r="AV519" s="707"/>
      <c r="AW519" s="707"/>
      <c r="AX519" s="730" t="s">
        <v>406</v>
      </c>
      <c r="AY519" s="707"/>
      <c r="AZ519" s="707"/>
      <c r="BA519" s="707"/>
      <c r="BB519" s="707"/>
      <c r="BC519" s="130"/>
      <c r="BD519" s="130"/>
      <c r="BE519" s="130"/>
      <c r="BF519" s="128"/>
      <c r="BG519" s="128"/>
      <c r="BH519" s="128"/>
      <c r="BI519" s="128"/>
      <c r="BJ519" s="128"/>
    </row>
    <row r="520" spans="1:62" ht="15" customHeight="1">
      <c r="A520" s="707"/>
      <c r="B520" s="707"/>
      <c r="C520" s="707"/>
      <c r="D520" s="753">
        <v>16</v>
      </c>
      <c r="E520" s="637"/>
      <c r="F520" s="637"/>
      <c r="G520" s="637"/>
      <c r="H520" s="174"/>
      <c r="I520" s="174"/>
      <c r="J520" s="707"/>
      <c r="K520" s="707"/>
      <c r="L520" s="707"/>
      <c r="M520" s="742">
        <v>16</v>
      </c>
      <c r="N520" s="637"/>
      <c r="O520" s="637"/>
      <c r="P520" s="637"/>
      <c r="Q520" s="637"/>
      <c r="R520" s="637"/>
      <c r="S520" s="637"/>
      <c r="T520" s="637"/>
      <c r="U520" s="637"/>
      <c r="V520" s="637"/>
      <c r="W520" s="174"/>
      <c r="X520" s="174"/>
      <c r="Y520" s="707"/>
      <c r="Z520" s="707"/>
      <c r="AA520" s="707"/>
      <c r="AB520" s="707"/>
      <c r="AC520" s="707"/>
      <c r="AD520" s="707"/>
      <c r="AE520" s="707"/>
      <c r="AF520" s="707"/>
      <c r="AG520" s="707"/>
      <c r="AH520" s="707"/>
      <c r="AI520" s="164"/>
      <c r="AJ520" s="146"/>
      <c r="AK520" s="707"/>
      <c r="AL520" s="707"/>
      <c r="AM520" s="707"/>
      <c r="AN520" s="753" t="s">
        <v>407</v>
      </c>
      <c r="AO520" s="637"/>
      <c r="AP520" s="144"/>
      <c r="AQ520" s="144"/>
      <c r="AR520" s="707"/>
      <c r="AS520" s="707"/>
      <c r="AT520" s="707"/>
      <c r="AU520" s="707"/>
      <c r="AV520" s="707"/>
      <c r="AW520" s="707"/>
      <c r="AX520" s="707"/>
      <c r="AY520" s="707"/>
      <c r="AZ520" s="707"/>
      <c r="BA520" s="707"/>
      <c r="BB520" s="707"/>
      <c r="BC520" s="130"/>
      <c r="BD520" s="130"/>
      <c r="BE520" s="130"/>
      <c r="BF520" s="128"/>
      <c r="BG520" s="128"/>
      <c r="BH520" s="128"/>
      <c r="BI520" s="128"/>
      <c r="BJ520" s="128"/>
    </row>
    <row r="521" spans="1:62" ht="15" customHeight="1">
      <c r="A521" s="128" t="s">
        <v>704</v>
      </c>
      <c r="B521" s="140"/>
      <c r="C521" s="140"/>
      <c r="D521" s="146"/>
      <c r="E521" s="140"/>
      <c r="F521" s="140"/>
      <c r="G521" s="174"/>
      <c r="H521" s="174"/>
      <c r="I521" s="174"/>
      <c r="J521" s="128"/>
      <c r="K521" s="128"/>
      <c r="L521" s="140"/>
      <c r="M521" s="140"/>
      <c r="N521" s="140"/>
      <c r="O521" s="140"/>
      <c r="P521" s="140"/>
      <c r="Q521" s="140"/>
      <c r="R521" s="140"/>
      <c r="S521" s="174"/>
      <c r="T521" s="174"/>
      <c r="U521" s="174"/>
      <c r="V521" s="174"/>
      <c r="W521" s="174"/>
      <c r="X521" s="174"/>
      <c r="Y521" s="140"/>
      <c r="Z521" s="130"/>
      <c r="AA521" s="130"/>
      <c r="AB521" s="130"/>
      <c r="AC521" s="130"/>
      <c r="AD521" s="130"/>
      <c r="AE521" s="130"/>
      <c r="AF521" s="130"/>
      <c r="AG521" s="130"/>
      <c r="AH521" s="130"/>
      <c r="AI521" s="130"/>
      <c r="AJ521" s="128"/>
      <c r="AK521" s="128"/>
      <c r="AL521" s="128"/>
      <c r="AM521" s="128"/>
      <c r="AN521" s="128"/>
      <c r="AO521" s="130"/>
      <c r="AP521" s="130"/>
      <c r="AQ521" s="130"/>
      <c r="AR521" s="130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30"/>
      <c r="BD521" s="130"/>
      <c r="BE521" s="130"/>
      <c r="BF521" s="128"/>
      <c r="BG521" s="128"/>
      <c r="BH521" s="128"/>
      <c r="BI521" s="128"/>
      <c r="BJ521" s="128"/>
    </row>
    <row r="522" spans="1:62" ht="4.5" customHeight="1">
      <c r="A522" s="207"/>
      <c r="B522" s="140"/>
      <c r="C522" s="140"/>
      <c r="D522" s="146"/>
      <c r="E522" s="140"/>
      <c r="F522" s="140"/>
      <c r="G522" s="128"/>
      <c r="H522" s="174"/>
      <c r="I522" s="174"/>
      <c r="J522" s="128"/>
      <c r="K522" s="128"/>
      <c r="L522" s="140"/>
      <c r="M522" s="140"/>
      <c r="N522" s="140"/>
      <c r="O522" s="140"/>
      <c r="P522" s="140"/>
      <c r="Q522" s="140"/>
      <c r="R522" s="140"/>
      <c r="S522" s="174"/>
      <c r="T522" s="174"/>
      <c r="U522" s="174"/>
      <c r="V522" s="174"/>
      <c r="W522" s="174"/>
      <c r="X522" s="174"/>
      <c r="Y522" s="140"/>
      <c r="Z522" s="130"/>
      <c r="AA522" s="130"/>
      <c r="AB522" s="130"/>
      <c r="AC522" s="130"/>
      <c r="AD522" s="130"/>
      <c r="AE522" s="130"/>
      <c r="AF522" s="130"/>
      <c r="AG522" s="130"/>
      <c r="AH522" s="130"/>
      <c r="AI522" s="130"/>
      <c r="AJ522" s="128"/>
      <c r="AK522" s="128"/>
      <c r="AL522" s="128"/>
      <c r="AM522" s="128"/>
      <c r="AN522" s="128"/>
      <c r="AO522" s="130"/>
      <c r="AP522" s="130"/>
      <c r="AQ522" s="130"/>
      <c r="AR522" s="130"/>
      <c r="AS522" s="130"/>
      <c r="AT522" s="130"/>
      <c r="AU522" s="130"/>
      <c r="AV522" s="130"/>
      <c r="AW522" s="130"/>
      <c r="AX522" s="128"/>
      <c r="AY522" s="130"/>
      <c r="AZ522" s="130"/>
      <c r="BA522" s="130"/>
      <c r="BB522" s="130"/>
      <c r="BC522" s="130"/>
      <c r="BD522" s="130"/>
      <c r="BE522" s="130"/>
      <c r="BF522" s="128"/>
      <c r="BG522" s="128"/>
      <c r="BH522" s="128"/>
      <c r="BI522" s="128"/>
      <c r="BJ522" s="128"/>
    </row>
    <row r="523" spans="1:62" ht="15" customHeight="1">
      <c r="A523" s="721" t="s">
        <v>669</v>
      </c>
      <c r="B523" s="707"/>
      <c r="C523" s="757" t="s">
        <v>641</v>
      </c>
      <c r="D523" s="730" t="s">
        <v>671</v>
      </c>
      <c r="E523" s="707"/>
      <c r="F523" s="707"/>
      <c r="G523" s="707"/>
      <c r="H523" s="707"/>
      <c r="I523" s="707"/>
      <c r="J523" s="171"/>
      <c r="K523" s="171"/>
      <c r="L523" s="171"/>
      <c r="M523" s="721" t="s">
        <v>669</v>
      </c>
      <c r="N523" s="707"/>
      <c r="O523" s="721" t="s">
        <v>641</v>
      </c>
      <c r="P523" s="752">
        <f>AH291</f>
        <v>329.30800000000005</v>
      </c>
      <c r="Q523" s="707"/>
      <c r="R523" s="707"/>
      <c r="S523" s="730" t="s">
        <v>357</v>
      </c>
      <c r="T523" s="730">
        <v>9.81</v>
      </c>
      <c r="U523" s="707"/>
      <c r="V523" s="707"/>
      <c r="W523" s="721" t="s">
        <v>316</v>
      </c>
      <c r="X523" s="721">
        <v>0</v>
      </c>
      <c r="Y523" s="707"/>
      <c r="Z523" s="246"/>
      <c r="AA523" s="151"/>
      <c r="AB523" s="721" t="s">
        <v>669</v>
      </c>
      <c r="AC523" s="707"/>
      <c r="AD523" s="721" t="s">
        <v>641</v>
      </c>
      <c r="AE523" s="734">
        <f>P523*T523+X523</f>
        <v>3230.5114800000006</v>
      </c>
      <c r="AF523" s="707"/>
      <c r="AG523" s="707"/>
      <c r="AH523" s="707"/>
      <c r="AI523" s="707"/>
      <c r="AJ523" s="721" t="s">
        <v>374</v>
      </c>
      <c r="AK523" s="146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30"/>
      <c r="BE523" s="130"/>
      <c r="BF523" s="128"/>
      <c r="BG523" s="128"/>
      <c r="BH523" s="128"/>
      <c r="BI523" s="128"/>
      <c r="BJ523" s="128"/>
    </row>
    <row r="524" spans="1:62" ht="15" customHeight="1">
      <c r="A524" s="707"/>
      <c r="B524" s="707"/>
      <c r="C524" s="707"/>
      <c r="D524" s="707"/>
      <c r="E524" s="707"/>
      <c r="F524" s="707"/>
      <c r="G524" s="707"/>
      <c r="H524" s="707"/>
      <c r="I524" s="707"/>
      <c r="J524" s="146"/>
      <c r="K524" s="146"/>
      <c r="L524" s="171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140"/>
      <c r="AA524" s="140"/>
      <c r="AB524" s="707"/>
      <c r="AC524" s="707"/>
      <c r="AD524" s="707"/>
      <c r="AE524" s="707"/>
      <c r="AF524" s="707"/>
      <c r="AG524" s="707"/>
      <c r="AH524" s="707"/>
      <c r="AI524" s="707"/>
      <c r="AJ524" s="707"/>
      <c r="AK524" s="146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30"/>
      <c r="BE524" s="130"/>
      <c r="BF524" s="128"/>
      <c r="BG524" s="128"/>
      <c r="BH524" s="128"/>
      <c r="BI524" s="128"/>
      <c r="BJ524" s="128"/>
    </row>
    <row r="525" spans="1:62" ht="4.5" customHeight="1">
      <c r="A525" s="146"/>
      <c r="B525" s="140"/>
      <c r="C525" s="140"/>
      <c r="D525" s="146"/>
      <c r="E525" s="140"/>
      <c r="F525" s="143"/>
      <c r="G525" s="174"/>
      <c r="H525" s="174"/>
      <c r="I525" s="174"/>
      <c r="J525" s="140"/>
      <c r="K525" s="140"/>
      <c r="L525" s="140"/>
      <c r="M525" s="140"/>
      <c r="N525" s="143"/>
      <c r="O525" s="140"/>
      <c r="P525" s="140"/>
      <c r="Q525" s="140"/>
      <c r="R525" s="140"/>
      <c r="S525" s="174"/>
      <c r="T525" s="174"/>
      <c r="U525" s="174"/>
      <c r="V525" s="174"/>
      <c r="W525" s="174"/>
      <c r="X525" s="174"/>
      <c r="Y525" s="140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28"/>
      <c r="AK525" s="128"/>
      <c r="AL525" s="128"/>
      <c r="AM525" s="128"/>
      <c r="AN525" s="128"/>
      <c r="AO525" s="130"/>
      <c r="AP525" s="130"/>
      <c r="AQ525" s="130"/>
      <c r="AR525" s="130"/>
      <c r="AS525" s="130"/>
      <c r="AT525" s="130"/>
      <c r="AU525" s="130"/>
      <c r="AV525" s="130"/>
      <c r="AW525" s="130"/>
      <c r="AX525" s="128"/>
      <c r="AY525" s="130"/>
      <c r="AZ525" s="130"/>
      <c r="BA525" s="130"/>
      <c r="BB525" s="130"/>
      <c r="BC525" s="130"/>
      <c r="BD525" s="130"/>
      <c r="BE525" s="130"/>
      <c r="BF525" s="128"/>
      <c r="BG525" s="128"/>
      <c r="BH525" s="128"/>
      <c r="BI525" s="128"/>
      <c r="BJ525" s="128"/>
    </row>
    <row r="526" spans="1:62" ht="15" customHeight="1">
      <c r="A526" s="721" t="s">
        <v>705</v>
      </c>
      <c r="B526" s="707"/>
      <c r="C526" s="757" t="s">
        <v>641</v>
      </c>
      <c r="D526" s="738" t="s">
        <v>682</v>
      </c>
      <c r="E526" s="724"/>
      <c r="F526" s="724"/>
      <c r="G526" s="724"/>
      <c r="H526" s="724"/>
      <c r="I526" s="724"/>
      <c r="J526" s="724"/>
      <c r="K526" s="724"/>
      <c r="L526" s="140"/>
      <c r="M526" s="140"/>
      <c r="N526" s="721" t="s">
        <v>705</v>
      </c>
      <c r="O526" s="707"/>
      <c r="P526" s="757" t="s">
        <v>641</v>
      </c>
      <c r="Q526" s="206" t="s">
        <v>413</v>
      </c>
      <c r="R526" s="723">
        <f>AE523</f>
        <v>3230.5114800000006</v>
      </c>
      <c r="S526" s="724"/>
      <c r="T526" s="724"/>
      <c r="U526" s="724"/>
      <c r="V526" s="234" t="s">
        <v>316</v>
      </c>
      <c r="W526" s="751">
        <v>1.2</v>
      </c>
      <c r="X526" s="724"/>
      <c r="Y526" s="235" t="s">
        <v>357</v>
      </c>
      <c r="Z526" s="738">
        <f>AH292</f>
        <v>150</v>
      </c>
      <c r="AA526" s="724"/>
      <c r="AB526" s="235" t="s">
        <v>414</v>
      </c>
      <c r="AC526" s="144"/>
      <c r="AD526" s="721"/>
      <c r="AE526" s="707"/>
      <c r="AF526" s="707"/>
      <c r="AG526" s="151"/>
      <c r="AH526" s="146"/>
      <c r="AI526" s="721" t="s">
        <v>705</v>
      </c>
      <c r="AJ526" s="707"/>
      <c r="AK526" s="757" t="s">
        <v>641</v>
      </c>
      <c r="AL526" s="734">
        <f>(R526+(W526*Z526))/Q527</f>
        <v>2.1626578820545341</v>
      </c>
      <c r="AM526" s="707"/>
      <c r="AN526" s="707"/>
      <c r="AO526" s="735" t="s">
        <v>406</v>
      </c>
      <c r="AP526" s="707"/>
      <c r="AQ526" s="707"/>
      <c r="AR526" s="707"/>
      <c r="AS526" s="144"/>
      <c r="AT526" s="144"/>
      <c r="AU526" s="144"/>
      <c r="AV526" s="777"/>
      <c r="AW526" s="707"/>
      <c r="AX526" s="146"/>
      <c r="AY526" s="144"/>
      <c r="AZ526" s="144"/>
      <c r="BA526" s="144"/>
      <c r="BB526" s="144"/>
      <c r="BC526" s="144"/>
      <c r="BD526" s="144"/>
      <c r="BE526" s="144"/>
      <c r="BF526" s="146"/>
      <c r="BG526" s="146"/>
      <c r="BH526" s="146"/>
      <c r="BI526" s="146"/>
      <c r="BJ526" s="146"/>
    </row>
    <row r="527" spans="1:62" ht="15" customHeight="1">
      <c r="A527" s="707"/>
      <c r="B527" s="707"/>
      <c r="C527" s="707"/>
      <c r="D527" s="753" t="s">
        <v>397</v>
      </c>
      <c r="E527" s="637"/>
      <c r="F527" s="637"/>
      <c r="G527" s="637"/>
      <c r="H527" s="637"/>
      <c r="I527" s="637"/>
      <c r="J527" s="637"/>
      <c r="K527" s="637"/>
      <c r="L527" s="140"/>
      <c r="M527" s="140"/>
      <c r="N527" s="707"/>
      <c r="O527" s="707"/>
      <c r="P527" s="707"/>
      <c r="Q527" s="742">
        <f>VLOOKUP('Veri Girişi'!$E$73,TABLOLAR!$I$60:$S$65,3,0)</f>
        <v>1577</v>
      </c>
      <c r="R527" s="637"/>
      <c r="S527" s="637"/>
      <c r="T527" s="637"/>
      <c r="U527" s="637"/>
      <c r="V527" s="637"/>
      <c r="W527" s="637"/>
      <c r="X527" s="637"/>
      <c r="Y527" s="637"/>
      <c r="Z527" s="637"/>
      <c r="AA527" s="637"/>
      <c r="AB527" s="637"/>
      <c r="AC527" s="171"/>
      <c r="AD527" s="171"/>
      <c r="AE527" s="171"/>
      <c r="AF527" s="171"/>
      <c r="AG527" s="171"/>
      <c r="AH527" s="171"/>
      <c r="AI527" s="707"/>
      <c r="AJ527" s="707"/>
      <c r="AK527" s="707"/>
      <c r="AL527" s="707"/>
      <c r="AM527" s="707"/>
      <c r="AN527" s="707"/>
      <c r="AO527" s="707"/>
      <c r="AP527" s="707"/>
      <c r="AQ527" s="707"/>
      <c r="AR527" s="707"/>
      <c r="AS527" s="144"/>
      <c r="AT527" s="128"/>
      <c r="AU527" s="128"/>
      <c r="AV527" s="737"/>
      <c r="AW527" s="707"/>
      <c r="AX527" s="128"/>
      <c r="AY527" s="128"/>
      <c r="AZ527" s="128"/>
      <c r="BA527" s="128"/>
      <c r="BB527" s="128"/>
      <c r="BC527" s="128"/>
      <c r="BD527" s="128"/>
      <c r="BE527" s="144"/>
      <c r="BF527" s="146"/>
      <c r="BG527" s="146"/>
      <c r="BH527" s="146"/>
      <c r="BI527" s="146"/>
      <c r="BJ527" s="146"/>
    </row>
    <row r="528" spans="1:62" ht="4.5" customHeight="1">
      <c r="A528" s="128"/>
      <c r="B528" s="140"/>
      <c r="C528" s="140"/>
      <c r="D528" s="146"/>
      <c r="E528" s="140"/>
      <c r="F528" s="140"/>
      <c r="G528" s="174"/>
      <c r="H528" s="174"/>
      <c r="I528" s="174"/>
      <c r="J528" s="128"/>
      <c r="K528" s="128"/>
      <c r="L528" s="140"/>
      <c r="M528" s="140"/>
      <c r="N528" s="140"/>
      <c r="O528" s="140"/>
      <c r="P528" s="140"/>
      <c r="Q528" s="140"/>
      <c r="R528" s="140"/>
      <c r="S528" s="174"/>
      <c r="T528" s="174"/>
      <c r="U528" s="174"/>
      <c r="V528" s="174"/>
      <c r="W528" s="174"/>
      <c r="X528" s="174"/>
      <c r="Y528" s="140"/>
      <c r="Z528" s="130"/>
      <c r="AA528" s="130"/>
      <c r="AB528" s="130"/>
      <c r="AC528" s="130"/>
      <c r="AD528" s="130"/>
      <c r="AE528" s="130"/>
      <c r="AF528" s="130"/>
      <c r="AG528" s="130"/>
      <c r="AH528" s="130"/>
      <c r="AI528" s="130"/>
      <c r="AJ528" s="128"/>
      <c r="AK528" s="128"/>
      <c r="AL528" s="128"/>
      <c r="AM528" s="128"/>
      <c r="AN528" s="128"/>
      <c r="AO528" s="130"/>
      <c r="AP528" s="130"/>
      <c r="AQ528" s="130"/>
      <c r="AR528" s="130"/>
      <c r="AS528" s="146"/>
      <c r="AT528" s="146"/>
      <c r="AU528" s="146"/>
      <c r="AV528" s="146"/>
      <c r="AW528" s="146"/>
      <c r="AX528" s="146"/>
      <c r="AY528" s="146"/>
      <c r="AZ528" s="146"/>
      <c r="BA528" s="146"/>
      <c r="BB528" s="146"/>
      <c r="BC528" s="130"/>
      <c r="BD528" s="130"/>
      <c r="BE528" s="130"/>
      <c r="BF528" s="128"/>
      <c r="BG528" s="128"/>
      <c r="BH528" s="128"/>
      <c r="BI528" s="128"/>
      <c r="BJ528" s="128"/>
    </row>
    <row r="529" spans="1:62" ht="15" customHeight="1">
      <c r="A529" s="146" t="s">
        <v>675</v>
      </c>
      <c r="B529" s="140"/>
      <c r="C529" s="140"/>
      <c r="D529" s="146"/>
      <c r="E529" s="140"/>
      <c r="F529" s="143"/>
      <c r="G529" s="174"/>
      <c r="H529" s="174"/>
      <c r="I529" s="174"/>
      <c r="J529" s="140"/>
      <c r="K529" s="140"/>
      <c r="L529" s="140"/>
      <c r="M529" s="140"/>
      <c r="N529" s="143"/>
      <c r="O529" s="140"/>
      <c r="P529" s="140"/>
      <c r="Q529" s="140"/>
      <c r="R529" s="140"/>
      <c r="S529" s="174"/>
      <c r="T529" s="174"/>
      <c r="U529" s="174"/>
      <c r="V529" s="174"/>
      <c r="W529" s="174"/>
      <c r="X529" s="174"/>
      <c r="Y529" s="140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28"/>
      <c r="AK529" s="128"/>
      <c r="AL529" s="128"/>
      <c r="AM529" s="128"/>
      <c r="AN529" s="128"/>
      <c r="AO529" s="130"/>
      <c r="AP529" s="130"/>
      <c r="AQ529" s="130"/>
      <c r="AR529" s="130"/>
      <c r="AS529" s="146"/>
      <c r="AT529" s="146"/>
      <c r="AU529" s="146"/>
      <c r="AV529" s="146"/>
      <c r="AW529" s="146"/>
      <c r="AX529" s="146"/>
      <c r="AY529" s="146"/>
      <c r="AZ529" s="146"/>
      <c r="BA529" s="146"/>
      <c r="BB529" s="146"/>
      <c r="BC529" s="146"/>
      <c r="BD529" s="146"/>
      <c r="BE529" s="130"/>
      <c r="BF529" s="128"/>
      <c r="BG529" s="128"/>
      <c r="BH529" s="128"/>
      <c r="BI529" s="128"/>
      <c r="BJ529" s="128"/>
    </row>
    <row r="530" spans="1:62" ht="15" customHeight="1">
      <c r="A530" s="128" t="s">
        <v>681</v>
      </c>
      <c r="B530" s="128"/>
      <c r="C530" s="162" t="s">
        <v>641</v>
      </c>
      <c r="D530" s="128" t="s">
        <v>677</v>
      </c>
      <c r="E530" s="128"/>
      <c r="F530" s="146" t="s">
        <v>316</v>
      </c>
      <c r="G530" s="128" t="s">
        <v>678</v>
      </c>
      <c r="H530" s="137"/>
      <c r="I530" s="146" t="s">
        <v>448</v>
      </c>
      <c r="J530" s="128" t="s">
        <v>679</v>
      </c>
      <c r="K530" s="128"/>
      <c r="L530" s="128"/>
      <c r="M530" s="128"/>
      <c r="N530" s="240"/>
      <c r="O530" s="128" t="s">
        <v>681</v>
      </c>
      <c r="P530" s="128"/>
      <c r="Q530" s="162" t="s">
        <v>641</v>
      </c>
      <c r="R530" s="752">
        <f>AU519</f>
        <v>0</v>
      </c>
      <c r="S530" s="707"/>
      <c r="T530" s="707"/>
      <c r="U530" s="174" t="s">
        <v>316</v>
      </c>
      <c r="V530" s="730">
        <f>AU511</f>
        <v>18.074229088122941</v>
      </c>
      <c r="W530" s="707"/>
      <c r="X530" s="707"/>
      <c r="Y530" s="140" t="s">
        <v>262</v>
      </c>
      <c r="Z530" s="734">
        <f>R530+V530</f>
        <v>18.074229088122941</v>
      </c>
      <c r="AA530" s="707"/>
      <c r="AB530" s="707"/>
      <c r="AC530" s="146" t="s">
        <v>448</v>
      </c>
      <c r="AD530" s="721">
        <f>AH305</f>
        <v>165</v>
      </c>
      <c r="AE530" s="707"/>
      <c r="AF530" s="707"/>
      <c r="AG530" s="730" t="s">
        <v>406</v>
      </c>
      <c r="AH530" s="707"/>
      <c r="AI530" s="707"/>
      <c r="AJ530" s="707"/>
      <c r="AK530" s="128"/>
      <c r="AL530" s="128"/>
      <c r="AM530" s="128"/>
      <c r="AN530" s="128"/>
      <c r="AO530" s="130"/>
      <c r="AP530" s="725" t="str">
        <f>IF(Z530&lt;=AD530,"UYGUNDUR.","UYGUN DEĞİLDİR.")</f>
        <v>UYGUNDUR.</v>
      </c>
      <c r="AQ530" s="710"/>
      <c r="AR530" s="710"/>
      <c r="AS530" s="710"/>
      <c r="AT530" s="710"/>
      <c r="AU530" s="710"/>
      <c r="AV530" s="710"/>
      <c r="AW530" s="710"/>
      <c r="AX530" s="710"/>
      <c r="AY530" s="583"/>
      <c r="AZ530" s="130"/>
      <c r="BA530" s="130"/>
      <c r="BB530" s="130"/>
      <c r="BC530" s="130"/>
      <c r="BD530" s="130"/>
      <c r="BE530" s="130"/>
      <c r="BF530" s="128"/>
      <c r="BG530" s="128"/>
      <c r="BH530" s="128"/>
      <c r="BI530" s="128"/>
      <c r="BJ530" s="128"/>
    </row>
    <row r="531" spans="1:62" ht="4.5" customHeight="1">
      <c r="A531" s="146"/>
      <c r="B531" s="140"/>
      <c r="C531" s="140"/>
      <c r="D531" s="146"/>
      <c r="E531" s="140"/>
      <c r="F531" s="143"/>
      <c r="G531" s="174"/>
      <c r="H531" s="174"/>
      <c r="I531" s="174"/>
      <c r="J531" s="140"/>
      <c r="K531" s="140"/>
      <c r="L531" s="140"/>
      <c r="M531" s="140"/>
      <c r="N531" s="143"/>
      <c r="O531" s="140"/>
      <c r="P531" s="140"/>
      <c r="Q531" s="140"/>
      <c r="R531" s="140"/>
      <c r="S531" s="174"/>
      <c r="T531" s="174"/>
      <c r="U531" s="174"/>
      <c r="V531" s="174"/>
      <c r="W531" s="174"/>
      <c r="X531" s="174"/>
      <c r="Y531" s="140"/>
      <c r="Z531" s="196"/>
      <c r="AA531" s="196"/>
      <c r="AB531" s="196"/>
      <c r="AC531" s="171"/>
      <c r="AD531" s="171"/>
      <c r="AE531" s="171"/>
      <c r="AF531" s="171"/>
      <c r="AG531" s="196"/>
      <c r="AH531" s="196"/>
      <c r="AI531" s="196"/>
      <c r="AJ531" s="128"/>
      <c r="AK531" s="128"/>
      <c r="AL531" s="128"/>
      <c r="AM531" s="128"/>
      <c r="AN531" s="128"/>
      <c r="AO531" s="130"/>
      <c r="AP531" s="130"/>
      <c r="AQ531" s="130"/>
      <c r="AR531" s="130"/>
      <c r="AS531" s="130"/>
      <c r="AT531" s="130"/>
      <c r="AU531" s="130"/>
      <c r="AV531" s="130"/>
      <c r="AW531" s="130"/>
      <c r="AX531" s="128"/>
      <c r="AY531" s="130"/>
      <c r="AZ531" s="130"/>
      <c r="BA531" s="130"/>
      <c r="BB531" s="130"/>
      <c r="BC531" s="130"/>
      <c r="BD531" s="130"/>
      <c r="BE531" s="130"/>
      <c r="BF531" s="128"/>
      <c r="BG531" s="128"/>
      <c r="BH531" s="128"/>
      <c r="BI531" s="128"/>
      <c r="BJ531" s="128"/>
    </row>
    <row r="532" spans="1:62" ht="15" customHeight="1">
      <c r="A532" s="722" t="s">
        <v>680</v>
      </c>
      <c r="B532" s="707"/>
      <c r="C532" s="721" t="s">
        <v>681</v>
      </c>
      <c r="D532" s="707"/>
      <c r="E532" s="735" t="s">
        <v>316</v>
      </c>
      <c r="F532" s="738" t="s">
        <v>712</v>
      </c>
      <c r="G532" s="724"/>
      <c r="H532" s="724"/>
      <c r="I532" s="724"/>
      <c r="J532" s="724"/>
      <c r="K532" s="724"/>
      <c r="L532" s="721" t="s">
        <v>448</v>
      </c>
      <c r="M532" s="722" t="s">
        <v>679</v>
      </c>
      <c r="N532" s="707"/>
      <c r="O532" s="707"/>
      <c r="P532" s="721" t="s">
        <v>680</v>
      </c>
      <c r="Q532" s="707"/>
      <c r="R532" s="752">
        <f>Z530</f>
        <v>18.074229088122941</v>
      </c>
      <c r="S532" s="707"/>
      <c r="T532" s="707"/>
      <c r="U532" s="730" t="s">
        <v>316</v>
      </c>
      <c r="V532" s="786">
        <f>AE523</f>
        <v>3230.5114800000006</v>
      </c>
      <c r="W532" s="724"/>
      <c r="X532" s="724"/>
      <c r="Y532" s="199" t="s">
        <v>316</v>
      </c>
      <c r="Z532" s="751">
        <v>1.2</v>
      </c>
      <c r="AA532" s="724"/>
      <c r="AB532" s="235" t="s">
        <v>357</v>
      </c>
      <c r="AC532" s="738">
        <f>AH292</f>
        <v>150</v>
      </c>
      <c r="AD532" s="724"/>
      <c r="AE532" s="730" t="s">
        <v>262</v>
      </c>
      <c r="AF532" s="734">
        <f>((V532+(Z532*AC532))/V533)+R532</f>
        <v>20.236886970177476</v>
      </c>
      <c r="AG532" s="707"/>
      <c r="AH532" s="721" t="s">
        <v>448</v>
      </c>
      <c r="AI532" s="721">
        <f>AH305</f>
        <v>165</v>
      </c>
      <c r="AJ532" s="707"/>
      <c r="AK532" s="730" t="s">
        <v>406</v>
      </c>
      <c r="AL532" s="707"/>
      <c r="AM532" s="707"/>
      <c r="AN532" s="128"/>
      <c r="AO532" s="725" t="str">
        <f>IF(AF532&lt;=AI532,"UYGUNDUR.","UYGUN DEĞİLDİR.")</f>
        <v>UYGUNDUR.</v>
      </c>
      <c r="AP532" s="637"/>
      <c r="AQ532" s="637"/>
      <c r="AR532" s="637"/>
      <c r="AS532" s="637"/>
      <c r="AT532" s="637"/>
      <c r="AU532" s="637"/>
      <c r="AV532" s="637"/>
      <c r="AW532" s="637"/>
      <c r="AX532" s="690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</row>
    <row r="533" spans="1:62" ht="15" customHeight="1">
      <c r="A533" s="707"/>
      <c r="B533" s="707"/>
      <c r="C533" s="707"/>
      <c r="D533" s="707"/>
      <c r="E533" s="707"/>
      <c r="F533" s="721" t="s">
        <v>397</v>
      </c>
      <c r="G533" s="707"/>
      <c r="H533" s="707"/>
      <c r="I533" s="707"/>
      <c r="J533" s="707"/>
      <c r="K533" s="707"/>
      <c r="L533" s="707"/>
      <c r="M533" s="707"/>
      <c r="N533" s="707"/>
      <c r="O533" s="707"/>
      <c r="P533" s="707"/>
      <c r="Q533" s="707"/>
      <c r="R533" s="707"/>
      <c r="S533" s="707"/>
      <c r="T533" s="707"/>
      <c r="U533" s="707"/>
      <c r="V533" s="742">
        <f>VLOOKUP('Veri Girişi'!$E$73,TABLOLAR!$I$60:$S$65,3,0)</f>
        <v>1577</v>
      </c>
      <c r="W533" s="637"/>
      <c r="X533" s="637"/>
      <c r="Y533" s="637"/>
      <c r="Z533" s="637"/>
      <c r="AA533" s="637"/>
      <c r="AB533" s="637"/>
      <c r="AC533" s="637"/>
      <c r="AD533" s="637"/>
      <c r="AE533" s="707"/>
      <c r="AF533" s="707"/>
      <c r="AG533" s="707"/>
      <c r="AH533" s="707"/>
      <c r="AI533" s="707"/>
      <c r="AJ533" s="707"/>
      <c r="AK533" s="707"/>
      <c r="AL533" s="707"/>
      <c r="AM533" s="707"/>
      <c r="AN533" s="130"/>
      <c r="AO533" s="726"/>
      <c r="AP533" s="724"/>
      <c r="AQ533" s="724"/>
      <c r="AR533" s="724"/>
      <c r="AS533" s="724"/>
      <c r="AT533" s="724"/>
      <c r="AU533" s="724"/>
      <c r="AV533" s="724"/>
      <c r="AW533" s="724"/>
      <c r="AX533" s="727"/>
      <c r="AY533" s="128"/>
      <c r="AZ533" s="128"/>
      <c r="BA533" s="130"/>
      <c r="BB533" s="128"/>
      <c r="BC533" s="128"/>
      <c r="BD533" s="128"/>
      <c r="BE533" s="128"/>
      <c r="BF533" s="128"/>
      <c r="BG533" s="128"/>
      <c r="BH533" s="128"/>
      <c r="BI533" s="128"/>
      <c r="BJ533" s="128"/>
    </row>
    <row r="534" spans="1:62" ht="22.5" customHeight="1">
      <c r="A534" s="146"/>
      <c r="B534" s="140"/>
      <c r="C534" s="140"/>
      <c r="D534" s="146"/>
      <c r="E534" s="140"/>
      <c r="F534" s="140"/>
      <c r="G534" s="174"/>
      <c r="H534" s="174"/>
      <c r="I534" s="174"/>
      <c r="J534" s="140"/>
      <c r="K534" s="140"/>
      <c r="L534" s="140"/>
      <c r="M534" s="140"/>
      <c r="N534" s="140"/>
      <c r="O534" s="140"/>
      <c r="P534" s="140"/>
      <c r="Q534" s="140"/>
      <c r="R534" s="140"/>
      <c r="S534" s="174"/>
      <c r="T534" s="174"/>
      <c r="U534" s="174"/>
      <c r="V534" s="174"/>
      <c r="W534" s="174"/>
      <c r="X534" s="174"/>
      <c r="Y534" s="140"/>
      <c r="Z534" s="130"/>
      <c r="AA534" s="130"/>
      <c r="AB534" s="130"/>
      <c r="AC534" s="130"/>
      <c r="AD534" s="130"/>
      <c r="AE534" s="130"/>
      <c r="AF534" s="130"/>
      <c r="AG534" s="130"/>
      <c r="AH534" s="130"/>
      <c r="AI534" s="130"/>
      <c r="AJ534" s="128"/>
      <c r="AK534" s="128"/>
      <c r="AL534" s="128"/>
      <c r="AM534" s="128"/>
      <c r="AN534" s="128"/>
      <c r="AO534" s="130"/>
      <c r="AP534" s="130"/>
      <c r="AQ534" s="130"/>
      <c r="AR534" s="130"/>
      <c r="AS534" s="130"/>
      <c r="AT534" s="130"/>
      <c r="AU534" s="130"/>
      <c r="AV534" s="130"/>
      <c r="AW534" s="130"/>
      <c r="AX534" s="128"/>
      <c r="AY534" s="130"/>
      <c r="AZ534" s="130"/>
      <c r="BA534" s="130" t="s">
        <v>713</v>
      </c>
      <c r="BB534" s="130"/>
      <c r="BC534" s="130"/>
      <c r="BD534" s="130"/>
      <c r="BE534" s="130"/>
      <c r="BF534" s="128"/>
      <c r="BG534" s="128"/>
      <c r="BH534" s="128"/>
      <c r="BI534" s="128"/>
      <c r="BJ534" s="128"/>
    </row>
    <row r="535" spans="1:62" ht="15" customHeight="1">
      <c r="A535" s="146" t="s">
        <v>684</v>
      </c>
      <c r="B535" s="140"/>
      <c r="C535" s="140"/>
      <c r="D535" s="146"/>
      <c r="E535" s="140"/>
      <c r="F535" s="143"/>
      <c r="G535" s="174"/>
      <c r="H535" s="174"/>
      <c r="I535" s="174"/>
      <c r="J535" s="140"/>
      <c r="K535" s="140"/>
      <c r="L535" s="140"/>
      <c r="M535" s="140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30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30"/>
      <c r="BC535" s="130"/>
      <c r="BD535" s="130"/>
      <c r="BE535" s="130"/>
      <c r="BF535" s="128"/>
      <c r="BG535" s="128"/>
      <c r="BH535" s="128"/>
      <c r="BI535" s="128"/>
      <c r="BJ535" s="128"/>
    </row>
    <row r="536" spans="1:62" ht="4.5" customHeight="1">
      <c r="A536" s="146"/>
      <c r="B536" s="140"/>
      <c r="C536" s="140"/>
      <c r="D536" s="146"/>
      <c r="E536" s="140"/>
      <c r="F536" s="143"/>
      <c r="G536" s="174"/>
      <c r="H536" s="174"/>
      <c r="I536" s="174"/>
      <c r="J536" s="140"/>
      <c r="K536" s="140"/>
      <c r="L536" s="140"/>
      <c r="M536" s="140"/>
      <c r="N536" s="143"/>
      <c r="O536" s="140"/>
      <c r="P536" s="140"/>
      <c r="Q536" s="140"/>
      <c r="R536" s="140"/>
      <c r="S536" s="174"/>
      <c r="T536" s="174"/>
      <c r="U536" s="174"/>
      <c r="V536" s="174"/>
      <c r="W536" s="174"/>
      <c r="X536" s="174"/>
      <c r="Y536" s="140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28"/>
      <c r="AK536" s="128"/>
      <c r="AL536" s="128"/>
      <c r="AM536" s="128"/>
      <c r="AN536" s="128"/>
      <c r="AO536" s="130"/>
      <c r="AP536" s="130"/>
      <c r="AQ536" s="130"/>
      <c r="AR536" s="130"/>
      <c r="AS536" s="130"/>
      <c r="AT536" s="130"/>
      <c r="AU536" s="130"/>
      <c r="AV536" s="130"/>
      <c r="AW536" s="130"/>
      <c r="AX536" s="128"/>
      <c r="AY536" s="130"/>
      <c r="AZ536" s="130"/>
      <c r="BA536" s="130"/>
      <c r="BB536" s="130"/>
      <c r="BC536" s="130"/>
      <c r="BD536" s="130"/>
      <c r="BE536" s="130"/>
      <c r="BF536" s="128"/>
      <c r="BG536" s="128"/>
      <c r="BH536" s="128"/>
      <c r="BI536" s="128"/>
      <c r="BJ536" s="128"/>
    </row>
    <row r="537" spans="1:62" ht="15" customHeight="1">
      <c r="A537" s="722" t="s">
        <v>685</v>
      </c>
      <c r="B537" s="707"/>
      <c r="C537" s="707"/>
      <c r="D537" s="738" t="s">
        <v>686</v>
      </c>
      <c r="E537" s="724"/>
      <c r="F537" s="724"/>
      <c r="G537" s="724"/>
      <c r="H537" s="724"/>
      <c r="I537" s="724"/>
      <c r="J537" s="721" t="s">
        <v>448</v>
      </c>
      <c r="K537" s="722" t="s">
        <v>679</v>
      </c>
      <c r="L537" s="707"/>
      <c r="M537" s="707"/>
      <c r="N537" s="722" t="s">
        <v>685</v>
      </c>
      <c r="O537" s="707"/>
      <c r="P537" s="707"/>
      <c r="Q537" s="723">
        <f>L508</f>
        <v>378.5145220588235</v>
      </c>
      <c r="R537" s="724"/>
      <c r="S537" s="724"/>
      <c r="T537" s="234" t="s">
        <v>357</v>
      </c>
      <c r="U537" s="751">
        <f>(VLOOKUP('Veri Girişi'!E73,TABLOLAR!I69:N74,5,0))*6</f>
        <v>203.39999999999998</v>
      </c>
      <c r="V537" s="724"/>
      <c r="W537" s="724"/>
      <c r="X537" s="724"/>
      <c r="Y537" s="730" t="s">
        <v>262</v>
      </c>
      <c r="Z537" s="734">
        <f>Q537*U537/Q538</f>
        <v>8.2983771610167079</v>
      </c>
      <c r="AA537" s="707"/>
      <c r="AB537" s="707"/>
      <c r="AC537" s="721" t="s">
        <v>448</v>
      </c>
      <c r="AD537" s="721">
        <f>AH305</f>
        <v>165</v>
      </c>
      <c r="AE537" s="707"/>
      <c r="AF537" s="707"/>
      <c r="AG537" s="735" t="s">
        <v>406</v>
      </c>
      <c r="AH537" s="707"/>
      <c r="AI537" s="707"/>
      <c r="AJ537" s="707"/>
      <c r="AK537" s="128"/>
      <c r="AL537" s="725" t="str">
        <f>IF(Z537&lt;=AD537,"UYGUNDUR.","UYGUN DEĞİLDİR.")</f>
        <v>UYGUNDUR.</v>
      </c>
      <c r="AM537" s="637"/>
      <c r="AN537" s="637"/>
      <c r="AO537" s="637"/>
      <c r="AP537" s="637"/>
      <c r="AQ537" s="637"/>
      <c r="AR537" s="637"/>
      <c r="AS537" s="637"/>
      <c r="AT537" s="637"/>
      <c r="AU537" s="690"/>
      <c r="AV537" s="130"/>
      <c r="AW537" s="130"/>
      <c r="AX537" s="128"/>
      <c r="AY537" s="130"/>
      <c r="AZ537" s="130"/>
      <c r="BA537" s="130"/>
      <c r="BB537" s="130"/>
      <c r="BC537" s="130"/>
      <c r="BD537" s="130"/>
      <c r="BE537" s="130"/>
      <c r="BF537" s="128"/>
      <c r="BG537" s="128"/>
      <c r="BH537" s="128"/>
      <c r="BI537" s="128"/>
      <c r="BJ537" s="128"/>
    </row>
    <row r="538" spans="1:62" ht="15" customHeight="1">
      <c r="A538" s="707"/>
      <c r="B538" s="707"/>
      <c r="C538" s="707"/>
      <c r="D538" s="753" t="s">
        <v>687</v>
      </c>
      <c r="E538" s="637"/>
      <c r="F538" s="637"/>
      <c r="G538" s="637"/>
      <c r="H538" s="637"/>
      <c r="I538" s="637"/>
      <c r="J538" s="707"/>
      <c r="K538" s="707"/>
      <c r="L538" s="707"/>
      <c r="M538" s="707"/>
      <c r="N538" s="707"/>
      <c r="O538" s="707"/>
      <c r="P538" s="707"/>
      <c r="Q538" s="742">
        <f>(((VLOOKUP('Veri Girişi'!E73,TABLOLAR!I60:S65,10,0))*(VLOOKUP('Veri Girişi'!E73,TABLOLAR!I60:S65,10,0)))*(1+2*(VLOOKUP('Veri Girişi'!E73,TABLOLAR!I69:N74,6,0))))</f>
        <v>9277.6999999999989</v>
      </c>
      <c r="R538" s="637"/>
      <c r="S538" s="637"/>
      <c r="T538" s="637"/>
      <c r="U538" s="637"/>
      <c r="V538" s="637"/>
      <c r="W538" s="637"/>
      <c r="X538" s="637"/>
      <c r="Y538" s="707"/>
      <c r="Z538" s="707"/>
      <c r="AA538" s="707"/>
      <c r="AB538" s="707"/>
      <c r="AC538" s="707"/>
      <c r="AD538" s="707"/>
      <c r="AE538" s="707"/>
      <c r="AF538" s="707"/>
      <c r="AG538" s="707"/>
      <c r="AH538" s="707"/>
      <c r="AI538" s="707"/>
      <c r="AJ538" s="707"/>
      <c r="AK538" s="128"/>
      <c r="AL538" s="726"/>
      <c r="AM538" s="724"/>
      <c r="AN538" s="724"/>
      <c r="AO538" s="724"/>
      <c r="AP538" s="724"/>
      <c r="AQ538" s="724"/>
      <c r="AR538" s="724"/>
      <c r="AS538" s="724"/>
      <c r="AT538" s="724"/>
      <c r="AU538" s="727"/>
      <c r="AV538" s="130"/>
      <c r="AW538" s="130"/>
      <c r="AX538" s="128"/>
      <c r="AY538" s="130"/>
      <c r="AZ538" s="130"/>
      <c r="BA538" s="130"/>
      <c r="BB538" s="130"/>
      <c r="BC538" s="130"/>
      <c r="BD538" s="130"/>
      <c r="BE538" s="130"/>
      <c r="BF538" s="128"/>
      <c r="BG538" s="128"/>
      <c r="BH538" s="128"/>
      <c r="BI538" s="128"/>
      <c r="BJ538" s="128"/>
    </row>
    <row r="539" spans="1:62" ht="4.5" customHeight="1">
      <c r="A539" s="146"/>
      <c r="B539" s="140"/>
      <c r="C539" s="140"/>
      <c r="D539" s="146"/>
      <c r="E539" s="140"/>
      <c r="F539" s="140"/>
      <c r="G539" s="174"/>
      <c r="H539" s="174"/>
      <c r="I539" s="174"/>
      <c r="J539" s="140"/>
      <c r="K539" s="140"/>
      <c r="L539" s="140"/>
      <c r="M539" s="140"/>
      <c r="N539" s="140"/>
      <c r="O539" s="140"/>
      <c r="P539" s="140"/>
      <c r="Q539" s="140"/>
      <c r="R539" s="140"/>
      <c r="S539" s="174"/>
      <c r="T539" s="174"/>
      <c r="U539" s="174"/>
      <c r="V539" s="174"/>
      <c r="W539" s="174"/>
      <c r="X539" s="174"/>
      <c r="Y539" s="140"/>
      <c r="Z539" s="130"/>
      <c r="AA539" s="130"/>
      <c r="AB539" s="130"/>
      <c r="AC539" s="130"/>
      <c r="AD539" s="130"/>
      <c r="AE539" s="130"/>
      <c r="AF539" s="130"/>
      <c r="AG539" s="130"/>
      <c r="AH539" s="130"/>
      <c r="AI539" s="130"/>
      <c r="AJ539" s="128"/>
      <c r="AK539" s="128"/>
      <c r="AL539" s="128"/>
      <c r="AM539" s="128"/>
      <c r="AN539" s="128"/>
      <c r="AO539" s="130"/>
      <c r="AP539" s="130"/>
      <c r="AQ539" s="130"/>
      <c r="AR539" s="130"/>
      <c r="AS539" s="130"/>
      <c r="AT539" s="130"/>
      <c r="AU539" s="130"/>
      <c r="AV539" s="130"/>
      <c r="AW539" s="130"/>
      <c r="AX539" s="128"/>
      <c r="AY539" s="130"/>
      <c r="AZ539" s="130"/>
      <c r="BA539" s="130"/>
      <c r="BB539" s="130"/>
      <c r="BC539" s="130"/>
      <c r="BD539" s="130"/>
      <c r="BE539" s="130"/>
      <c r="BF539" s="128"/>
      <c r="BG539" s="128"/>
      <c r="BH539" s="128"/>
      <c r="BI539" s="128"/>
      <c r="BJ539" s="128"/>
    </row>
    <row r="540" spans="1:62" ht="15" customHeight="1">
      <c r="A540" s="146" t="s">
        <v>689</v>
      </c>
      <c r="B540" s="140"/>
      <c r="C540" s="140"/>
      <c r="D540" s="146"/>
      <c r="E540" s="140"/>
      <c r="F540" s="143"/>
      <c r="G540" s="174"/>
      <c r="H540" s="174"/>
      <c r="I540" s="174"/>
      <c r="J540" s="140"/>
      <c r="K540" s="140"/>
      <c r="L540" s="140"/>
      <c r="M540" s="140"/>
      <c r="N540" s="143"/>
      <c r="O540" s="140"/>
      <c r="P540" s="140"/>
      <c r="Q540" s="140"/>
      <c r="R540" s="140"/>
      <c r="S540" s="174"/>
      <c r="T540" s="174"/>
      <c r="U540" s="174"/>
      <c r="V540" s="174"/>
      <c r="W540" s="174"/>
      <c r="X540" s="174"/>
      <c r="Y540" s="140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28"/>
      <c r="AK540" s="128"/>
      <c r="AL540" s="128"/>
      <c r="AM540" s="128"/>
      <c r="AN540" s="128"/>
      <c r="AO540" s="130"/>
      <c r="AP540" s="130"/>
      <c r="AQ540" s="130"/>
      <c r="AR540" s="130"/>
      <c r="AS540" s="130"/>
      <c r="AT540" s="130"/>
      <c r="AU540" s="130"/>
      <c r="AV540" s="130"/>
      <c r="AW540" s="130"/>
      <c r="AX540" s="128"/>
      <c r="AY540" s="130"/>
      <c r="AZ540" s="130"/>
      <c r="BA540" s="130"/>
      <c r="BB540" s="130"/>
      <c r="BC540" s="130"/>
      <c r="BD540" s="130"/>
      <c r="BE540" s="130"/>
      <c r="BF540" s="128"/>
      <c r="BG540" s="128"/>
      <c r="BH540" s="128"/>
      <c r="BI540" s="128"/>
      <c r="BJ540" s="128"/>
    </row>
    <row r="541" spans="1:62" ht="4.5" customHeight="1">
      <c r="A541" s="146"/>
      <c r="B541" s="140"/>
      <c r="C541" s="140"/>
      <c r="D541" s="146"/>
      <c r="E541" s="140"/>
      <c r="F541" s="143"/>
      <c r="G541" s="174"/>
      <c r="H541" s="174"/>
      <c r="I541" s="174"/>
      <c r="J541" s="140"/>
      <c r="K541" s="140"/>
      <c r="L541" s="140"/>
      <c r="M541" s="140"/>
      <c r="N541" s="143"/>
      <c r="O541" s="140"/>
      <c r="P541" s="140"/>
      <c r="Q541" s="140"/>
      <c r="R541" s="140"/>
      <c r="S541" s="174"/>
      <c r="T541" s="174"/>
      <c r="U541" s="174"/>
      <c r="V541" s="174"/>
      <c r="W541" s="174"/>
      <c r="X541" s="174"/>
      <c r="Y541" s="140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28"/>
      <c r="AK541" s="128"/>
      <c r="AL541" s="128"/>
      <c r="AM541" s="128"/>
      <c r="AN541" s="128"/>
      <c r="AO541" s="130"/>
      <c r="AP541" s="130"/>
      <c r="AQ541" s="130"/>
      <c r="AR541" s="130"/>
      <c r="AS541" s="130"/>
      <c r="AT541" s="130"/>
      <c r="AU541" s="130"/>
      <c r="AV541" s="130"/>
      <c r="AW541" s="130"/>
      <c r="AX541" s="128"/>
      <c r="AY541" s="130"/>
      <c r="AZ541" s="130"/>
      <c r="BA541" s="130"/>
      <c r="BB541" s="130"/>
      <c r="BC541" s="130"/>
      <c r="BD541" s="130"/>
      <c r="BE541" s="130"/>
      <c r="BF541" s="128"/>
      <c r="BG541" s="128"/>
      <c r="BH541" s="128"/>
      <c r="BI541" s="128"/>
      <c r="BJ541" s="128"/>
    </row>
    <row r="542" spans="1:62" ht="15" customHeight="1">
      <c r="A542" s="729" t="s">
        <v>690</v>
      </c>
      <c r="B542" s="757" t="s">
        <v>262</v>
      </c>
      <c r="C542" s="730" t="s">
        <v>691</v>
      </c>
      <c r="D542" s="707"/>
      <c r="E542" s="707"/>
      <c r="F542" s="808" t="s">
        <v>692</v>
      </c>
      <c r="G542" s="724"/>
      <c r="H542" s="724"/>
      <c r="I542" s="724"/>
      <c r="J542" s="724"/>
      <c r="K542" s="755" t="s">
        <v>448</v>
      </c>
      <c r="L542" s="729" t="s">
        <v>693</v>
      </c>
      <c r="M542" s="707"/>
      <c r="N542" s="140"/>
      <c r="O542" s="140"/>
      <c r="P542" s="729" t="s">
        <v>690</v>
      </c>
      <c r="Q542" s="757" t="s">
        <v>262</v>
      </c>
      <c r="R542" s="730">
        <v>0.7</v>
      </c>
      <c r="S542" s="707"/>
      <c r="T542" s="730" t="s">
        <v>357</v>
      </c>
      <c r="U542" s="723">
        <f>L508</f>
        <v>378.5145220588235</v>
      </c>
      <c r="V542" s="724"/>
      <c r="W542" s="724"/>
      <c r="X542" s="724"/>
      <c r="Y542" s="724"/>
      <c r="Z542" s="206" t="s">
        <v>357</v>
      </c>
      <c r="AA542" s="738">
        <f>('Veri Girişi'!$B$111)^3</f>
        <v>27000000000</v>
      </c>
      <c r="AB542" s="724"/>
      <c r="AC542" s="724"/>
      <c r="AD542" s="724"/>
      <c r="AE542" s="724"/>
      <c r="AF542" s="724"/>
      <c r="AG542" s="757" t="s">
        <v>262</v>
      </c>
      <c r="AH542" s="734">
        <f>R542*AA542*U542/(U543*X543*AC543)</f>
        <v>1.3803863345567191</v>
      </c>
      <c r="AI542" s="707"/>
      <c r="AJ542" s="707"/>
      <c r="AK542" s="721" t="s">
        <v>448</v>
      </c>
      <c r="AL542" s="721">
        <v>5</v>
      </c>
      <c r="AM542" s="722" t="s">
        <v>122</v>
      </c>
      <c r="AN542" s="707"/>
      <c r="AO542" s="130"/>
      <c r="AP542" s="130"/>
      <c r="AQ542" s="725" t="str">
        <f>IF(AH542&lt;=AL542,"UYGUNDUR.","UYGUN DEĞİLDİR.")</f>
        <v>UYGUNDUR.</v>
      </c>
      <c r="AR542" s="637"/>
      <c r="AS542" s="637"/>
      <c r="AT542" s="637"/>
      <c r="AU542" s="637"/>
      <c r="AV542" s="637"/>
      <c r="AW542" s="637"/>
      <c r="AX542" s="637"/>
      <c r="AY542" s="637"/>
      <c r="AZ542" s="690"/>
      <c r="BA542" s="130"/>
      <c r="BB542" s="130"/>
      <c r="BC542" s="130"/>
      <c r="BD542" s="130"/>
      <c r="BE542" s="130"/>
      <c r="BF542" s="128"/>
      <c r="BG542" s="128"/>
      <c r="BH542" s="128"/>
      <c r="BI542" s="128"/>
      <c r="BJ542" s="128"/>
    </row>
    <row r="543" spans="1:62" ht="15" customHeight="1">
      <c r="A543" s="707"/>
      <c r="B543" s="707"/>
      <c r="C543" s="707"/>
      <c r="D543" s="707"/>
      <c r="E543" s="707"/>
      <c r="F543" s="743" t="s">
        <v>694</v>
      </c>
      <c r="G543" s="637"/>
      <c r="H543" s="637"/>
      <c r="I543" s="637"/>
      <c r="J543" s="637"/>
      <c r="K543" s="707"/>
      <c r="L543" s="707"/>
      <c r="M543" s="707"/>
      <c r="N543" s="140"/>
      <c r="O543" s="140"/>
      <c r="P543" s="707"/>
      <c r="Q543" s="707"/>
      <c r="R543" s="707"/>
      <c r="S543" s="707"/>
      <c r="T543" s="707"/>
      <c r="U543" s="730">
        <f>48</f>
        <v>48</v>
      </c>
      <c r="V543" s="707"/>
      <c r="W543" s="171" t="s">
        <v>357</v>
      </c>
      <c r="X543" s="730">
        <v>206010</v>
      </c>
      <c r="Y543" s="707"/>
      <c r="Z543" s="707"/>
      <c r="AA543" s="707"/>
      <c r="AB543" s="171" t="s">
        <v>357</v>
      </c>
      <c r="AC543" s="730">
        <f>VLOOKUP('Veri Girişi'!$E$73,TABLOLAR!$I$60:$S$65,5,0)</f>
        <v>524100</v>
      </c>
      <c r="AD543" s="707"/>
      <c r="AE543" s="707"/>
      <c r="AF543" s="707"/>
      <c r="AG543" s="707"/>
      <c r="AH543" s="707"/>
      <c r="AI543" s="707"/>
      <c r="AJ543" s="707"/>
      <c r="AK543" s="707"/>
      <c r="AL543" s="707"/>
      <c r="AM543" s="707"/>
      <c r="AN543" s="707"/>
      <c r="AO543" s="130"/>
      <c r="AP543" s="130"/>
      <c r="AQ543" s="726"/>
      <c r="AR543" s="724"/>
      <c r="AS543" s="724"/>
      <c r="AT543" s="724"/>
      <c r="AU543" s="724"/>
      <c r="AV543" s="724"/>
      <c r="AW543" s="724"/>
      <c r="AX543" s="724"/>
      <c r="AY543" s="724"/>
      <c r="AZ543" s="727"/>
      <c r="BA543" s="130"/>
      <c r="BB543" s="130"/>
      <c r="BC543" s="130"/>
      <c r="BD543" s="130"/>
      <c r="BE543" s="130"/>
      <c r="BF543" s="128"/>
      <c r="BG543" s="128"/>
      <c r="BH543" s="128"/>
      <c r="BI543" s="128"/>
      <c r="BJ543" s="128"/>
    </row>
    <row r="544" spans="1:62" ht="4.5" customHeight="1">
      <c r="A544" s="146"/>
      <c r="B544" s="140"/>
      <c r="C544" s="140"/>
      <c r="D544" s="146"/>
      <c r="E544" s="140"/>
      <c r="F544" s="140"/>
      <c r="G544" s="174"/>
      <c r="H544" s="174"/>
      <c r="I544" s="174"/>
      <c r="J544" s="140"/>
      <c r="K544" s="140"/>
      <c r="L544" s="140"/>
      <c r="M544" s="140"/>
      <c r="N544" s="140"/>
      <c r="O544" s="140"/>
      <c r="P544" s="140"/>
      <c r="Q544" s="140"/>
      <c r="R544" s="140"/>
      <c r="S544" s="174"/>
      <c r="T544" s="174"/>
      <c r="U544" s="174"/>
      <c r="V544" s="174"/>
      <c r="W544" s="174"/>
      <c r="X544" s="174"/>
      <c r="Y544" s="140"/>
      <c r="Z544" s="196"/>
      <c r="AA544" s="196"/>
      <c r="AB544" s="196"/>
      <c r="AC544" s="196"/>
      <c r="AD544" s="196"/>
      <c r="AE544" s="196"/>
      <c r="AF544" s="196"/>
      <c r="AG544" s="196"/>
      <c r="AH544" s="241"/>
      <c r="AI544" s="241"/>
      <c r="AJ544" s="242"/>
      <c r="AK544" s="128"/>
      <c r="AL544" s="128"/>
      <c r="AM544" s="128"/>
      <c r="AN544" s="128"/>
      <c r="AO544" s="130"/>
      <c r="AP544" s="130"/>
      <c r="AQ544" s="130"/>
      <c r="AR544" s="130"/>
      <c r="AS544" s="130"/>
      <c r="AT544" s="130"/>
      <c r="AU544" s="130"/>
      <c r="AV544" s="130"/>
      <c r="AW544" s="130"/>
      <c r="AX544" s="128"/>
      <c r="AY544" s="130"/>
      <c r="AZ544" s="130"/>
      <c r="BA544" s="130"/>
      <c r="BB544" s="130"/>
      <c r="BC544" s="130"/>
      <c r="BD544" s="130"/>
      <c r="BE544" s="130"/>
      <c r="BF544" s="128"/>
      <c r="BG544" s="128"/>
      <c r="BH544" s="128"/>
      <c r="BI544" s="128"/>
      <c r="BJ544" s="128"/>
    </row>
    <row r="545" spans="1:62" ht="16.5" customHeight="1">
      <c r="A545" s="729" t="s">
        <v>695</v>
      </c>
      <c r="B545" s="757" t="s">
        <v>262</v>
      </c>
      <c r="C545" s="730" t="s">
        <v>691</v>
      </c>
      <c r="D545" s="707"/>
      <c r="E545" s="707"/>
      <c r="F545" s="770" t="s">
        <v>696</v>
      </c>
      <c r="G545" s="724"/>
      <c r="H545" s="724"/>
      <c r="I545" s="724"/>
      <c r="J545" s="724"/>
      <c r="K545" s="755" t="s">
        <v>448</v>
      </c>
      <c r="L545" s="729" t="s">
        <v>693</v>
      </c>
      <c r="M545" s="707"/>
      <c r="N545" s="140"/>
      <c r="O545" s="140"/>
      <c r="P545" s="729" t="s">
        <v>695</v>
      </c>
      <c r="Q545" s="757" t="s">
        <v>262</v>
      </c>
      <c r="R545" s="730">
        <v>0.7</v>
      </c>
      <c r="S545" s="707"/>
      <c r="T545" s="730" t="s">
        <v>357</v>
      </c>
      <c r="U545" s="723">
        <f>L516</f>
        <v>0</v>
      </c>
      <c r="V545" s="724"/>
      <c r="W545" s="724"/>
      <c r="X545" s="724"/>
      <c r="Y545" s="724"/>
      <c r="Z545" s="206" t="s">
        <v>357</v>
      </c>
      <c r="AA545" s="738">
        <f>('Veri Girişi'!$B$111)^3</f>
        <v>27000000000</v>
      </c>
      <c r="AB545" s="724"/>
      <c r="AC545" s="724"/>
      <c r="AD545" s="724"/>
      <c r="AE545" s="724"/>
      <c r="AF545" s="724"/>
      <c r="AG545" s="757" t="s">
        <v>262</v>
      </c>
      <c r="AH545" s="734">
        <f>R545*AA545*U545/(U546*X546*AC546)</f>
        <v>0</v>
      </c>
      <c r="AI545" s="707"/>
      <c r="AJ545" s="707"/>
      <c r="AK545" s="721" t="s">
        <v>448</v>
      </c>
      <c r="AL545" s="721">
        <v>5</v>
      </c>
      <c r="AM545" s="722" t="s">
        <v>122</v>
      </c>
      <c r="AN545" s="707"/>
      <c r="AO545" s="130"/>
      <c r="AP545" s="130"/>
      <c r="AQ545" s="725" t="str">
        <f>IF(AH545&lt;=AL545,"UYGUNDUR.","UYGUN DEĞİLDİR.")</f>
        <v>UYGUNDUR.</v>
      </c>
      <c r="AR545" s="637"/>
      <c r="AS545" s="637"/>
      <c r="AT545" s="637"/>
      <c r="AU545" s="637"/>
      <c r="AV545" s="637"/>
      <c r="AW545" s="637"/>
      <c r="AX545" s="637"/>
      <c r="AY545" s="637"/>
      <c r="AZ545" s="690"/>
      <c r="BA545" s="130"/>
      <c r="BB545" s="130"/>
      <c r="BC545" s="130"/>
      <c r="BD545" s="130"/>
      <c r="BE545" s="130"/>
      <c r="BF545" s="128"/>
      <c r="BG545" s="128"/>
      <c r="BH545" s="128"/>
      <c r="BI545" s="128"/>
      <c r="BJ545" s="128"/>
    </row>
    <row r="546" spans="1:62" ht="16.5" customHeight="1">
      <c r="A546" s="707"/>
      <c r="B546" s="707"/>
      <c r="C546" s="707"/>
      <c r="D546" s="707"/>
      <c r="E546" s="707"/>
      <c r="F546" s="743" t="s">
        <v>697</v>
      </c>
      <c r="G546" s="637"/>
      <c r="H546" s="637"/>
      <c r="I546" s="637"/>
      <c r="J546" s="637"/>
      <c r="K546" s="707"/>
      <c r="L546" s="707"/>
      <c r="M546" s="707"/>
      <c r="N546" s="140"/>
      <c r="O546" s="140"/>
      <c r="P546" s="707"/>
      <c r="Q546" s="707"/>
      <c r="R546" s="707"/>
      <c r="S546" s="707"/>
      <c r="T546" s="707"/>
      <c r="U546" s="730">
        <f>48</f>
        <v>48</v>
      </c>
      <c r="V546" s="707"/>
      <c r="W546" s="171" t="s">
        <v>357</v>
      </c>
      <c r="X546" s="730">
        <v>206010</v>
      </c>
      <c r="Y546" s="707"/>
      <c r="Z546" s="707"/>
      <c r="AA546" s="707"/>
      <c r="AB546" s="171" t="s">
        <v>357</v>
      </c>
      <c r="AC546" s="730">
        <f>VLOOKUP('Veri Girişi'!$E$73,TABLOLAR!$I$60:$S$65,4,0)</f>
        <v>598300</v>
      </c>
      <c r="AD546" s="707"/>
      <c r="AE546" s="707"/>
      <c r="AF546" s="707"/>
      <c r="AG546" s="707"/>
      <c r="AH546" s="707"/>
      <c r="AI546" s="707"/>
      <c r="AJ546" s="707"/>
      <c r="AK546" s="707"/>
      <c r="AL546" s="707"/>
      <c r="AM546" s="707"/>
      <c r="AN546" s="707"/>
      <c r="AO546" s="130"/>
      <c r="AP546" s="130"/>
      <c r="AQ546" s="726"/>
      <c r="AR546" s="724"/>
      <c r="AS546" s="724"/>
      <c r="AT546" s="724"/>
      <c r="AU546" s="724"/>
      <c r="AV546" s="724"/>
      <c r="AW546" s="724"/>
      <c r="AX546" s="724"/>
      <c r="AY546" s="724"/>
      <c r="AZ546" s="727"/>
      <c r="BA546" s="130"/>
      <c r="BB546" s="130"/>
      <c r="BC546" s="130"/>
      <c r="BD546" s="130"/>
      <c r="BE546" s="130"/>
      <c r="BF546" s="128"/>
      <c r="BG546" s="128"/>
      <c r="BH546" s="128"/>
      <c r="BI546" s="128"/>
      <c r="BJ546" s="128"/>
    </row>
    <row r="547" spans="1:62" ht="4.5" customHeight="1">
      <c r="A547" s="146"/>
      <c r="B547" s="140"/>
      <c r="C547" s="140"/>
      <c r="D547" s="146"/>
      <c r="E547" s="140"/>
      <c r="F547" s="140"/>
      <c r="G547" s="174"/>
      <c r="H547" s="174"/>
      <c r="I547" s="174"/>
      <c r="J547" s="140"/>
      <c r="K547" s="140"/>
      <c r="L547" s="140"/>
      <c r="M547" s="140"/>
      <c r="N547" s="140"/>
      <c r="O547" s="140"/>
      <c r="P547" s="140"/>
      <c r="Q547" s="140"/>
      <c r="R547" s="140"/>
      <c r="S547" s="174"/>
      <c r="T547" s="174"/>
      <c r="U547" s="174"/>
      <c r="V547" s="174"/>
      <c r="W547" s="174"/>
      <c r="X547" s="174"/>
      <c r="Y547" s="140"/>
      <c r="Z547" s="130"/>
      <c r="AA547" s="130"/>
      <c r="AB547" s="130"/>
      <c r="AC547" s="130"/>
      <c r="AD547" s="130"/>
      <c r="AE547" s="130"/>
      <c r="AF547" s="130"/>
      <c r="AG547" s="130"/>
      <c r="AH547" s="130"/>
      <c r="AI547" s="130"/>
      <c r="AJ547" s="128"/>
      <c r="AK547" s="128"/>
      <c r="AL547" s="128"/>
      <c r="AM547" s="128"/>
      <c r="AN547" s="128"/>
      <c r="AO547" s="130"/>
      <c r="AP547" s="130"/>
      <c r="AQ547" s="130"/>
      <c r="AR547" s="130"/>
      <c r="AS547" s="130"/>
      <c r="AT547" s="130"/>
      <c r="AU547" s="130"/>
      <c r="AV547" s="130"/>
      <c r="AW547" s="130"/>
      <c r="AX547" s="128"/>
      <c r="AY547" s="130"/>
      <c r="AZ547" s="130"/>
      <c r="BA547" s="130"/>
      <c r="BB547" s="130"/>
      <c r="BC547" s="130"/>
      <c r="BD547" s="130"/>
      <c r="BE547" s="130"/>
      <c r="BF547" s="128"/>
      <c r="BG547" s="128"/>
      <c r="BH547" s="128"/>
      <c r="BI547" s="128"/>
      <c r="BJ547" s="128"/>
    </row>
    <row r="548" spans="1:62" ht="15" customHeight="1">
      <c r="A548" s="792" t="s">
        <v>714</v>
      </c>
      <c r="B548" s="707"/>
      <c r="C548" s="707"/>
      <c r="D548" s="707"/>
      <c r="E548" s="707"/>
      <c r="F548" s="707"/>
      <c r="G548" s="707"/>
      <c r="H548" s="707"/>
      <c r="I548" s="707"/>
      <c r="J548" s="707"/>
      <c r="K548" s="707"/>
      <c r="L548" s="707"/>
      <c r="M548" s="707"/>
      <c r="N548" s="707"/>
      <c r="O548" s="707"/>
      <c r="P548" s="707"/>
      <c r="Q548" s="707"/>
      <c r="R548" s="707"/>
      <c r="S548" s="707"/>
      <c r="T548" s="707"/>
      <c r="U548" s="707"/>
      <c r="V548" s="707"/>
      <c r="W548" s="707"/>
      <c r="X548" s="707"/>
      <c r="Y548" s="707"/>
      <c r="Z548" s="707"/>
      <c r="AA548" s="707"/>
      <c r="AB548" s="707"/>
      <c r="AC548" s="707"/>
      <c r="AD548" s="707"/>
      <c r="AE548" s="707"/>
      <c r="AF548" s="707"/>
      <c r="AG548" s="707"/>
      <c r="AH548" s="707"/>
      <c r="AI548" s="707"/>
      <c r="AJ548" s="707"/>
      <c r="AK548" s="707"/>
      <c r="AL548" s="707"/>
      <c r="AM548" s="707"/>
      <c r="AN548" s="707"/>
      <c r="AO548" s="130"/>
      <c r="AP548" s="130"/>
      <c r="AQ548" s="130"/>
      <c r="AR548" s="130"/>
      <c r="AS548" s="130"/>
      <c r="AT548" s="130"/>
      <c r="AU548" s="130"/>
      <c r="AV548" s="130"/>
      <c r="AW548" s="130"/>
      <c r="AX548" s="128"/>
      <c r="AY548" s="130"/>
      <c r="AZ548" s="130"/>
      <c r="BA548" s="130"/>
      <c r="BB548" s="130"/>
      <c r="BC548" s="130"/>
      <c r="BD548" s="130"/>
      <c r="BE548" s="130"/>
      <c r="BF548" s="128"/>
      <c r="BG548" s="128"/>
      <c r="BH548" s="128"/>
      <c r="BI548" s="128"/>
      <c r="BJ548" s="128"/>
    </row>
    <row r="549" spans="1:62" ht="4.5" customHeight="1">
      <c r="A549" s="146"/>
      <c r="B549" s="140"/>
      <c r="C549" s="140"/>
      <c r="D549" s="146"/>
      <c r="E549" s="140"/>
      <c r="F549" s="140"/>
      <c r="G549" s="174"/>
      <c r="H549" s="174"/>
      <c r="I549" s="174"/>
      <c r="J549" s="140"/>
      <c r="K549" s="140"/>
      <c r="L549" s="140"/>
      <c r="M549" s="140"/>
      <c r="N549" s="140"/>
      <c r="O549" s="140"/>
      <c r="P549" s="140"/>
      <c r="Q549" s="140"/>
      <c r="R549" s="140"/>
      <c r="S549" s="174"/>
      <c r="T549" s="174"/>
      <c r="U549" s="174"/>
      <c r="V549" s="174"/>
      <c r="W549" s="174"/>
      <c r="X549" s="174"/>
      <c r="Y549" s="140"/>
      <c r="Z549" s="130"/>
      <c r="AA549" s="130"/>
      <c r="AB549" s="130"/>
      <c r="AC549" s="130"/>
      <c r="AD549" s="130"/>
      <c r="AE549" s="130"/>
      <c r="AF549" s="130"/>
      <c r="AG549" s="130"/>
      <c r="AH549" s="130"/>
      <c r="AI549" s="130"/>
      <c r="AJ549" s="128"/>
      <c r="AK549" s="128"/>
      <c r="AL549" s="128"/>
      <c r="AM549" s="128"/>
      <c r="AN549" s="128"/>
      <c r="AO549" s="130"/>
      <c r="AP549" s="130"/>
      <c r="AQ549" s="130"/>
      <c r="AR549" s="130"/>
      <c r="AS549" s="130"/>
      <c r="AT549" s="130"/>
      <c r="AU549" s="130"/>
      <c r="AV549" s="130"/>
      <c r="AW549" s="130"/>
      <c r="AX549" s="128"/>
      <c r="AY549" s="130"/>
      <c r="AZ549" s="130"/>
      <c r="BA549" s="130"/>
      <c r="BB549" s="130"/>
      <c r="BC549" s="130"/>
      <c r="BD549" s="130"/>
      <c r="BE549" s="130"/>
      <c r="BF549" s="128"/>
      <c r="BG549" s="128"/>
      <c r="BH549" s="128"/>
      <c r="BI549" s="128"/>
      <c r="BJ549" s="128"/>
    </row>
    <row r="550" spans="1:62" ht="15" customHeight="1">
      <c r="A550" s="722" t="s">
        <v>715</v>
      </c>
      <c r="B550" s="707"/>
      <c r="C550" s="144" t="s">
        <v>716</v>
      </c>
      <c r="D550" s="146"/>
      <c r="E550" s="140"/>
      <c r="F550" s="140"/>
      <c r="G550" s="174"/>
      <c r="H550" s="174"/>
      <c r="I550" s="174"/>
      <c r="J550" s="140"/>
      <c r="K550" s="140"/>
      <c r="L550" s="140"/>
      <c r="M550" s="140"/>
      <c r="N550" s="140"/>
      <c r="O550" s="140"/>
      <c r="P550" s="140"/>
      <c r="Q550" s="140"/>
      <c r="R550" s="140"/>
      <c r="S550" s="174"/>
      <c r="T550" s="174"/>
      <c r="U550" s="174"/>
      <c r="V550" s="174"/>
      <c r="W550" s="174"/>
      <c r="X550" s="174"/>
      <c r="Y550" s="140"/>
      <c r="Z550" s="130"/>
      <c r="AA550" s="130"/>
      <c r="AB550" s="130"/>
      <c r="AC550" s="130"/>
      <c r="AD550" s="130"/>
      <c r="AE550" s="130"/>
      <c r="AF550" s="130"/>
      <c r="AG550" s="130"/>
      <c r="AH550" s="748">
        <f>VLOOKUP('Veri Girişi'!B118,TABLOLAR!U61:W63,2,0)</f>
        <v>150</v>
      </c>
      <c r="AI550" s="710"/>
      <c r="AJ550" s="710"/>
      <c r="AK550" s="710"/>
      <c r="AL550" s="583"/>
      <c r="AM550" s="784" t="s">
        <v>122</v>
      </c>
      <c r="AN550" s="707"/>
      <c r="AO550" s="171"/>
      <c r="AP550" s="171"/>
      <c r="AQ550" s="130"/>
      <c r="AR550" s="130"/>
      <c r="AS550" s="130"/>
      <c r="AT550" s="130"/>
      <c r="AU550" s="130"/>
      <c r="AV550" s="130"/>
      <c r="AW550" s="130"/>
      <c r="AX550" s="128"/>
      <c r="AY550" s="130"/>
      <c r="AZ550" s="130"/>
      <c r="BA550" s="130"/>
      <c r="BB550" s="130"/>
      <c r="BC550" s="130"/>
      <c r="BD550" s="130"/>
      <c r="BE550" s="130"/>
      <c r="BF550" s="128"/>
      <c r="BG550" s="128"/>
      <c r="BH550" s="128"/>
      <c r="BI550" s="128"/>
      <c r="BJ550" s="128"/>
    </row>
    <row r="551" spans="1:62" ht="15" customHeight="1">
      <c r="A551" s="722" t="s">
        <v>717</v>
      </c>
      <c r="B551" s="707"/>
      <c r="C551" s="144" t="s">
        <v>718</v>
      </c>
      <c r="D551" s="144"/>
      <c r="E551" s="140"/>
      <c r="F551" s="140"/>
      <c r="G551" s="174"/>
      <c r="H551" s="174"/>
      <c r="I551" s="174"/>
      <c r="J551" s="140"/>
      <c r="K551" s="140"/>
      <c r="L551" s="140"/>
      <c r="M551" s="140"/>
      <c r="N551" s="140"/>
      <c r="O551" s="140"/>
      <c r="P551" s="140"/>
      <c r="Q551" s="140"/>
      <c r="R551" s="140"/>
      <c r="S551" s="174"/>
      <c r="T551" s="174"/>
      <c r="U551" s="174"/>
      <c r="V551" s="174"/>
      <c r="W551" s="174"/>
      <c r="X551" s="174"/>
      <c r="Y551" s="140"/>
      <c r="Z551" s="130"/>
      <c r="AA551" s="130"/>
      <c r="AB551" s="130"/>
      <c r="AC551" s="130"/>
      <c r="AD551" s="130"/>
      <c r="AE551" s="130"/>
      <c r="AF551" s="130"/>
      <c r="AG551" s="130"/>
      <c r="AH551" s="748">
        <f>HLOOKUP('Veri Girişi'!B119,TABLOLAR!X59:Z60,2,0)</f>
        <v>960</v>
      </c>
      <c r="AI551" s="710"/>
      <c r="AJ551" s="710"/>
      <c r="AK551" s="710"/>
      <c r="AL551" s="583"/>
      <c r="AM551" s="784" t="s">
        <v>122</v>
      </c>
      <c r="AN551" s="707"/>
      <c r="AO551" s="171"/>
      <c r="AP551" s="171"/>
      <c r="AQ551" s="130"/>
      <c r="AR551" s="130"/>
      <c r="AS551" s="130"/>
      <c r="AT551" s="130"/>
      <c r="AU551" s="130"/>
      <c r="AV551" s="130"/>
      <c r="AW551" s="130"/>
      <c r="AX551" s="128"/>
      <c r="AY551" s="130"/>
      <c r="AZ551" s="130"/>
      <c r="BA551" s="130"/>
      <c r="BB551" s="130"/>
      <c r="BC551" s="130"/>
      <c r="BD551" s="130"/>
      <c r="BE551" s="130"/>
      <c r="BF551" s="128"/>
      <c r="BG551" s="128"/>
      <c r="BH551" s="128"/>
      <c r="BI551" s="128"/>
      <c r="BJ551" s="128"/>
    </row>
    <row r="552" spans="1:62" ht="15" customHeight="1">
      <c r="A552" s="722" t="s">
        <v>719</v>
      </c>
      <c r="B552" s="707"/>
      <c r="C552" s="144" t="s">
        <v>608</v>
      </c>
      <c r="D552" s="144"/>
      <c r="E552" s="140"/>
      <c r="F552" s="140"/>
      <c r="G552" s="174"/>
      <c r="H552" s="174"/>
      <c r="I552" s="174"/>
      <c r="J552" s="140"/>
      <c r="K552" s="140"/>
      <c r="L552" s="140"/>
      <c r="M552" s="140"/>
      <c r="N552" s="140"/>
      <c r="O552" s="140"/>
      <c r="P552" s="140"/>
      <c r="Q552" s="140"/>
      <c r="R552" s="140"/>
      <c r="S552" s="174"/>
      <c r="T552" s="174"/>
      <c r="U552" s="174"/>
      <c r="V552" s="174"/>
      <c r="W552" s="174"/>
      <c r="X552" s="174"/>
      <c r="Y552" s="140"/>
      <c r="Z552" s="130"/>
      <c r="AA552" s="130"/>
      <c r="AB552" s="130"/>
      <c r="AC552" s="130"/>
      <c r="AD552" s="130"/>
      <c r="AE552" s="130"/>
      <c r="AF552" s="130"/>
      <c r="AG552" s="130"/>
      <c r="AH552" s="771">
        <f>'Veri Girişi'!B128</f>
        <v>3400</v>
      </c>
      <c r="AI552" s="710"/>
      <c r="AJ552" s="710"/>
      <c r="AK552" s="710"/>
      <c r="AL552" s="583"/>
      <c r="AM552" s="784" t="s">
        <v>122</v>
      </c>
      <c r="AN552" s="707"/>
      <c r="AO552" s="171"/>
      <c r="AP552" s="171"/>
      <c r="AQ552" s="130"/>
      <c r="AR552" s="130"/>
      <c r="AS552" s="130"/>
      <c r="AT552" s="130"/>
      <c r="AU552" s="130"/>
      <c r="AV552" s="130"/>
      <c r="AW552" s="130"/>
      <c r="AX552" s="128"/>
      <c r="AY552" s="130"/>
      <c r="AZ552" s="130"/>
      <c r="BA552" s="130"/>
      <c r="BB552" s="130"/>
      <c r="BC552" s="130"/>
      <c r="BD552" s="130"/>
      <c r="BE552" s="130"/>
      <c r="BF552" s="128"/>
      <c r="BG552" s="128"/>
      <c r="BH552" s="128"/>
      <c r="BI552" s="128"/>
      <c r="BJ552" s="128"/>
    </row>
    <row r="553" spans="1:62" ht="15" customHeight="1">
      <c r="A553" s="722" t="s">
        <v>720</v>
      </c>
      <c r="B553" s="707"/>
      <c r="C553" s="144" t="s">
        <v>610</v>
      </c>
      <c r="D553" s="144"/>
      <c r="E553" s="140"/>
      <c r="F553" s="140"/>
      <c r="G553" s="174"/>
      <c r="H553" s="174"/>
      <c r="I553" s="174"/>
      <c r="J553" s="140"/>
      <c r="K553" s="140"/>
      <c r="L553" s="140"/>
      <c r="M553" s="140"/>
      <c r="N553" s="140"/>
      <c r="O553" s="140"/>
      <c r="P553" s="140"/>
      <c r="Q553" s="140"/>
      <c r="R553" s="140"/>
      <c r="S553" s="174"/>
      <c r="T553" s="174"/>
      <c r="U553" s="174"/>
      <c r="V553" s="174"/>
      <c r="W553" s="174"/>
      <c r="X553" s="174"/>
      <c r="Y553" s="140"/>
      <c r="Z553" s="130"/>
      <c r="AA553" s="130"/>
      <c r="AB553" s="130"/>
      <c r="AC553" s="130"/>
      <c r="AD553" s="130"/>
      <c r="AE553" s="130"/>
      <c r="AF553" s="130"/>
      <c r="AG553" s="130"/>
      <c r="AH553" s="748">
        <f>'Veri Girişi'!B112</f>
        <v>3000</v>
      </c>
      <c r="AI553" s="710"/>
      <c r="AJ553" s="710"/>
      <c r="AK553" s="710"/>
      <c r="AL553" s="583"/>
      <c r="AM553" s="784" t="s">
        <v>122</v>
      </c>
      <c r="AN553" s="707"/>
      <c r="AO553" s="171"/>
      <c r="AP553" s="171"/>
      <c r="AQ553" s="130"/>
      <c r="AR553" s="130"/>
      <c r="AS553" s="130"/>
      <c r="AT553" s="130"/>
      <c r="AU553" s="130"/>
      <c r="AV553" s="130"/>
      <c r="AW553" s="130"/>
      <c r="AX553" s="128"/>
      <c r="AY553" s="130"/>
      <c r="AZ553" s="130"/>
      <c r="BA553" s="130"/>
      <c r="BB553" s="130"/>
      <c r="BC553" s="130"/>
      <c r="BD553" s="130"/>
      <c r="BE553" s="130"/>
      <c r="BF553" s="128"/>
      <c r="BG553" s="128"/>
      <c r="BH553" s="128"/>
      <c r="BI553" s="128"/>
      <c r="BJ553" s="128"/>
    </row>
    <row r="554" spans="1:62" ht="15" customHeight="1">
      <c r="A554" s="722" t="s">
        <v>611</v>
      </c>
      <c r="B554" s="707"/>
      <c r="C554" s="144" t="s">
        <v>721</v>
      </c>
      <c r="D554" s="144"/>
      <c r="E554" s="140"/>
      <c r="F554" s="140"/>
      <c r="G554" s="174"/>
      <c r="H554" s="174"/>
      <c r="I554" s="174"/>
      <c r="J554" s="140"/>
      <c r="K554" s="140"/>
      <c r="L554" s="140"/>
      <c r="M554" s="140"/>
      <c r="N554" s="140"/>
      <c r="O554" s="140"/>
      <c r="P554" s="140"/>
      <c r="Q554" s="140"/>
      <c r="R554" s="140"/>
      <c r="S554" s="174"/>
      <c r="T554" s="174"/>
      <c r="U554" s="174"/>
      <c r="V554" s="174"/>
      <c r="W554" s="174"/>
      <c r="X554" s="174"/>
      <c r="Y554" s="140"/>
      <c r="Z554" s="130"/>
      <c r="AA554" s="130"/>
      <c r="AB554" s="130"/>
      <c r="AC554" s="130"/>
      <c r="AD554" s="130"/>
      <c r="AE554" s="130"/>
      <c r="AF554" s="130"/>
      <c r="AG554" s="130"/>
      <c r="AH554" s="759">
        <f>(SUM('Veri Girişi'!G12:G34)+('Veri Girişi'!F107-200)+('Veri Girişi'!F114-300))/1000*(VLOOKUP('Veri Girişi'!F73,TABLOLAR!I60:J65,2,0))</f>
        <v>98.420000000000016</v>
      </c>
      <c r="AI554" s="710"/>
      <c r="AJ554" s="710"/>
      <c r="AK554" s="710"/>
      <c r="AL554" s="583"/>
      <c r="AM554" s="142" t="s">
        <v>506</v>
      </c>
      <c r="AN554" s="140"/>
      <c r="AO554" s="171"/>
      <c r="AP554" s="171"/>
      <c r="AQ554" s="130"/>
      <c r="AR554" s="130"/>
      <c r="AS554" s="130"/>
      <c r="AT554" s="130"/>
      <c r="AU554" s="130"/>
      <c r="AV554" s="130"/>
      <c r="AW554" s="130"/>
      <c r="AX554" s="128"/>
      <c r="AY554" s="130"/>
      <c r="AZ554" s="130"/>
      <c r="BA554" s="130"/>
      <c r="BB554" s="130"/>
      <c r="BC554" s="130"/>
      <c r="BD554" s="130"/>
      <c r="BE554" s="130"/>
      <c r="BF554" s="128"/>
      <c r="BG554" s="128"/>
      <c r="BH554" s="128"/>
      <c r="BI554" s="128"/>
      <c r="BJ554" s="128"/>
    </row>
    <row r="555" spans="1:62" ht="15" customHeight="1">
      <c r="A555" s="722" t="s">
        <v>722</v>
      </c>
      <c r="B555" s="707"/>
      <c r="C555" s="144" t="s">
        <v>614</v>
      </c>
      <c r="D555" s="144"/>
      <c r="E555" s="140"/>
      <c r="F555" s="140"/>
      <c r="G555" s="174"/>
      <c r="H555" s="174"/>
      <c r="I555" s="174"/>
      <c r="J555" s="140"/>
      <c r="K555" s="140"/>
      <c r="L555" s="140"/>
      <c r="M555" s="140"/>
      <c r="N555" s="140"/>
      <c r="O555" s="140"/>
      <c r="P555" s="140"/>
      <c r="Q555" s="140"/>
      <c r="R555" s="140"/>
      <c r="S555" s="174"/>
      <c r="T555" s="174"/>
      <c r="U555" s="174"/>
      <c r="V555" s="174"/>
      <c r="W555" s="174"/>
      <c r="X555" s="174"/>
      <c r="Y555" s="140"/>
      <c r="Z555" s="130"/>
      <c r="AA555" s="130"/>
      <c r="AB555" s="130"/>
      <c r="AC555" s="130"/>
      <c r="AD555" s="130"/>
      <c r="AE555" s="130"/>
      <c r="AF555" s="130"/>
      <c r="AG555" s="130"/>
      <c r="AH555" s="748">
        <v>50</v>
      </c>
      <c r="AI555" s="710"/>
      <c r="AJ555" s="710"/>
      <c r="AK555" s="710"/>
      <c r="AL555" s="583"/>
      <c r="AM555" s="821" t="s">
        <v>374</v>
      </c>
      <c r="AN555" s="707"/>
      <c r="AO555" s="171"/>
      <c r="AP555" s="171"/>
      <c r="AQ555" s="130"/>
      <c r="AR555" s="130"/>
      <c r="AS555" s="130"/>
      <c r="AT555" s="130"/>
      <c r="AU555" s="130"/>
      <c r="AV555" s="130"/>
      <c r="AW555" s="130"/>
      <c r="AX555" s="128"/>
      <c r="AY555" s="130"/>
      <c r="AZ555" s="130"/>
      <c r="BA555" s="130"/>
      <c r="BB555" s="130"/>
      <c r="BC555" s="130"/>
      <c r="BD555" s="130"/>
      <c r="BE555" s="130"/>
      <c r="BF555" s="128"/>
      <c r="BG555" s="128"/>
      <c r="BH555" s="128"/>
      <c r="BI555" s="128"/>
      <c r="BJ555" s="128"/>
    </row>
    <row r="556" spans="1:62" ht="15" customHeight="1">
      <c r="A556" s="722" t="s">
        <v>723</v>
      </c>
      <c r="B556" s="707"/>
      <c r="C556" s="144"/>
      <c r="D556" s="144"/>
      <c r="E556" s="735" t="s">
        <v>622</v>
      </c>
      <c r="F556" s="707"/>
      <c r="G556" s="707"/>
      <c r="H556" s="707"/>
      <c r="I556" s="707"/>
      <c r="J556" s="707"/>
      <c r="K556" s="707"/>
      <c r="L556" s="707"/>
      <c r="M556" s="707"/>
      <c r="N556" s="707"/>
      <c r="O556" s="707"/>
      <c r="P556" s="707"/>
      <c r="Q556" s="707"/>
      <c r="R556" s="707"/>
      <c r="S556" s="707"/>
      <c r="T556" s="707"/>
      <c r="U556" s="707"/>
      <c r="V556" s="707"/>
      <c r="W556" s="707"/>
      <c r="X556" s="174"/>
      <c r="Y556" s="140"/>
      <c r="Z556" s="130"/>
      <c r="AA556" s="130"/>
      <c r="AB556" s="130"/>
      <c r="AC556" s="130"/>
      <c r="AD556" s="130"/>
      <c r="AE556" s="130"/>
      <c r="AF556" s="130"/>
      <c r="AG556" s="130"/>
      <c r="AH556" s="748">
        <v>0</v>
      </c>
      <c r="AI556" s="710"/>
      <c r="AJ556" s="710"/>
      <c r="AK556" s="710"/>
      <c r="AL556" s="583"/>
      <c r="AM556" s="784" t="s">
        <v>122</v>
      </c>
      <c r="AN556" s="707"/>
      <c r="AO556" s="171"/>
      <c r="AP556" s="171"/>
      <c r="AQ556" s="130"/>
      <c r="AR556" s="130"/>
      <c r="AS556" s="130"/>
      <c r="AT556" s="130"/>
      <c r="AU556" s="130"/>
      <c r="AV556" s="130"/>
      <c r="AW556" s="130"/>
      <c r="AX556" s="128"/>
      <c r="AY556" s="130"/>
      <c r="AZ556" s="130"/>
      <c r="BA556" s="130"/>
      <c r="BB556" s="130"/>
      <c r="BC556" s="130"/>
      <c r="BD556" s="130"/>
      <c r="BE556" s="130"/>
      <c r="BF556" s="128"/>
      <c r="BG556" s="128"/>
      <c r="BH556" s="128"/>
      <c r="BI556" s="128"/>
      <c r="BJ556" s="128"/>
    </row>
    <row r="557" spans="1:62" ht="15" customHeight="1">
      <c r="A557" s="722" t="s">
        <v>724</v>
      </c>
      <c r="B557" s="707"/>
      <c r="C557" s="144"/>
      <c r="D557" s="144"/>
      <c r="E557" s="707"/>
      <c r="F557" s="707"/>
      <c r="G557" s="707"/>
      <c r="H557" s="707"/>
      <c r="I557" s="707"/>
      <c r="J557" s="707"/>
      <c r="K557" s="707"/>
      <c r="L557" s="707"/>
      <c r="M557" s="707"/>
      <c r="N557" s="707"/>
      <c r="O557" s="707"/>
      <c r="P557" s="707"/>
      <c r="Q557" s="707"/>
      <c r="R557" s="707"/>
      <c r="S557" s="707"/>
      <c r="T557" s="707"/>
      <c r="U557" s="707"/>
      <c r="V557" s="707"/>
      <c r="W557" s="707"/>
      <c r="X557" s="174"/>
      <c r="Y557" s="140"/>
      <c r="Z557" s="130"/>
      <c r="AA557" s="130"/>
      <c r="AB557" s="130"/>
      <c r="AC557" s="130"/>
      <c r="AD557" s="130"/>
      <c r="AE557" s="130"/>
      <c r="AF557" s="130"/>
      <c r="AG557" s="130"/>
      <c r="AH557" s="748">
        <v>0</v>
      </c>
      <c r="AI557" s="710"/>
      <c r="AJ557" s="710"/>
      <c r="AK557" s="710"/>
      <c r="AL557" s="583"/>
      <c r="AM557" s="784" t="s">
        <v>122</v>
      </c>
      <c r="AN557" s="707"/>
      <c r="AO557" s="171"/>
      <c r="AP557" s="171"/>
      <c r="AQ557" s="130"/>
      <c r="AR557" s="130"/>
      <c r="AS557" s="130"/>
      <c r="AT557" s="130"/>
      <c r="AU557" s="130"/>
      <c r="AV557" s="130"/>
      <c r="AW557" s="130"/>
      <c r="AX557" s="128"/>
      <c r="AY557" s="130"/>
      <c r="AZ557" s="130"/>
      <c r="BA557" s="130"/>
      <c r="BB557" s="130"/>
      <c r="BC557" s="130"/>
      <c r="BD557" s="130"/>
      <c r="BE557" s="130"/>
      <c r="BF557" s="128"/>
      <c r="BG557" s="128"/>
      <c r="BH557" s="128"/>
      <c r="BI557" s="128"/>
      <c r="BJ557" s="128"/>
    </row>
    <row r="558" spans="1:62" ht="4.5" customHeight="1">
      <c r="A558" s="144"/>
      <c r="B558" s="144"/>
      <c r="C558" s="144"/>
      <c r="D558" s="144"/>
      <c r="E558" s="140"/>
      <c r="F558" s="140"/>
      <c r="G558" s="174"/>
      <c r="H558" s="174"/>
      <c r="I558" s="174"/>
      <c r="J558" s="140"/>
      <c r="K558" s="140"/>
      <c r="L558" s="140"/>
      <c r="M558" s="140"/>
      <c r="N558" s="140"/>
      <c r="O558" s="140"/>
      <c r="P558" s="140"/>
      <c r="Q558" s="140"/>
      <c r="R558" s="140"/>
      <c r="S558" s="174"/>
      <c r="T558" s="174"/>
      <c r="U558" s="174"/>
      <c r="V558" s="174"/>
      <c r="W558" s="174"/>
      <c r="X558" s="174"/>
      <c r="Y558" s="140"/>
      <c r="Z558" s="130"/>
      <c r="AA558" s="130"/>
      <c r="AB558" s="130"/>
      <c r="AC558" s="130"/>
      <c r="AD558" s="130"/>
      <c r="AE558" s="130"/>
      <c r="AF558" s="130"/>
      <c r="AG558" s="130"/>
      <c r="AH558" s="137"/>
      <c r="AI558" s="137"/>
      <c r="AJ558" s="137"/>
      <c r="AK558" s="137"/>
      <c r="AL558" s="137"/>
      <c r="AM558" s="128"/>
      <c r="AN558" s="128"/>
      <c r="AO558" s="130"/>
      <c r="AP558" s="130"/>
      <c r="AQ558" s="130"/>
      <c r="AR558" s="130"/>
      <c r="AS558" s="130"/>
      <c r="AT558" s="130"/>
      <c r="AU558" s="130"/>
      <c r="AV558" s="130"/>
      <c r="AW558" s="130"/>
      <c r="AX558" s="128"/>
      <c r="AY558" s="130"/>
      <c r="AZ558" s="130"/>
      <c r="BA558" s="130"/>
      <c r="BB558" s="130"/>
      <c r="BC558" s="130"/>
      <c r="BD558" s="130"/>
      <c r="BE558" s="130"/>
      <c r="BF558" s="128"/>
      <c r="BG558" s="128"/>
      <c r="BH558" s="128"/>
      <c r="BI558" s="128"/>
      <c r="BJ558" s="128"/>
    </row>
    <row r="559" spans="1:62" ht="15" customHeight="1">
      <c r="A559" s="233" t="s">
        <v>725</v>
      </c>
      <c r="B559" s="144"/>
      <c r="C559" s="144"/>
      <c r="D559" s="144"/>
      <c r="E559" s="140"/>
      <c r="F559" s="140"/>
      <c r="G559" s="174"/>
      <c r="H559" s="174"/>
      <c r="I559" s="174"/>
      <c r="J559" s="140"/>
      <c r="K559" s="140"/>
      <c r="L559" s="140"/>
      <c r="M559" s="140"/>
      <c r="N559" s="140"/>
      <c r="O559" s="140"/>
      <c r="P559" s="140"/>
      <c r="Q559" s="140"/>
      <c r="R559" s="140"/>
      <c r="S559" s="174"/>
      <c r="T559" s="174"/>
      <c r="U559" s="174"/>
      <c r="V559" s="174"/>
      <c r="W559" s="174"/>
      <c r="X559" s="174"/>
      <c r="Y559" s="140"/>
      <c r="Z559" s="130"/>
      <c r="AA559" s="130"/>
      <c r="AB559" s="130"/>
      <c r="AC559" s="130"/>
      <c r="AD559" s="130"/>
      <c r="AE559" s="130"/>
      <c r="AF559" s="130"/>
      <c r="AG559" s="130"/>
      <c r="AH559" s="137"/>
      <c r="AI559" s="137"/>
      <c r="AJ559" s="137"/>
      <c r="AK559" s="137"/>
      <c r="AL559" s="137"/>
      <c r="AM559" s="128"/>
      <c r="AN559" s="128"/>
      <c r="AO559" s="130"/>
      <c r="AP559" s="130"/>
      <c r="AQ559" s="130"/>
      <c r="AR559" s="130"/>
      <c r="AS559" s="130"/>
      <c r="AT559" s="130"/>
      <c r="AU559" s="130"/>
      <c r="AV559" s="130"/>
      <c r="AW559" s="130"/>
      <c r="AX559" s="128"/>
      <c r="AY559" s="130"/>
      <c r="AZ559" s="130"/>
      <c r="BA559" s="130"/>
      <c r="BB559" s="130"/>
      <c r="BC559" s="130"/>
      <c r="BD559" s="130"/>
      <c r="BE559" s="130"/>
      <c r="BF559" s="128"/>
      <c r="BG559" s="128"/>
      <c r="BH559" s="128"/>
      <c r="BI559" s="128"/>
      <c r="BJ559" s="128"/>
    </row>
    <row r="560" spans="1:62" ht="4.5" customHeight="1">
      <c r="A560" s="233"/>
      <c r="B560" s="144"/>
      <c r="C560" s="144"/>
      <c r="D560" s="144"/>
      <c r="E560" s="140"/>
      <c r="F560" s="140"/>
      <c r="G560" s="174"/>
      <c r="H560" s="174"/>
      <c r="I560" s="174"/>
      <c r="J560" s="140"/>
      <c r="K560" s="140"/>
      <c r="L560" s="140"/>
      <c r="M560" s="140"/>
      <c r="N560" s="140"/>
      <c r="O560" s="140"/>
      <c r="P560" s="140"/>
      <c r="Q560" s="140"/>
      <c r="R560" s="140"/>
      <c r="S560" s="174"/>
      <c r="T560" s="174"/>
      <c r="U560" s="174"/>
      <c r="V560" s="174"/>
      <c r="W560" s="174"/>
      <c r="X560" s="174"/>
      <c r="Y560" s="140"/>
      <c r="Z560" s="130"/>
      <c r="AA560" s="130"/>
      <c r="AB560" s="130"/>
      <c r="AC560" s="130"/>
      <c r="AD560" s="130"/>
      <c r="AE560" s="130"/>
      <c r="AF560" s="130"/>
      <c r="AG560" s="130"/>
      <c r="AH560" s="137"/>
      <c r="AI560" s="137"/>
      <c r="AJ560" s="137"/>
      <c r="AK560" s="137"/>
      <c r="AL560" s="137"/>
      <c r="AM560" s="128"/>
      <c r="AN560" s="128"/>
      <c r="AO560" s="130"/>
      <c r="AP560" s="130"/>
      <c r="AQ560" s="130"/>
      <c r="AR560" s="130"/>
      <c r="AS560" s="130"/>
      <c r="AT560" s="130"/>
      <c r="AU560" s="130"/>
      <c r="AV560" s="130"/>
      <c r="AW560" s="130"/>
      <c r="AX560" s="128"/>
      <c r="AY560" s="130"/>
      <c r="AZ560" s="130"/>
      <c r="BA560" s="130"/>
      <c r="BB560" s="130"/>
      <c r="BC560" s="130"/>
      <c r="BD560" s="130"/>
      <c r="BE560" s="130"/>
      <c r="BF560" s="128"/>
      <c r="BG560" s="128"/>
      <c r="BH560" s="128"/>
      <c r="BI560" s="128"/>
      <c r="BJ560" s="128"/>
    </row>
    <row r="561" spans="1:62" ht="15" customHeight="1">
      <c r="A561" s="144" t="s">
        <v>726</v>
      </c>
      <c r="B561" s="144"/>
      <c r="C561" s="144"/>
      <c r="D561" s="144"/>
      <c r="E561" s="140"/>
      <c r="F561" s="140"/>
      <c r="G561" s="174"/>
      <c r="H561" s="174"/>
      <c r="I561" s="174"/>
      <c r="J561" s="140"/>
      <c r="K561" s="140"/>
      <c r="L561" s="140"/>
      <c r="M561" s="140"/>
      <c r="N561" s="140"/>
      <c r="O561" s="140"/>
      <c r="P561" s="140"/>
      <c r="Q561" s="140"/>
      <c r="R561" s="140"/>
      <c r="S561" s="174"/>
      <c r="T561" s="174"/>
      <c r="U561" s="174"/>
      <c r="V561" s="174"/>
      <c r="W561" s="174"/>
      <c r="X561" s="174"/>
      <c r="Y561" s="140"/>
      <c r="Z561" s="130"/>
      <c r="AA561" s="130"/>
      <c r="AB561" s="130"/>
      <c r="AC561" s="130"/>
      <c r="AD561" s="130"/>
      <c r="AE561" s="130"/>
      <c r="AF561" s="130"/>
      <c r="AG561" s="130"/>
      <c r="AH561" s="137"/>
      <c r="AI561" s="137"/>
      <c r="AJ561" s="137"/>
      <c r="AK561" s="137"/>
      <c r="AL561" s="137"/>
      <c r="AM561" s="128"/>
      <c r="AN561" s="128"/>
      <c r="AO561" s="130"/>
      <c r="AP561" s="130"/>
      <c r="AQ561" s="130"/>
      <c r="AR561" s="130"/>
      <c r="AS561" s="130"/>
      <c r="AT561" s="130"/>
      <c r="AU561" s="130"/>
      <c r="AV561" s="130"/>
      <c r="AW561" s="130"/>
      <c r="AX561" s="128"/>
      <c r="AY561" s="130"/>
      <c r="AZ561" s="130"/>
      <c r="BA561" s="130"/>
      <c r="BB561" s="130"/>
      <c r="BC561" s="130"/>
      <c r="BD561" s="130"/>
      <c r="BE561" s="130"/>
      <c r="BF561" s="128"/>
      <c r="BG561" s="128"/>
      <c r="BH561" s="128"/>
      <c r="BI561" s="128"/>
      <c r="BJ561" s="128"/>
    </row>
    <row r="562" spans="1:62" ht="15" customHeight="1">
      <c r="A562" s="721" t="s">
        <v>727</v>
      </c>
      <c r="B562" s="707"/>
      <c r="C562" s="151" t="s">
        <v>641</v>
      </c>
      <c r="D562" s="146" t="s">
        <v>728</v>
      </c>
      <c r="E562" s="146"/>
      <c r="F562" s="128"/>
      <c r="G562" s="128"/>
      <c r="H562" s="247"/>
      <c r="I562" s="247"/>
      <c r="J562" s="247"/>
      <c r="K562" s="721" t="s">
        <v>727</v>
      </c>
      <c r="L562" s="707"/>
      <c r="M562" s="146" t="s">
        <v>262</v>
      </c>
      <c r="N562" s="721">
        <f>0.1*AH550</f>
        <v>15</v>
      </c>
      <c r="O562" s="707"/>
      <c r="P562" s="707"/>
      <c r="Q562" s="146" t="s">
        <v>122</v>
      </c>
      <c r="R562" s="146"/>
      <c r="S562" s="174"/>
      <c r="T562" s="174"/>
      <c r="U562" s="174"/>
      <c r="V562" s="174"/>
      <c r="W562" s="174"/>
      <c r="X562" s="174"/>
      <c r="Y562" s="721" t="s">
        <v>729</v>
      </c>
      <c r="Z562" s="707"/>
      <c r="AA562" s="151" t="s">
        <v>641</v>
      </c>
      <c r="AB562" s="146" t="s">
        <v>730</v>
      </c>
      <c r="AC562" s="146"/>
      <c r="AD562" s="128"/>
      <c r="AE562" s="128"/>
      <c r="AF562" s="247"/>
      <c r="AG562" s="247"/>
      <c r="AH562" s="247"/>
      <c r="AI562" s="721" t="s">
        <v>729</v>
      </c>
      <c r="AJ562" s="707"/>
      <c r="AK562" s="146" t="s">
        <v>262</v>
      </c>
      <c r="AL562" s="721">
        <f>0.05*AH551</f>
        <v>48</v>
      </c>
      <c r="AM562" s="707"/>
      <c r="AN562" s="707"/>
      <c r="AO562" s="146" t="s">
        <v>122</v>
      </c>
      <c r="AP562" s="146"/>
      <c r="AQ562" s="130"/>
      <c r="AR562" s="130"/>
      <c r="AS562" s="130"/>
      <c r="AT562" s="130"/>
      <c r="AU562" s="130"/>
      <c r="AV562" s="130"/>
      <c r="AW562" s="130"/>
      <c r="AX562" s="128"/>
      <c r="AY562" s="130"/>
      <c r="AZ562" s="130"/>
      <c r="BA562" s="130"/>
      <c r="BB562" s="130"/>
      <c r="BC562" s="130"/>
      <c r="BD562" s="130"/>
      <c r="BE562" s="130"/>
      <c r="BF562" s="128"/>
      <c r="BG562" s="128"/>
      <c r="BH562" s="128"/>
      <c r="BI562" s="128"/>
      <c r="BJ562" s="128"/>
    </row>
    <row r="563" spans="1:62" ht="4.5" customHeight="1">
      <c r="A563" s="144"/>
      <c r="B563" s="144"/>
      <c r="C563" s="144"/>
      <c r="D563" s="144"/>
      <c r="E563" s="140"/>
      <c r="F563" s="140"/>
      <c r="G563" s="174"/>
      <c r="H563" s="174"/>
      <c r="I563" s="174"/>
      <c r="J563" s="140"/>
      <c r="K563" s="140"/>
      <c r="L563" s="140"/>
      <c r="M563" s="140"/>
      <c r="N563" s="140"/>
      <c r="O563" s="140"/>
      <c r="P563" s="140"/>
      <c r="Q563" s="140"/>
      <c r="R563" s="140"/>
      <c r="S563" s="174"/>
      <c r="T563" s="174"/>
      <c r="U563" s="174"/>
      <c r="V563" s="174"/>
      <c r="W563" s="174"/>
      <c r="X563" s="174"/>
      <c r="Y563" s="140"/>
      <c r="Z563" s="130"/>
      <c r="AA563" s="130"/>
      <c r="AB563" s="130"/>
      <c r="AC563" s="130"/>
      <c r="AD563" s="130"/>
      <c r="AE563" s="130"/>
      <c r="AF563" s="130"/>
      <c r="AG563" s="130"/>
      <c r="AH563" s="137"/>
      <c r="AI563" s="137"/>
      <c r="AJ563" s="137"/>
      <c r="AK563" s="137"/>
      <c r="AL563" s="137"/>
      <c r="AM563" s="128"/>
      <c r="AN563" s="128"/>
      <c r="AO563" s="130"/>
      <c r="AP563" s="130"/>
      <c r="AQ563" s="130"/>
      <c r="AR563" s="130"/>
      <c r="AS563" s="130"/>
      <c r="AT563" s="130"/>
      <c r="AU563" s="130"/>
      <c r="AV563" s="130"/>
      <c r="AW563" s="130"/>
      <c r="AX563" s="128"/>
      <c r="AY563" s="130"/>
      <c r="AZ563" s="130"/>
      <c r="BA563" s="130"/>
      <c r="BB563" s="130"/>
      <c r="BC563" s="130"/>
      <c r="BD563" s="130"/>
      <c r="BE563" s="130"/>
      <c r="BF563" s="128"/>
      <c r="BG563" s="128"/>
      <c r="BH563" s="128"/>
      <c r="BI563" s="128"/>
      <c r="BJ563" s="128"/>
    </row>
    <row r="564" spans="1:62" ht="15" customHeight="1">
      <c r="A564" s="144" t="s">
        <v>731</v>
      </c>
      <c r="B564" s="144"/>
      <c r="C564" s="144"/>
      <c r="D564" s="144"/>
      <c r="E564" s="140"/>
      <c r="F564" s="140"/>
      <c r="G564" s="174"/>
      <c r="H564" s="174"/>
      <c r="I564" s="174"/>
      <c r="J564" s="140"/>
      <c r="K564" s="140"/>
      <c r="L564" s="140"/>
      <c r="M564" s="140"/>
      <c r="N564" s="140"/>
      <c r="O564" s="140"/>
      <c r="P564" s="140"/>
      <c r="Q564" s="140"/>
      <c r="R564" s="140"/>
      <c r="S564" s="174"/>
      <c r="T564" s="174"/>
      <c r="U564" s="174"/>
      <c r="V564" s="174"/>
      <c r="W564" s="174"/>
      <c r="X564" s="174"/>
      <c r="Y564" s="140"/>
      <c r="Z564" s="130"/>
      <c r="AA564" s="130"/>
      <c r="AB564" s="130"/>
      <c r="AC564" s="130"/>
      <c r="AD564" s="130"/>
      <c r="AE564" s="130"/>
      <c r="AF564" s="130"/>
      <c r="AG564" s="130"/>
      <c r="AH564" s="137"/>
      <c r="AI564" s="137"/>
      <c r="AJ564" s="137"/>
      <c r="AK564" s="137"/>
      <c r="AL564" s="137"/>
      <c r="AM564" s="128"/>
      <c r="AN564" s="128"/>
      <c r="AO564" s="130"/>
      <c r="AP564" s="130"/>
      <c r="AQ564" s="130"/>
      <c r="AR564" s="130"/>
      <c r="AS564" s="130"/>
      <c r="AT564" s="130"/>
      <c r="AU564" s="130"/>
      <c r="AV564" s="130"/>
      <c r="AW564" s="130"/>
      <c r="AX564" s="128"/>
      <c r="AY564" s="130"/>
      <c r="AZ564" s="130"/>
      <c r="BA564" s="130"/>
      <c r="BB564" s="130"/>
      <c r="BC564" s="130"/>
      <c r="BD564" s="130"/>
      <c r="BE564" s="130"/>
      <c r="BF564" s="128"/>
      <c r="BG564" s="128"/>
      <c r="BH564" s="128"/>
      <c r="BI564" s="128"/>
      <c r="BJ564" s="128"/>
    </row>
    <row r="565" spans="1:62" ht="4.5" customHeight="1">
      <c r="A565" s="144"/>
      <c r="B565" s="144"/>
      <c r="C565" s="144"/>
      <c r="D565" s="144"/>
      <c r="E565" s="140"/>
      <c r="F565" s="140"/>
      <c r="G565" s="174"/>
      <c r="H565" s="174"/>
      <c r="I565" s="174"/>
      <c r="J565" s="140"/>
      <c r="K565" s="140"/>
      <c r="L565" s="140"/>
      <c r="M565" s="140"/>
      <c r="N565" s="140"/>
      <c r="O565" s="140"/>
      <c r="P565" s="140"/>
      <c r="Q565" s="140"/>
      <c r="R565" s="140"/>
      <c r="S565" s="174"/>
      <c r="T565" s="174"/>
      <c r="U565" s="174"/>
      <c r="V565" s="174"/>
      <c r="W565" s="174"/>
      <c r="X565" s="174"/>
      <c r="Y565" s="140"/>
      <c r="Z565" s="130"/>
      <c r="AA565" s="130"/>
      <c r="AB565" s="130"/>
      <c r="AC565" s="130"/>
      <c r="AD565" s="130"/>
      <c r="AE565" s="130"/>
      <c r="AF565" s="130"/>
      <c r="AG565" s="130"/>
      <c r="AH565" s="137"/>
      <c r="AI565" s="137"/>
      <c r="AJ565" s="137"/>
      <c r="AK565" s="137"/>
      <c r="AL565" s="137"/>
      <c r="AM565" s="128"/>
      <c r="AN565" s="128"/>
      <c r="AO565" s="130"/>
      <c r="AP565" s="130"/>
      <c r="AQ565" s="130"/>
      <c r="AR565" s="130"/>
      <c r="AS565" s="130"/>
      <c r="AT565" s="130"/>
      <c r="AU565" s="130"/>
      <c r="AV565" s="130"/>
      <c r="AW565" s="130"/>
      <c r="AX565" s="128"/>
      <c r="AY565" s="130"/>
      <c r="AZ565" s="130"/>
      <c r="BA565" s="130"/>
      <c r="BB565" s="130"/>
      <c r="BC565" s="130"/>
      <c r="BD565" s="130"/>
      <c r="BE565" s="130"/>
      <c r="BF565" s="128"/>
      <c r="BG565" s="128"/>
      <c r="BH565" s="128"/>
      <c r="BI565" s="128"/>
      <c r="BJ565" s="128"/>
    </row>
    <row r="566" spans="1:62" ht="15" customHeight="1">
      <c r="A566" s="722" t="s">
        <v>654</v>
      </c>
      <c r="B566" s="707"/>
      <c r="C566" s="738" t="s">
        <v>732</v>
      </c>
      <c r="D566" s="724"/>
      <c r="E566" s="724"/>
      <c r="F566" s="724"/>
      <c r="G566" s="724"/>
      <c r="H566" s="724"/>
      <c r="I566" s="724"/>
      <c r="J566" s="724"/>
      <c r="K566" s="724"/>
      <c r="L566" s="724"/>
      <c r="M566" s="724"/>
      <c r="N566" s="724"/>
      <c r="O566" s="724"/>
      <c r="P566" s="140"/>
      <c r="Q566" s="140"/>
      <c r="R566" s="722" t="s">
        <v>654</v>
      </c>
      <c r="S566" s="707"/>
      <c r="T566" s="751">
        <v>1.2</v>
      </c>
      <c r="U566" s="724"/>
      <c r="V566" s="234" t="s">
        <v>357</v>
      </c>
      <c r="W566" s="751">
        <v>9.81</v>
      </c>
      <c r="X566" s="724"/>
      <c r="Y566" s="724"/>
      <c r="Z566" s="235" t="s">
        <v>357</v>
      </c>
      <c r="AA566" s="756">
        <f>'Veri Girişi'!C80</f>
        <v>1100</v>
      </c>
      <c r="AB566" s="724"/>
      <c r="AC566" s="724"/>
      <c r="AD566" s="235" t="s">
        <v>357</v>
      </c>
      <c r="AE566" s="235" t="s">
        <v>413</v>
      </c>
      <c r="AF566" s="738">
        <f>N562</f>
        <v>15</v>
      </c>
      <c r="AG566" s="724"/>
      <c r="AH566" s="236" t="s">
        <v>317</v>
      </c>
      <c r="AI566" s="738">
        <f>AH556</f>
        <v>0</v>
      </c>
      <c r="AJ566" s="724"/>
      <c r="AK566" s="236" t="s">
        <v>414</v>
      </c>
      <c r="AL566" s="137"/>
      <c r="AM566" s="128"/>
      <c r="AN566" s="722" t="s">
        <v>654</v>
      </c>
      <c r="AO566" s="707"/>
      <c r="AP566" s="734">
        <f>(T566*W566*AA566*(AF566-AI566))/(Y567*AB567)</f>
        <v>28.564411764705881</v>
      </c>
      <c r="AQ566" s="707"/>
      <c r="AR566" s="707"/>
      <c r="AS566" s="721" t="s">
        <v>374</v>
      </c>
      <c r="AT566" s="130"/>
      <c r="AU566" s="130"/>
      <c r="AV566" s="130"/>
      <c r="AW566" s="130"/>
      <c r="AX566" s="128"/>
      <c r="AY566" s="130"/>
      <c r="AZ566" s="130"/>
      <c r="BA566" s="130"/>
      <c r="BB566" s="130"/>
      <c r="BC566" s="130"/>
      <c r="BD566" s="130"/>
      <c r="BE566" s="130"/>
      <c r="BF566" s="128"/>
      <c r="BG566" s="128"/>
      <c r="BH566" s="128"/>
      <c r="BI566" s="128"/>
      <c r="BJ566" s="128"/>
    </row>
    <row r="567" spans="1:62" ht="15" customHeight="1">
      <c r="A567" s="707"/>
      <c r="B567" s="707"/>
      <c r="C567" s="753" t="s">
        <v>733</v>
      </c>
      <c r="D567" s="637"/>
      <c r="E567" s="637"/>
      <c r="F567" s="637"/>
      <c r="G567" s="637"/>
      <c r="H567" s="637"/>
      <c r="I567" s="637"/>
      <c r="J567" s="637"/>
      <c r="K567" s="637"/>
      <c r="L567" s="637"/>
      <c r="M567" s="637"/>
      <c r="N567" s="637"/>
      <c r="O567" s="637"/>
      <c r="P567" s="140"/>
      <c r="Q567" s="140"/>
      <c r="R567" s="707"/>
      <c r="S567" s="707"/>
      <c r="T567" s="174"/>
      <c r="U567" s="174"/>
      <c r="V567" s="174"/>
      <c r="W567" s="174"/>
      <c r="X567" s="174"/>
      <c r="Y567" s="742">
        <f>'Veri Girişi'!B116</f>
        <v>2</v>
      </c>
      <c r="Z567" s="637"/>
      <c r="AA567" s="130" t="s">
        <v>357</v>
      </c>
      <c r="AB567" s="783">
        <f>AH552</f>
        <v>3400</v>
      </c>
      <c r="AC567" s="637"/>
      <c r="AD567" s="637"/>
      <c r="AE567" s="637"/>
      <c r="AF567" s="130"/>
      <c r="AG567" s="130"/>
      <c r="AH567" s="137"/>
      <c r="AI567" s="137"/>
      <c r="AJ567" s="137"/>
      <c r="AK567" s="137"/>
      <c r="AL567" s="137"/>
      <c r="AM567" s="128"/>
      <c r="AN567" s="707"/>
      <c r="AO567" s="707"/>
      <c r="AP567" s="707"/>
      <c r="AQ567" s="707"/>
      <c r="AR567" s="707"/>
      <c r="AS567" s="707"/>
      <c r="AT567" s="130"/>
      <c r="AU567" s="130"/>
      <c r="AV567" s="130"/>
      <c r="AW567" s="130"/>
      <c r="AX567" s="128"/>
      <c r="AY567" s="130"/>
      <c r="AZ567" s="130"/>
      <c r="BA567" s="130"/>
      <c r="BB567" s="130"/>
      <c r="BC567" s="130"/>
      <c r="BD567" s="130"/>
      <c r="BE567" s="130"/>
      <c r="BF567" s="128"/>
      <c r="BG567" s="128"/>
      <c r="BH567" s="128"/>
      <c r="BI567" s="128"/>
      <c r="BJ567" s="128"/>
    </row>
    <row r="568" spans="1:62" ht="4.5" customHeight="1">
      <c r="A568" s="144"/>
      <c r="B568" s="144"/>
      <c r="C568" s="144"/>
      <c r="D568" s="144"/>
      <c r="E568" s="140"/>
      <c r="F568" s="140"/>
      <c r="G568" s="174"/>
      <c r="H568" s="174"/>
      <c r="I568" s="174"/>
      <c r="J568" s="140"/>
      <c r="K568" s="140"/>
      <c r="L568" s="140"/>
      <c r="M568" s="140"/>
      <c r="N568" s="140"/>
      <c r="O568" s="140"/>
      <c r="P568" s="140"/>
      <c r="Q568" s="140"/>
      <c r="R568" s="140"/>
      <c r="S568" s="174"/>
      <c r="T568" s="174"/>
      <c r="U568" s="174"/>
      <c r="V568" s="174"/>
      <c r="W568" s="174"/>
      <c r="X568" s="174"/>
      <c r="Y568" s="140"/>
      <c r="Z568" s="130"/>
      <c r="AA568" s="130"/>
      <c r="AB568" s="130"/>
      <c r="AC568" s="130"/>
      <c r="AD568" s="130"/>
      <c r="AE568" s="130"/>
      <c r="AF568" s="130"/>
      <c r="AG568" s="130"/>
      <c r="AH568" s="137"/>
      <c r="AI568" s="137"/>
      <c r="AJ568" s="137"/>
      <c r="AK568" s="137"/>
      <c r="AL568" s="137"/>
      <c r="AM568" s="128"/>
      <c r="AN568" s="128"/>
      <c r="AO568" s="130"/>
      <c r="AP568" s="130"/>
      <c r="AQ568" s="130"/>
      <c r="AR568" s="130"/>
      <c r="AS568" s="130"/>
      <c r="AT568" s="130"/>
      <c r="AU568" s="130"/>
      <c r="AV568" s="130"/>
      <c r="AW568" s="130"/>
      <c r="AX568" s="128"/>
      <c r="AY568" s="130"/>
      <c r="AZ568" s="130"/>
      <c r="BA568" s="130"/>
      <c r="BB568" s="130"/>
      <c r="BC568" s="130"/>
      <c r="BD568" s="130"/>
      <c r="BE568" s="130"/>
      <c r="BF568" s="128"/>
      <c r="BG568" s="128"/>
      <c r="BH568" s="128"/>
      <c r="BI568" s="128"/>
      <c r="BJ568" s="128"/>
    </row>
    <row r="569" spans="1:62" ht="15" customHeight="1">
      <c r="A569" s="722" t="s">
        <v>664</v>
      </c>
      <c r="B569" s="707"/>
      <c r="C569" s="735" t="s">
        <v>262</v>
      </c>
      <c r="D569" s="738" t="s">
        <v>734</v>
      </c>
      <c r="E569" s="724"/>
      <c r="F569" s="724"/>
      <c r="G569" s="724"/>
      <c r="H569" s="724"/>
      <c r="I569" s="174"/>
      <c r="J569" s="721" t="s">
        <v>657</v>
      </c>
      <c r="K569" s="707"/>
      <c r="L569" s="735" t="s">
        <v>262</v>
      </c>
      <c r="M569" s="206">
        <v>3</v>
      </c>
      <c r="N569" s="206" t="s">
        <v>357</v>
      </c>
      <c r="O569" s="723">
        <f>AP566</f>
        <v>28.564411764705881</v>
      </c>
      <c r="P569" s="724"/>
      <c r="Q569" s="724"/>
      <c r="R569" s="724"/>
      <c r="S569" s="234" t="s">
        <v>357</v>
      </c>
      <c r="T569" s="751">
        <f>AH553</f>
        <v>3000</v>
      </c>
      <c r="U569" s="724"/>
      <c r="V569" s="724"/>
      <c r="W569" s="174"/>
      <c r="X569" s="174"/>
      <c r="Y569" s="721" t="s">
        <v>664</v>
      </c>
      <c r="Z569" s="707"/>
      <c r="AA569" s="735" t="s">
        <v>262</v>
      </c>
      <c r="AB569" s="721">
        <f>M569*O569*T569/M570</f>
        <v>16067.481617647058</v>
      </c>
      <c r="AC569" s="707"/>
      <c r="AD569" s="707"/>
      <c r="AE569" s="707"/>
      <c r="AF569" s="721" t="s">
        <v>428</v>
      </c>
      <c r="AG569" s="707"/>
      <c r="AH569" s="707"/>
      <c r="AI569" s="164"/>
      <c r="AJ569" s="146"/>
      <c r="AK569" s="729" t="s">
        <v>666</v>
      </c>
      <c r="AL569" s="707"/>
      <c r="AM569" s="721" t="s">
        <v>262</v>
      </c>
      <c r="AN569" s="738" t="s">
        <v>664</v>
      </c>
      <c r="AO569" s="724"/>
      <c r="AP569" s="144"/>
      <c r="AQ569" s="144"/>
      <c r="AR569" s="729" t="s">
        <v>666</v>
      </c>
      <c r="AS569" s="707"/>
      <c r="AT569" s="721" t="s">
        <v>262</v>
      </c>
      <c r="AU569" s="734">
        <f>AB569/VLOOKUP('Veri Girişi'!$F$73,TABLOLAR!$I$60:$S$65,7,0)</f>
        <v>7.651181722689075</v>
      </c>
      <c r="AV569" s="707"/>
      <c r="AW569" s="707"/>
      <c r="AX569" s="730" t="s">
        <v>406</v>
      </c>
      <c r="AY569" s="707"/>
      <c r="AZ569" s="707"/>
      <c r="BA569" s="707"/>
      <c r="BB569" s="707"/>
      <c r="BC569" s="130"/>
      <c r="BD569" s="130"/>
      <c r="BE569" s="130"/>
      <c r="BF569" s="128"/>
      <c r="BG569" s="128"/>
      <c r="BH569" s="128"/>
      <c r="BI569" s="128"/>
      <c r="BJ569" s="128"/>
    </row>
    <row r="570" spans="1:62" ht="15" customHeight="1">
      <c r="A570" s="707"/>
      <c r="B570" s="707"/>
      <c r="C570" s="707"/>
      <c r="D570" s="721">
        <v>16</v>
      </c>
      <c r="E570" s="707"/>
      <c r="F570" s="707"/>
      <c r="G570" s="707"/>
      <c r="H570" s="707"/>
      <c r="I570" s="174"/>
      <c r="J570" s="707"/>
      <c r="K570" s="707"/>
      <c r="L570" s="707"/>
      <c r="M570" s="742">
        <v>16</v>
      </c>
      <c r="N570" s="637"/>
      <c r="O570" s="637"/>
      <c r="P570" s="637"/>
      <c r="Q570" s="637"/>
      <c r="R570" s="637"/>
      <c r="S570" s="637"/>
      <c r="T570" s="637"/>
      <c r="U570" s="637"/>
      <c r="V570" s="637"/>
      <c r="W570" s="174"/>
      <c r="X570" s="174"/>
      <c r="Y570" s="707"/>
      <c r="Z570" s="707"/>
      <c r="AA570" s="707"/>
      <c r="AB570" s="707"/>
      <c r="AC570" s="707"/>
      <c r="AD570" s="707"/>
      <c r="AE570" s="707"/>
      <c r="AF570" s="707"/>
      <c r="AG570" s="707"/>
      <c r="AH570" s="707"/>
      <c r="AI570" s="164"/>
      <c r="AJ570" s="146"/>
      <c r="AK570" s="707"/>
      <c r="AL570" s="707"/>
      <c r="AM570" s="707"/>
      <c r="AN570" s="753" t="s">
        <v>407</v>
      </c>
      <c r="AO570" s="637"/>
      <c r="AP570" s="144"/>
      <c r="AQ570" s="144"/>
      <c r="AR570" s="707"/>
      <c r="AS570" s="707"/>
      <c r="AT570" s="707"/>
      <c r="AU570" s="707"/>
      <c r="AV570" s="707"/>
      <c r="AW570" s="707"/>
      <c r="AX570" s="707"/>
      <c r="AY570" s="707"/>
      <c r="AZ570" s="707"/>
      <c r="BA570" s="707"/>
      <c r="BB570" s="707"/>
      <c r="BC570" s="130"/>
      <c r="BD570" s="130"/>
      <c r="BE570" s="130"/>
      <c r="BF570" s="128"/>
      <c r="BG570" s="128"/>
      <c r="BH570" s="128"/>
      <c r="BI570" s="128"/>
      <c r="BJ570" s="128"/>
    </row>
    <row r="571" spans="1:62" ht="4.5" customHeight="1">
      <c r="A571" s="144"/>
      <c r="B571" s="144"/>
      <c r="C571" s="144"/>
      <c r="D571" s="144"/>
      <c r="E571" s="140"/>
      <c r="F571" s="140"/>
      <c r="G571" s="174"/>
      <c r="H571" s="174"/>
      <c r="I571" s="174"/>
      <c r="J571" s="140"/>
      <c r="K571" s="140"/>
      <c r="L571" s="140"/>
      <c r="M571" s="140"/>
      <c r="N571" s="140"/>
      <c r="O571" s="140"/>
      <c r="P571" s="140"/>
      <c r="Q571" s="140"/>
      <c r="R571" s="140"/>
      <c r="S571" s="174"/>
      <c r="T571" s="174"/>
      <c r="U571" s="174"/>
      <c r="V571" s="174"/>
      <c r="W571" s="174"/>
      <c r="X571" s="174"/>
      <c r="Y571" s="140"/>
      <c r="Z571" s="130"/>
      <c r="AA571" s="130"/>
      <c r="AB571" s="130"/>
      <c r="AC571" s="130"/>
      <c r="AD571" s="130"/>
      <c r="AE571" s="130"/>
      <c r="AF571" s="130"/>
      <c r="AG571" s="130"/>
      <c r="AH571" s="137"/>
      <c r="AI571" s="137"/>
      <c r="AJ571" s="137"/>
      <c r="AK571" s="137"/>
      <c r="AL571" s="137"/>
      <c r="AM571" s="128"/>
      <c r="AN571" s="128"/>
      <c r="AO571" s="130"/>
      <c r="AP571" s="130"/>
      <c r="AQ571" s="130"/>
      <c r="AR571" s="130"/>
      <c r="AS571" s="130"/>
      <c r="AT571" s="130"/>
      <c r="AU571" s="130"/>
      <c r="AV571" s="130"/>
      <c r="AW571" s="130"/>
      <c r="AX571" s="128"/>
      <c r="AY571" s="130"/>
      <c r="AZ571" s="130"/>
      <c r="BA571" s="130"/>
      <c r="BB571" s="130"/>
      <c r="BC571" s="130"/>
      <c r="BD571" s="130"/>
      <c r="BE571" s="130"/>
      <c r="BF571" s="128"/>
      <c r="BG571" s="128"/>
      <c r="BH571" s="128"/>
      <c r="BI571" s="128"/>
      <c r="BJ571" s="128"/>
    </row>
    <row r="572" spans="1:62" ht="15" customHeight="1">
      <c r="A572" s="722" t="s">
        <v>661</v>
      </c>
      <c r="B572" s="707"/>
      <c r="C572" s="738" t="s">
        <v>735</v>
      </c>
      <c r="D572" s="724"/>
      <c r="E572" s="724"/>
      <c r="F572" s="724"/>
      <c r="G572" s="724"/>
      <c r="H572" s="724"/>
      <c r="I572" s="724"/>
      <c r="J572" s="724"/>
      <c r="K572" s="724"/>
      <c r="L572" s="724"/>
      <c r="M572" s="724"/>
      <c r="N572" s="724"/>
      <c r="O572" s="724"/>
      <c r="P572" s="140"/>
      <c r="Q572" s="140"/>
      <c r="R572" s="722" t="s">
        <v>661</v>
      </c>
      <c r="S572" s="707"/>
      <c r="T572" s="751">
        <v>1.2</v>
      </c>
      <c r="U572" s="724"/>
      <c r="V572" s="234" t="s">
        <v>357</v>
      </c>
      <c r="W572" s="751">
        <v>9.81</v>
      </c>
      <c r="X572" s="724"/>
      <c r="Y572" s="724"/>
      <c r="Z572" s="235" t="s">
        <v>357</v>
      </c>
      <c r="AA572" s="756">
        <f>'Veri Girişi'!C80</f>
        <v>1100</v>
      </c>
      <c r="AB572" s="724"/>
      <c r="AC572" s="724"/>
      <c r="AD572" s="235" t="s">
        <v>357</v>
      </c>
      <c r="AE572" s="235" t="s">
        <v>413</v>
      </c>
      <c r="AF572" s="738">
        <f>AL562</f>
        <v>48</v>
      </c>
      <c r="AG572" s="724"/>
      <c r="AH572" s="236" t="s">
        <v>317</v>
      </c>
      <c r="AI572" s="738">
        <f>AH557</f>
        <v>0</v>
      </c>
      <c r="AJ572" s="724"/>
      <c r="AK572" s="236" t="s">
        <v>414</v>
      </c>
      <c r="AL572" s="137"/>
      <c r="AM572" s="128"/>
      <c r="AN572" s="722" t="s">
        <v>661</v>
      </c>
      <c r="AO572" s="707"/>
      <c r="AP572" s="734">
        <f>(T572*W572*AA572*(AF572-AI572))/(Y573*AB573)</f>
        <v>91.406117647058835</v>
      </c>
      <c r="AQ572" s="707"/>
      <c r="AR572" s="707"/>
      <c r="AS572" s="721" t="s">
        <v>374</v>
      </c>
      <c r="AT572" s="130"/>
      <c r="AU572" s="130"/>
      <c r="AV572" s="130"/>
      <c r="AW572" s="130"/>
      <c r="AX572" s="128"/>
      <c r="AY572" s="130"/>
      <c r="AZ572" s="130"/>
      <c r="BA572" s="130"/>
      <c r="BB572" s="130"/>
      <c r="BC572" s="130"/>
      <c r="BD572" s="130"/>
      <c r="BE572" s="130"/>
      <c r="BF572" s="128"/>
      <c r="BG572" s="128"/>
      <c r="BH572" s="128"/>
      <c r="BI572" s="128"/>
      <c r="BJ572" s="128"/>
    </row>
    <row r="573" spans="1:62" ht="15" customHeight="1">
      <c r="A573" s="707"/>
      <c r="B573" s="707"/>
      <c r="C573" s="753" t="s">
        <v>733</v>
      </c>
      <c r="D573" s="637"/>
      <c r="E573" s="637"/>
      <c r="F573" s="637"/>
      <c r="G573" s="637"/>
      <c r="H573" s="637"/>
      <c r="I573" s="637"/>
      <c r="J573" s="637"/>
      <c r="K573" s="637"/>
      <c r="L573" s="637"/>
      <c r="M573" s="637"/>
      <c r="N573" s="637"/>
      <c r="O573" s="637"/>
      <c r="P573" s="140"/>
      <c r="Q573" s="140"/>
      <c r="R573" s="707"/>
      <c r="S573" s="707"/>
      <c r="T573" s="174"/>
      <c r="U573" s="174"/>
      <c r="V573" s="174"/>
      <c r="W573" s="174"/>
      <c r="X573" s="174"/>
      <c r="Y573" s="742">
        <f>'Veri Girişi'!B116</f>
        <v>2</v>
      </c>
      <c r="Z573" s="637"/>
      <c r="AA573" s="130" t="s">
        <v>357</v>
      </c>
      <c r="AB573" s="783">
        <f>AH552</f>
        <v>3400</v>
      </c>
      <c r="AC573" s="637"/>
      <c r="AD573" s="637"/>
      <c r="AE573" s="637"/>
      <c r="AF573" s="130"/>
      <c r="AG573" s="130"/>
      <c r="AH573" s="137"/>
      <c r="AI573" s="137"/>
      <c r="AJ573" s="137"/>
      <c r="AK573" s="137"/>
      <c r="AL573" s="137"/>
      <c r="AM573" s="128"/>
      <c r="AN573" s="707"/>
      <c r="AO573" s="707"/>
      <c r="AP573" s="707"/>
      <c r="AQ573" s="707"/>
      <c r="AR573" s="707"/>
      <c r="AS573" s="707"/>
      <c r="AT573" s="130"/>
      <c r="AU573" s="130"/>
      <c r="AV573" s="130"/>
      <c r="AW573" s="130"/>
      <c r="AX573" s="128"/>
      <c r="AY573" s="130"/>
      <c r="AZ573" s="130"/>
      <c r="BA573" s="130"/>
      <c r="BB573" s="130"/>
      <c r="BC573" s="130"/>
      <c r="BD573" s="130"/>
      <c r="BE573" s="130"/>
      <c r="BF573" s="128"/>
      <c r="BG573" s="128"/>
      <c r="BH573" s="128"/>
      <c r="BI573" s="128"/>
      <c r="BJ573" s="128"/>
    </row>
    <row r="574" spans="1:62" ht="4.5" customHeight="1">
      <c r="A574" s="144"/>
      <c r="B574" s="144"/>
      <c r="C574" s="144"/>
      <c r="D574" s="144"/>
      <c r="E574" s="140"/>
      <c r="F574" s="140"/>
      <c r="G574" s="174"/>
      <c r="H574" s="174"/>
      <c r="I574" s="174"/>
      <c r="J574" s="140"/>
      <c r="K574" s="140"/>
      <c r="L574" s="140"/>
      <c r="M574" s="140"/>
      <c r="N574" s="140"/>
      <c r="O574" s="140"/>
      <c r="P574" s="140"/>
      <c r="Q574" s="140"/>
      <c r="R574" s="140"/>
      <c r="S574" s="174"/>
      <c r="T574" s="174"/>
      <c r="U574" s="174"/>
      <c r="V574" s="174"/>
      <c r="W574" s="174"/>
      <c r="X574" s="174"/>
      <c r="Y574" s="140"/>
      <c r="Z574" s="130"/>
      <c r="AA574" s="130"/>
      <c r="AB574" s="130"/>
      <c r="AC574" s="130"/>
      <c r="AD574" s="130"/>
      <c r="AE574" s="130"/>
      <c r="AF574" s="130"/>
      <c r="AG574" s="130"/>
      <c r="AH574" s="137"/>
      <c r="AI574" s="137"/>
      <c r="AJ574" s="137"/>
      <c r="AK574" s="137"/>
      <c r="AL574" s="137"/>
      <c r="AM574" s="128"/>
      <c r="AN574" s="128"/>
      <c r="AO574" s="130"/>
      <c r="AP574" s="130"/>
      <c r="AQ574" s="130"/>
      <c r="AR574" s="130"/>
      <c r="AS574" s="130"/>
      <c r="AT574" s="130"/>
      <c r="AU574" s="130"/>
      <c r="AV574" s="130"/>
      <c r="AW574" s="130"/>
      <c r="AX574" s="128"/>
      <c r="AY574" s="130"/>
      <c r="AZ574" s="130"/>
      <c r="BA574" s="130"/>
      <c r="BB574" s="130"/>
      <c r="BC574" s="130"/>
      <c r="BD574" s="130"/>
      <c r="BE574" s="130"/>
      <c r="BF574" s="128"/>
      <c r="BG574" s="128"/>
      <c r="BH574" s="128"/>
      <c r="BI574" s="128"/>
      <c r="BJ574" s="128"/>
    </row>
    <row r="575" spans="1:62" ht="15" customHeight="1">
      <c r="A575" s="722" t="s">
        <v>657</v>
      </c>
      <c r="B575" s="707"/>
      <c r="C575" s="735" t="s">
        <v>262</v>
      </c>
      <c r="D575" s="738" t="s">
        <v>736</v>
      </c>
      <c r="E575" s="724"/>
      <c r="F575" s="724"/>
      <c r="G575" s="724"/>
      <c r="H575" s="724"/>
      <c r="I575" s="174"/>
      <c r="J575" s="721" t="s">
        <v>657</v>
      </c>
      <c r="K575" s="707"/>
      <c r="L575" s="735" t="s">
        <v>262</v>
      </c>
      <c r="M575" s="206">
        <v>3</v>
      </c>
      <c r="N575" s="206" t="s">
        <v>357</v>
      </c>
      <c r="O575" s="723">
        <f>AP572</f>
        <v>91.406117647058835</v>
      </c>
      <c r="P575" s="724"/>
      <c r="Q575" s="724"/>
      <c r="R575" s="724"/>
      <c r="S575" s="234" t="s">
        <v>357</v>
      </c>
      <c r="T575" s="751">
        <f>AH553</f>
        <v>3000</v>
      </c>
      <c r="U575" s="724"/>
      <c r="V575" s="724"/>
      <c r="W575" s="174"/>
      <c r="X575" s="174"/>
      <c r="Y575" s="721" t="s">
        <v>657</v>
      </c>
      <c r="Z575" s="707"/>
      <c r="AA575" s="735" t="s">
        <v>262</v>
      </c>
      <c r="AB575" s="721">
        <f>M575*O575*T575/M576</f>
        <v>51415.941176470587</v>
      </c>
      <c r="AC575" s="707"/>
      <c r="AD575" s="707"/>
      <c r="AE575" s="707"/>
      <c r="AF575" s="721" t="s">
        <v>428</v>
      </c>
      <c r="AG575" s="707"/>
      <c r="AH575" s="707"/>
      <c r="AI575" s="164"/>
      <c r="AJ575" s="146"/>
      <c r="AK575" s="729" t="s">
        <v>659</v>
      </c>
      <c r="AL575" s="707"/>
      <c r="AM575" s="721" t="s">
        <v>262</v>
      </c>
      <c r="AN575" s="738" t="s">
        <v>657</v>
      </c>
      <c r="AO575" s="724"/>
      <c r="AP575" s="144"/>
      <c r="AQ575" s="144"/>
      <c r="AR575" s="729" t="s">
        <v>659</v>
      </c>
      <c r="AS575" s="707"/>
      <c r="AT575" s="721" t="s">
        <v>262</v>
      </c>
      <c r="AU575" s="721">
        <f>AB575/VLOOKUP('Veri Girişi'!$F$73,TABLOLAR!$I$60:$S$65,7,0)</f>
        <v>24.483781512605042</v>
      </c>
      <c r="AV575" s="707"/>
      <c r="AW575" s="707"/>
      <c r="AX575" s="730" t="s">
        <v>406</v>
      </c>
      <c r="AY575" s="707"/>
      <c r="AZ575" s="707"/>
      <c r="BA575" s="707"/>
      <c r="BB575" s="707"/>
      <c r="BC575" s="130"/>
      <c r="BD575" s="130"/>
      <c r="BE575" s="130"/>
      <c r="BF575" s="128"/>
      <c r="BG575" s="128"/>
      <c r="BH575" s="128"/>
      <c r="BI575" s="128"/>
      <c r="BJ575" s="128"/>
    </row>
    <row r="576" spans="1:62" ht="15" customHeight="1">
      <c r="A576" s="707"/>
      <c r="B576" s="707"/>
      <c r="C576" s="707"/>
      <c r="D576" s="721">
        <v>16</v>
      </c>
      <c r="E576" s="707"/>
      <c r="F576" s="707"/>
      <c r="G576" s="707"/>
      <c r="H576" s="707"/>
      <c r="I576" s="174"/>
      <c r="J576" s="707"/>
      <c r="K576" s="707"/>
      <c r="L576" s="707"/>
      <c r="M576" s="742">
        <v>16</v>
      </c>
      <c r="N576" s="637"/>
      <c r="O576" s="637"/>
      <c r="P576" s="637"/>
      <c r="Q576" s="637"/>
      <c r="R576" s="637"/>
      <c r="S576" s="637"/>
      <c r="T576" s="637"/>
      <c r="U576" s="637"/>
      <c r="V576" s="637"/>
      <c r="W576" s="174"/>
      <c r="X576" s="174"/>
      <c r="Y576" s="707"/>
      <c r="Z576" s="707"/>
      <c r="AA576" s="707"/>
      <c r="AB576" s="707"/>
      <c r="AC576" s="707"/>
      <c r="AD576" s="707"/>
      <c r="AE576" s="707"/>
      <c r="AF576" s="707"/>
      <c r="AG576" s="707"/>
      <c r="AH576" s="707"/>
      <c r="AI576" s="164"/>
      <c r="AJ576" s="146"/>
      <c r="AK576" s="707"/>
      <c r="AL576" s="707"/>
      <c r="AM576" s="707"/>
      <c r="AN576" s="753" t="s">
        <v>660</v>
      </c>
      <c r="AO576" s="637"/>
      <c r="AP576" s="144"/>
      <c r="AQ576" s="144"/>
      <c r="AR576" s="707"/>
      <c r="AS576" s="707"/>
      <c r="AT576" s="707"/>
      <c r="AU576" s="707"/>
      <c r="AV576" s="707"/>
      <c r="AW576" s="707"/>
      <c r="AX576" s="707"/>
      <c r="AY576" s="707"/>
      <c r="AZ576" s="707"/>
      <c r="BA576" s="707"/>
      <c r="BB576" s="707"/>
      <c r="BC576" s="130"/>
      <c r="BD576" s="130"/>
      <c r="BE576" s="130"/>
      <c r="BF576" s="128"/>
      <c r="BG576" s="128"/>
      <c r="BH576" s="128"/>
      <c r="BI576" s="128"/>
      <c r="BJ576" s="128"/>
    </row>
    <row r="577" spans="1:62" ht="4.5" customHeight="1">
      <c r="A577" s="144"/>
      <c r="B577" s="144"/>
      <c r="C577" s="144"/>
      <c r="D577" s="144"/>
      <c r="E577" s="140"/>
      <c r="F577" s="140"/>
      <c r="G577" s="174"/>
      <c r="H577" s="174"/>
      <c r="I577" s="174"/>
      <c r="J577" s="140"/>
      <c r="K577" s="140"/>
      <c r="L577" s="140"/>
      <c r="M577" s="140"/>
      <c r="N577" s="140"/>
      <c r="O577" s="140"/>
      <c r="P577" s="140"/>
      <c r="Q577" s="140"/>
      <c r="R577" s="140"/>
      <c r="S577" s="174"/>
      <c r="T577" s="174"/>
      <c r="U577" s="174"/>
      <c r="V577" s="174"/>
      <c r="W577" s="174"/>
      <c r="X577" s="174"/>
      <c r="Y577" s="140"/>
      <c r="Z577" s="130"/>
      <c r="AA577" s="130"/>
      <c r="AB577" s="130"/>
      <c r="AC577" s="130"/>
      <c r="AD577" s="130"/>
      <c r="AE577" s="130"/>
      <c r="AF577" s="130"/>
      <c r="AG577" s="130"/>
      <c r="AH577" s="137"/>
      <c r="AI577" s="137"/>
      <c r="AJ577" s="137"/>
      <c r="AK577" s="137"/>
      <c r="AL577" s="137"/>
      <c r="AM577" s="128"/>
      <c r="AN577" s="128"/>
      <c r="AO577" s="130"/>
      <c r="AP577" s="130"/>
      <c r="AQ577" s="130"/>
      <c r="AR577" s="130"/>
      <c r="AS577" s="130"/>
      <c r="AT577" s="130"/>
      <c r="AU577" s="130"/>
      <c r="AV577" s="130"/>
      <c r="AW577" s="130"/>
      <c r="AX577" s="128"/>
      <c r="AY577" s="130"/>
      <c r="AZ577" s="130"/>
      <c r="BA577" s="130"/>
      <c r="BB577" s="130"/>
      <c r="BC577" s="130"/>
      <c r="BD577" s="130"/>
      <c r="BE577" s="130"/>
      <c r="BF577" s="128"/>
      <c r="BG577" s="128"/>
      <c r="BH577" s="128"/>
      <c r="BI577" s="128"/>
      <c r="BJ577" s="128"/>
    </row>
    <row r="578" spans="1:62" ht="15" customHeight="1">
      <c r="A578" s="128" t="s">
        <v>704</v>
      </c>
      <c r="B578" s="144"/>
      <c r="C578" s="144"/>
      <c r="D578" s="144"/>
      <c r="E578" s="140"/>
      <c r="F578" s="140"/>
      <c r="G578" s="174"/>
      <c r="H578" s="174"/>
      <c r="I578" s="174"/>
      <c r="J578" s="128"/>
      <c r="K578" s="140"/>
      <c r="L578" s="140"/>
      <c r="M578" s="140"/>
      <c r="N578" s="140"/>
      <c r="O578" s="140"/>
      <c r="P578" s="140"/>
      <c r="Q578" s="140"/>
      <c r="R578" s="140"/>
      <c r="S578" s="174"/>
      <c r="T578" s="174"/>
      <c r="U578" s="174"/>
      <c r="V578" s="174"/>
      <c r="W578" s="174"/>
      <c r="X578" s="174"/>
      <c r="Y578" s="140"/>
      <c r="Z578" s="130"/>
      <c r="AA578" s="130"/>
      <c r="AB578" s="130"/>
      <c r="AC578" s="130"/>
      <c r="AD578" s="130"/>
      <c r="AE578" s="130"/>
      <c r="AF578" s="130"/>
      <c r="AG578" s="130"/>
      <c r="AH578" s="137"/>
      <c r="AI578" s="137"/>
      <c r="AJ578" s="137"/>
      <c r="AK578" s="137"/>
      <c r="AL578" s="137"/>
      <c r="AM578" s="128"/>
      <c r="AN578" s="128"/>
      <c r="AO578" s="130"/>
      <c r="AP578" s="130"/>
      <c r="AQ578" s="130"/>
      <c r="AR578" s="130"/>
      <c r="AS578" s="130"/>
      <c r="AT578" s="130"/>
      <c r="AU578" s="130"/>
      <c r="AV578" s="130"/>
      <c r="AW578" s="130"/>
      <c r="AX578" s="128"/>
      <c r="AY578" s="130"/>
      <c r="AZ578" s="130"/>
      <c r="BA578" s="130"/>
      <c r="BB578" s="130"/>
      <c r="BC578" s="130"/>
      <c r="BD578" s="130"/>
      <c r="BE578" s="130"/>
      <c r="BF578" s="128"/>
      <c r="BG578" s="128"/>
      <c r="BH578" s="128"/>
      <c r="BI578" s="128"/>
      <c r="BJ578" s="128"/>
    </row>
    <row r="579" spans="1:62" ht="4.5" customHeight="1">
      <c r="A579" s="207"/>
      <c r="B579" s="140"/>
      <c r="C579" s="140"/>
      <c r="D579" s="146"/>
      <c r="E579" s="140"/>
      <c r="F579" s="140"/>
      <c r="G579" s="128"/>
      <c r="H579" s="174"/>
      <c r="I579" s="174"/>
      <c r="J579" s="128"/>
      <c r="K579" s="128"/>
      <c r="L579" s="140"/>
      <c r="M579" s="140"/>
      <c r="N579" s="140"/>
      <c r="O579" s="140"/>
      <c r="P579" s="140"/>
      <c r="Q579" s="140"/>
      <c r="R579" s="140"/>
      <c r="S579" s="174"/>
      <c r="T579" s="174"/>
      <c r="U579" s="174"/>
      <c r="V579" s="174"/>
      <c r="W579" s="174"/>
      <c r="X579" s="174"/>
      <c r="Y579" s="140"/>
      <c r="Z579" s="130"/>
      <c r="AA579" s="130"/>
      <c r="AB579" s="130"/>
      <c r="AC579" s="130"/>
      <c r="AD579" s="130"/>
      <c r="AE579" s="130"/>
      <c r="AF579" s="130"/>
      <c r="AG579" s="130"/>
      <c r="AH579" s="130"/>
      <c r="AI579" s="130"/>
      <c r="AJ579" s="128"/>
      <c r="AK579" s="128"/>
      <c r="AL579" s="128"/>
      <c r="AM579" s="128"/>
      <c r="AN579" s="128"/>
      <c r="AO579" s="130"/>
      <c r="AP579" s="130"/>
      <c r="AQ579" s="130"/>
      <c r="AR579" s="130"/>
      <c r="AS579" s="130"/>
      <c r="AT579" s="130"/>
      <c r="AU579" s="130"/>
      <c r="AV579" s="130"/>
      <c r="AW579" s="130"/>
      <c r="AX579" s="128"/>
      <c r="AY579" s="130"/>
      <c r="AZ579" s="130"/>
      <c r="BA579" s="130"/>
      <c r="BB579" s="130"/>
      <c r="BC579" s="130"/>
      <c r="BD579" s="130"/>
      <c r="BE579" s="130"/>
      <c r="BF579" s="128"/>
      <c r="BG579" s="128"/>
      <c r="BH579" s="128"/>
      <c r="BI579" s="128"/>
      <c r="BJ579" s="128"/>
    </row>
    <row r="580" spans="1:62" ht="15" customHeight="1">
      <c r="A580" s="721" t="s">
        <v>669</v>
      </c>
      <c r="B580" s="707"/>
      <c r="C580" s="757" t="s">
        <v>641</v>
      </c>
      <c r="D580" s="730" t="s">
        <v>671</v>
      </c>
      <c r="E580" s="707"/>
      <c r="F580" s="707"/>
      <c r="G580" s="707"/>
      <c r="H580" s="707"/>
      <c r="I580" s="707"/>
      <c r="J580" s="171"/>
      <c r="K580" s="171"/>
      <c r="L580" s="171"/>
      <c r="M580" s="721" t="s">
        <v>669</v>
      </c>
      <c r="N580" s="707"/>
      <c r="O580" s="721" t="s">
        <v>641</v>
      </c>
      <c r="P580" s="807">
        <f>AH554</f>
        <v>98.420000000000016</v>
      </c>
      <c r="Q580" s="707"/>
      <c r="R580" s="707"/>
      <c r="S580" s="730" t="s">
        <v>357</v>
      </c>
      <c r="T580" s="730">
        <v>9.81</v>
      </c>
      <c r="U580" s="707"/>
      <c r="V580" s="707"/>
      <c r="W580" s="721" t="s">
        <v>316</v>
      </c>
      <c r="X580" s="721">
        <v>0</v>
      </c>
      <c r="Y580" s="707"/>
      <c r="Z580" s="246"/>
      <c r="AA580" s="151"/>
      <c r="AB580" s="721" t="s">
        <v>669</v>
      </c>
      <c r="AC580" s="707"/>
      <c r="AD580" s="721" t="s">
        <v>641</v>
      </c>
      <c r="AE580" s="734">
        <f>P580*T580+X580</f>
        <v>965.50020000000018</v>
      </c>
      <c r="AF580" s="707"/>
      <c r="AG580" s="707"/>
      <c r="AH580" s="707"/>
      <c r="AI580" s="707"/>
      <c r="AJ580" s="721" t="s">
        <v>374</v>
      </c>
      <c r="AK580" s="146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30"/>
      <c r="BE580" s="130"/>
      <c r="BF580" s="128"/>
      <c r="BG580" s="128"/>
      <c r="BH580" s="128"/>
      <c r="BI580" s="128"/>
      <c r="BJ580" s="128"/>
    </row>
    <row r="581" spans="1:62" ht="15" customHeight="1">
      <c r="A581" s="707"/>
      <c r="B581" s="707"/>
      <c r="C581" s="707"/>
      <c r="D581" s="707"/>
      <c r="E581" s="707"/>
      <c r="F581" s="707"/>
      <c r="G581" s="707"/>
      <c r="H581" s="707"/>
      <c r="I581" s="707"/>
      <c r="J581" s="146"/>
      <c r="K581" s="146"/>
      <c r="L581" s="171"/>
      <c r="M581" s="707"/>
      <c r="N581" s="707"/>
      <c r="O581" s="707"/>
      <c r="P581" s="707"/>
      <c r="Q581" s="707"/>
      <c r="R581" s="707"/>
      <c r="S581" s="707"/>
      <c r="T581" s="707"/>
      <c r="U581" s="707"/>
      <c r="V581" s="707"/>
      <c r="W581" s="707"/>
      <c r="X581" s="707"/>
      <c r="Y581" s="707"/>
      <c r="Z581" s="140"/>
      <c r="AA581" s="140"/>
      <c r="AB581" s="707"/>
      <c r="AC581" s="707"/>
      <c r="AD581" s="707"/>
      <c r="AE581" s="707"/>
      <c r="AF581" s="707"/>
      <c r="AG581" s="707"/>
      <c r="AH581" s="707"/>
      <c r="AI581" s="707"/>
      <c r="AJ581" s="707"/>
      <c r="AK581" s="146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30"/>
      <c r="BE581" s="130"/>
      <c r="BF581" s="128"/>
      <c r="BG581" s="128"/>
      <c r="BH581" s="128"/>
      <c r="BI581" s="128"/>
      <c r="BJ581" s="128"/>
    </row>
    <row r="582" spans="1:62" ht="4.5" customHeight="1">
      <c r="A582" s="146"/>
      <c r="B582" s="140"/>
      <c r="C582" s="140"/>
      <c r="D582" s="146"/>
      <c r="E582" s="140"/>
      <c r="F582" s="143"/>
      <c r="G582" s="174"/>
      <c r="H582" s="174"/>
      <c r="I582" s="174"/>
      <c r="J582" s="140"/>
      <c r="K582" s="140"/>
      <c r="L582" s="140"/>
      <c r="M582" s="140"/>
      <c r="N582" s="143"/>
      <c r="O582" s="140"/>
      <c r="P582" s="140"/>
      <c r="Q582" s="140"/>
      <c r="R582" s="140"/>
      <c r="S582" s="174"/>
      <c r="T582" s="174"/>
      <c r="U582" s="174"/>
      <c r="V582" s="174"/>
      <c r="W582" s="174"/>
      <c r="X582" s="174"/>
      <c r="Y582" s="140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28"/>
      <c r="AK582" s="128"/>
      <c r="AL582" s="128"/>
      <c r="AM582" s="128"/>
      <c r="AN582" s="128"/>
      <c r="AO582" s="130"/>
      <c r="AP582" s="130"/>
      <c r="AQ582" s="130"/>
      <c r="AR582" s="130"/>
      <c r="AS582" s="130"/>
      <c r="AT582" s="130"/>
      <c r="AU582" s="130"/>
      <c r="AV582" s="130"/>
      <c r="AW582" s="130"/>
      <c r="AX582" s="128"/>
      <c r="AY582" s="130"/>
      <c r="AZ582" s="130"/>
      <c r="BA582" s="130"/>
      <c r="BB582" s="130"/>
      <c r="BC582" s="130"/>
      <c r="BD582" s="130"/>
      <c r="BE582" s="130"/>
      <c r="BF582" s="128"/>
      <c r="BG582" s="128"/>
      <c r="BH582" s="128"/>
      <c r="BI582" s="128"/>
      <c r="BJ582" s="128"/>
    </row>
    <row r="583" spans="1:62" ht="15" customHeight="1">
      <c r="A583" s="721" t="s">
        <v>705</v>
      </c>
      <c r="B583" s="707"/>
      <c r="C583" s="757" t="s">
        <v>641</v>
      </c>
      <c r="D583" s="738" t="s">
        <v>737</v>
      </c>
      <c r="E583" s="724"/>
      <c r="F583" s="724"/>
      <c r="G583" s="724"/>
      <c r="H583" s="724"/>
      <c r="I583" s="724"/>
      <c r="J583" s="724"/>
      <c r="K583" s="724"/>
      <c r="L583" s="140"/>
      <c r="M583" s="140"/>
      <c r="N583" s="721" t="s">
        <v>705</v>
      </c>
      <c r="O583" s="707"/>
      <c r="P583" s="757" t="s">
        <v>641</v>
      </c>
      <c r="Q583" s="206" t="s">
        <v>413</v>
      </c>
      <c r="R583" s="723">
        <f>AE580</f>
        <v>965.50020000000018</v>
      </c>
      <c r="S583" s="724"/>
      <c r="T583" s="724"/>
      <c r="U583" s="724"/>
      <c r="V583" s="234" t="s">
        <v>316</v>
      </c>
      <c r="W583" s="751">
        <v>1.2</v>
      </c>
      <c r="X583" s="724"/>
      <c r="Y583" s="235" t="s">
        <v>357</v>
      </c>
      <c r="Z583" s="738">
        <f>AH555</f>
        <v>50</v>
      </c>
      <c r="AA583" s="724"/>
      <c r="AB583" s="235" t="s">
        <v>414</v>
      </c>
      <c r="AC583" s="144"/>
      <c r="AD583" s="721"/>
      <c r="AE583" s="707"/>
      <c r="AF583" s="707"/>
      <c r="AG583" s="151"/>
      <c r="AH583" s="146"/>
      <c r="AI583" s="721" t="s">
        <v>705</v>
      </c>
      <c r="AJ583" s="707"/>
      <c r="AK583" s="757" t="s">
        <v>641</v>
      </c>
      <c r="AL583" s="734">
        <f>(R583+(W583*Z583))/Q584</f>
        <v>2.1589477894736846</v>
      </c>
      <c r="AM583" s="707"/>
      <c r="AN583" s="707"/>
      <c r="AO583" s="735" t="s">
        <v>406</v>
      </c>
      <c r="AP583" s="707"/>
      <c r="AQ583" s="707"/>
      <c r="AR583" s="707"/>
      <c r="AS583" s="144"/>
      <c r="AT583" s="144"/>
      <c r="AU583" s="144"/>
      <c r="AV583" s="777"/>
      <c r="AW583" s="707"/>
      <c r="AX583" s="146"/>
      <c r="AY583" s="144"/>
      <c r="AZ583" s="144"/>
      <c r="BA583" s="144"/>
      <c r="BB583" s="144"/>
      <c r="BC583" s="144"/>
      <c r="BD583" s="144"/>
      <c r="BE583" s="144"/>
      <c r="BF583" s="146"/>
      <c r="BG583" s="146"/>
      <c r="BH583" s="146"/>
      <c r="BI583" s="146"/>
      <c r="BJ583" s="146"/>
    </row>
    <row r="584" spans="1:62" ht="15" customHeight="1">
      <c r="A584" s="707"/>
      <c r="B584" s="707"/>
      <c r="C584" s="707"/>
      <c r="D584" s="753" t="s">
        <v>397</v>
      </c>
      <c r="E584" s="637"/>
      <c r="F584" s="637"/>
      <c r="G584" s="637"/>
      <c r="H584" s="637"/>
      <c r="I584" s="637"/>
      <c r="J584" s="637"/>
      <c r="K584" s="637"/>
      <c r="L584" s="140"/>
      <c r="M584" s="140"/>
      <c r="N584" s="707"/>
      <c r="O584" s="707"/>
      <c r="P584" s="707"/>
      <c r="Q584" s="742">
        <f>VLOOKUP('Veri Girişi'!$F$73,TABLOLAR!$I$60:$S$65,3,0)</f>
        <v>475</v>
      </c>
      <c r="R584" s="637"/>
      <c r="S584" s="637"/>
      <c r="T584" s="637"/>
      <c r="U584" s="637"/>
      <c r="V584" s="637"/>
      <c r="W584" s="637"/>
      <c r="X584" s="637"/>
      <c r="Y584" s="637"/>
      <c r="Z584" s="637"/>
      <c r="AA584" s="637"/>
      <c r="AB584" s="637"/>
      <c r="AC584" s="171"/>
      <c r="AD584" s="171"/>
      <c r="AE584" s="171"/>
      <c r="AF584" s="171"/>
      <c r="AG584" s="171"/>
      <c r="AH584" s="171"/>
      <c r="AI584" s="707"/>
      <c r="AJ584" s="707"/>
      <c r="AK584" s="707"/>
      <c r="AL584" s="707"/>
      <c r="AM584" s="707"/>
      <c r="AN584" s="707"/>
      <c r="AO584" s="707"/>
      <c r="AP584" s="707"/>
      <c r="AQ584" s="707"/>
      <c r="AR584" s="707"/>
      <c r="AS584" s="144"/>
      <c r="AT584" s="128"/>
      <c r="AU584" s="128"/>
      <c r="AV584" s="737"/>
      <c r="AW584" s="707"/>
      <c r="AX584" s="128"/>
      <c r="AY584" s="128"/>
      <c r="AZ584" s="128"/>
      <c r="BA584" s="128"/>
      <c r="BB584" s="128"/>
      <c r="BC584" s="128"/>
      <c r="BD584" s="128"/>
      <c r="BE584" s="144"/>
      <c r="BF584" s="146"/>
      <c r="BG584" s="146"/>
      <c r="BH584" s="146"/>
      <c r="BI584" s="146"/>
      <c r="BJ584" s="146"/>
    </row>
    <row r="585" spans="1:62" ht="4.5" customHeight="1">
      <c r="A585" s="128"/>
      <c r="B585" s="144"/>
      <c r="C585" s="144"/>
      <c r="D585" s="144"/>
      <c r="E585" s="140"/>
      <c r="F585" s="140"/>
      <c r="G585" s="174"/>
      <c r="H585" s="174"/>
      <c r="I585" s="174"/>
      <c r="J585" s="128"/>
      <c r="K585" s="140"/>
      <c r="L585" s="140"/>
      <c r="M585" s="140"/>
      <c r="N585" s="140"/>
      <c r="O585" s="140"/>
      <c r="P585" s="140"/>
      <c r="Q585" s="140"/>
      <c r="R585" s="140"/>
      <c r="S585" s="174"/>
      <c r="T585" s="174"/>
      <c r="U585" s="174"/>
      <c r="V585" s="174"/>
      <c r="W585" s="174"/>
      <c r="X585" s="174"/>
      <c r="Y585" s="140"/>
      <c r="Z585" s="130"/>
      <c r="AA585" s="130"/>
      <c r="AB585" s="130"/>
      <c r="AC585" s="130"/>
      <c r="AD585" s="130"/>
      <c r="AE585" s="130"/>
      <c r="AF585" s="130"/>
      <c r="AG585" s="130"/>
      <c r="AH585" s="137"/>
      <c r="AI585" s="137"/>
      <c r="AJ585" s="137"/>
      <c r="AK585" s="137"/>
      <c r="AL585" s="137"/>
      <c r="AM585" s="128"/>
      <c r="AN585" s="128"/>
      <c r="AO585" s="130"/>
      <c r="AP585" s="130"/>
      <c r="AQ585" s="130"/>
      <c r="AR585" s="130"/>
      <c r="AS585" s="130"/>
      <c r="AT585" s="130"/>
      <c r="AU585" s="130"/>
      <c r="AV585" s="130"/>
      <c r="AW585" s="130"/>
      <c r="AX585" s="128"/>
      <c r="AY585" s="130"/>
      <c r="AZ585" s="130"/>
      <c r="BA585" s="130"/>
      <c r="BB585" s="130"/>
      <c r="BC585" s="130"/>
      <c r="BD585" s="130"/>
      <c r="BE585" s="130"/>
      <c r="BF585" s="128"/>
      <c r="BG585" s="128"/>
      <c r="BH585" s="128"/>
      <c r="BI585" s="128"/>
      <c r="BJ585" s="128"/>
    </row>
    <row r="586" spans="1:62" ht="15" customHeight="1">
      <c r="A586" s="146" t="s">
        <v>675</v>
      </c>
      <c r="B586" s="144"/>
      <c r="C586" s="144"/>
      <c r="D586" s="144"/>
      <c r="E586" s="140"/>
      <c r="F586" s="140"/>
      <c r="G586" s="174"/>
      <c r="H586" s="174"/>
      <c r="I586" s="174"/>
      <c r="J586" s="140"/>
      <c r="K586" s="140"/>
      <c r="L586" s="140"/>
      <c r="M586" s="140"/>
      <c r="N586" s="140"/>
      <c r="O586" s="140"/>
      <c r="P586" s="140"/>
      <c r="Q586" s="140"/>
      <c r="R586" s="140"/>
      <c r="S586" s="174"/>
      <c r="T586" s="174"/>
      <c r="U586" s="174"/>
      <c r="V586" s="174"/>
      <c r="W586" s="174"/>
      <c r="X586" s="174"/>
      <c r="Y586" s="140"/>
      <c r="Z586" s="130"/>
      <c r="AA586" s="130"/>
      <c r="AB586" s="130"/>
      <c r="AC586" s="130"/>
      <c r="AD586" s="130"/>
      <c r="AE586" s="130"/>
      <c r="AF586" s="130"/>
      <c r="AG586" s="130"/>
      <c r="AH586" s="137"/>
      <c r="AI586" s="137"/>
      <c r="AJ586" s="137"/>
      <c r="AK586" s="137"/>
      <c r="AL586" s="137"/>
      <c r="AM586" s="128"/>
      <c r="AN586" s="128"/>
      <c r="AO586" s="130"/>
      <c r="AP586" s="130"/>
      <c r="AQ586" s="130"/>
      <c r="AR586" s="130"/>
      <c r="AS586" s="130"/>
      <c r="AT586" s="130"/>
      <c r="AU586" s="130"/>
      <c r="AV586" s="130"/>
      <c r="AW586" s="130"/>
      <c r="AX586" s="128"/>
      <c r="AY586" s="130"/>
      <c r="AZ586" s="130"/>
      <c r="BA586" s="130"/>
      <c r="BB586" s="130"/>
      <c r="BC586" s="130"/>
      <c r="BD586" s="130"/>
      <c r="BE586" s="130"/>
      <c r="BF586" s="128"/>
      <c r="BG586" s="128"/>
      <c r="BH586" s="128"/>
      <c r="BI586" s="128"/>
      <c r="BJ586" s="128"/>
    </row>
    <row r="587" spans="1:62" ht="4.5" customHeight="1">
      <c r="A587" s="146"/>
      <c r="B587" s="144"/>
      <c r="C587" s="144"/>
      <c r="D587" s="144"/>
      <c r="E587" s="140"/>
      <c r="F587" s="140"/>
      <c r="G587" s="174"/>
      <c r="H587" s="174"/>
      <c r="I587" s="174"/>
      <c r="J587" s="140"/>
      <c r="K587" s="140"/>
      <c r="L587" s="140"/>
      <c r="M587" s="140"/>
      <c r="N587" s="140"/>
      <c r="O587" s="140"/>
      <c r="P587" s="140"/>
      <c r="Q587" s="140"/>
      <c r="R587" s="140"/>
      <c r="S587" s="174"/>
      <c r="T587" s="174"/>
      <c r="U587" s="174"/>
      <c r="V587" s="174"/>
      <c r="W587" s="174"/>
      <c r="X587" s="174"/>
      <c r="Y587" s="140"/>
      <c r="Z587" s="130"/>
      <c r="AA587" s="130"/>
      <c r="AB587" s="130"/>
      <c r="AC587" s="130"/>
      <c r="AD587" s="130"/>
      <c r="AE587" s="130"/>
      <c r="AF587" s="130"/>
      <c r="AG587" s="130"/>
      <c r="AH587" s="137"/>
      <c r="AI587" s="137"/>
      <c r="AJ587" s="137"/>
      <c r="AK587" s="137"/>
      <c r="AL587" s="137"/>
      <c r="AM587" s="128"/>
      <c r="AN587" s="128"/>
      <c r="AO587" s="130"/>
      <c r="AP587" s="130"/>
      <c r="AQ587" s="130"/>
      <c r="AR587" s="130"/>
      <c r="AS587" s="130"/>
      <c r="AT587" s="130"/>
      <c r="AU587" s="130"/>
      <c r="AV587" s="130"/>
      <c r="AW587" s="130"/>
      <c r="AX587" s="128"/>
      <c r="AY587" s="130"/>
      <c r="AZ587" s="130"/>
      <c r="BA587" s="130"/>
      <c r="BB587" s="130"/>
      <c r="BC587" s="130"/>
      <c r="BD587" s="130"/>
      <c r="BE587" s="130"/>
      <c r="BF587" s="128"/>
      <c r="BG587" s="128"/>
      <c r="BH587" s="128"/>
      <c r="BI587" s="128"/>
      <c r="BJ587" s="128"/>
    </row>
    <row r="588" spans="1:62" ht="15" customHeight="1">
      <c r="A588" s="128" t="s">
        <v>681</v>
      </c>
      <c r="B588" s="128"/>
      <c r="C588" s="162" t="s">
        <v>641</v>
      </c>
      <c r="D588" s="128" t="s">
        <v>677</v>
      </c>
      <c r="E588" s="128"/>
      <c r="F588" s="146" t="s">
        <v>316</v>
      </c>
      <c r="G588" s="128" t="s">
        <v>678</v>
      </c>
      <c r="H588" s="137"/>
      <c r="I588" s="146" t="s">
        <v>448</v>
      </c>
      <c r="J588" s="128" t="s">
        <v>679</v>
      </c>
      <c r="K588" s="128"/>
      <c r="L588" s="128"/>
      <c r="M588" s="128"/>
      <c r="N588" s="240"/>
      <c r="O588" s="128" t="s">
        <v>681</v>
      </c>
      <c r="P588" s="128"/>
      <c r="Q588" s="162" t="s">
        <v>641</v>
      </c>
      <c r="R588" s="752">
        <f>AU569</f>
        <v>7.651181722689075</v>
      </c>
      <c r="S588" s="707"/>
      <c r="T588" s="707"/>
      <c r="U588" s="174" t="s">
        <v>316</v>
      </c>
      <c r="V588" s="730">
        <f>AU575</f>
        <v>24.483781512605042</v>
      </c>
      <c r="W588" s="707"/>
      <c r="X588" s="707"/>
      <c r="Y588" s="140" t="s">
        <v>262</v>
      </c>
      <c r="Z588" s="734">
        <f>R588+V588</f>
        <v>32.134963235294116</v>
      </c>
      <c r="AA588" s="707"/>
      <c r="AB588" s="707"/>
      <c r="AC588" s="146" t="s">
        <v>448</v>
      </c>
      <c r="AD588" s="721">
        <f>$AH$305</f>
        <v>165</v>
      </c>
      <c r="AE588" s="707"/>
      <c r="AF588" s="707"/>
      <c r="AG588" s="730" t="s">
        <v>406</v>
      </c>
      <c r="AH588" s="707"/>
      <c r="AI588" s="707"/>
      <c r="AJ588" s="707"/>
      <c r="AK588" s="128"/>
      <c r="AL588" s="128"/>
      <c r="AM588" s="128"/>
      <c r="AN588" s="128"/>
      <c r="AO588" s="130"/>
      <c r="AP588" s="725" t="str">
        <f>IF(Z588&lt;=AD588,"UYGUNDUR.","UYGUN DEĞİLDİR.")</f>
        <v>UYGUNDUR.</v>
      </c>
      <c r="AQ588" s="710"/>
      <c r="AR588" s="710"/>
      <c r="AS588" s="710"/>
      <c r="AT588" s="710"/>
      <c r="AU588" s="710"/>
      <c r="AV588" s="710"/>
      <c r="AW588" s="710"/>
      <c r="AX588" s="710"/>
      <c r="AY588" s="583"/>
      <c r="AZ588" s="130"/>
      <c r="BA588" s="130"/>
      <c r="BB588" s="130"/>
      <c r="BC588" s="130"/>
      <c r="BD588" s="130"/>
      <c r="BE588" s="130"/>
      <c r="BF588" s="128"/>
      <c r="BG588" s="128"/>
      <c r="BH588" s="128"/>
      <c r="BI588" s="128"/>
      <c r="BJ588" s="128"/>
    </row>
    <row r="589" spans="1:62" ht="4.5" customHeight="1">
      <c r="A589" s="146"/>
      <c r="B589" s="140"/>
      <c r="C589" s="140"/>
      <c r="D589" s="146"/>
      <c r="E589" s="140"/>
      <c r="F589" s="143"/>
      <c r="G589" s="174"/>
      <c r="H589" s="174"/>
      <c r="I589" s="174"/>
      <c r="J589" s="140"/>
      <c r="K589" s="140"/>
      <c r="L589" s="140"/>
      <c r="M589" s="140"/>
      <c r="N589" s="143"/>
      <c r="O589" s="140"/>
      <c r="P589" s="140"/>
      <c r="Q589" s="140"/>
      <c r="R589" s="140"/>
      <c r="S589" s="174"/>
      <c r="T589" s="174"/>
      <c r="U589" s="174"/>
      <c r="V589" s="174"/>
      <c r="W589" s="174"/>
      <c r="X589" s="174"/>
      <c r="Y589" s="140"/>
      <c r="Z589" s="196"/>
      <c r="AA589" s="196"/>
      <c r="AB589" s="196"/>
      <c r="AC589" s="171"/>
      <c r="AD589" s="171"/>
      <c r="AE589" s="171"/>
      <c r="AF589" s="171"/>
      <c r="AG589" s="196"/>
      <c r="AH589" s="196"/>
      <c r="AI589" s="196"/>
      <c r="AJ589" s="128"/>
      <c r="AK589" s="128"/>
      <c r="AL589" s="128"/>
      <c r="AM589" s="128"/>
      <c r="AN589" s="128"/>
      <c r="AO589" s="130"/>
      <c r="AP589" s="130"/>
      <c r="AQ589" s="130"/>
      <c r="AR589" s="130"/>
      <c r="AS589" s="130"/>
      <c r="AT589" s="130"/>
      <c r="AU589" s="130"/>
      <c r="AV589" s="130"/>
      <c r="AW589" s="130"/>
      <c r="AX589" s="128"/>
      <c r="AY589" s="130"/>
      <c r="AZ589" s="130"/>
      <c r="BA589" s="130"/>
      <c r="BB589" s="130"/>
      <c r="BC589" s="130"/>
      <c r="BD589" s="130"/>
      <c r="BE589" s="130"/>
      <c r="BF589" s="128"/>
      <c r="BG589" s="128"/>
      <c r="BH589" s="128"/>
      <c r="BI589" s="128"/>
      <c r="BJ589" s="128"/>
    </row>
    <row r="590" spans="1:62" ht="15" customHeight="1">
      <c r="A590" s="722" t="s">
        <v>680</v>
      </c>
      <c r="B590" s="707"/>
      <c r="C590" s="721" t="s">
        <v>681</v>
      </c>
      <c r="D590" s="707"/>
      <c r="E590" s="735" t="s">
        <v>316</v>
      </c>
      <c r="F590" s="738" t="s">
        <v>738</v>
      </c>
      <c r="G590" s="724"/>
      <c r="H590" s="724"/>
      <c r="I590" s="724"/>
      <c r="J590" s="724"/>
      <c r="K590" s="724"/>
      <c r="L590" s="721" t="s">
        <v>448</v>
      </c>
      <c r="M590" s="722" t="s">
        <v>679</v>
      </c>
      <c r="N590" s="707"/>
      <c r="O590" s="707"/>
      <c r="P590" s="721" t="s">
        <v>680</v>
      </c>
      <c r="Q590" s="707"/>
      <c r="R590" s="752">
        <f>Z588</f>
        <v>32.134963235294116</v>
      </c>
      <c r="S590" s="707"/>
      <c r="T590" s="707"/>
      <c r="U590" s="735" t="s">
        <v>316</v>
      </c>
      <c r="V590" s="786">
        <f>AE580</f>
        <v>965.50020000000018</v>
      </c>
      <c r="W590" s="724"/>
      <c r="X590" s="724"/>
      <c r="Y590" s="199" t="s">
        <v>316</v>
      </c>
      <c r="Z590" s="751">
        <v>1.2</v>
      </c>
      <c r="AA590" s="724"/>
      <c r="AB590" s="235" t="s">
        <v>357</v>
      </c>
      <c r="AC590" s="738">
        <f>AH555</f>
        <v>50</v>
      </c>
      <c r="AD590" s="724"/>
      <c r="AE590" s="730" t="s">
        <v>262</v>
      </c>
      <c r="AF590" s="734">
        <f>((V590+(Z590*AC590))/V591)+R590</f>
        <v>34.293911024767802</v>
      </c>
      <c r="AG590" s="707"/>
      <c r="AH590" s="721" t="s">
        <v>448</v>
      </c>
      <c r="AI590" s="721">
        <f>$AH$305</f>
        <v>165</v>
      </c>
      <c r="AJ590" s="707"/>
      <c r="AK590" s="707"/>
      <c r="AL590" s="803" t="s">
        <v>406</v>
      </c>
      <c r="AM590" s="707"/>
      <c r="AN590" s="804"/>
      <c r="AO590" s="725" t="str">
        <f>IF(AF590&lt;=AI590,"UYGUNDUR.","UYGUN DEĞİLDİR.")</f>
        <v>UYGUNDUR.</v>
      </c>
      <c r="AP590" s="637"/>
      <c r="AQ590" s="637"/>
      <c r="AR590" s="637"/>
      <c r="AS590" s="637"/>
      <c r="AT590" s="637"/>
      <c r="AU590" s="637"/>
      <c r="AV590" s="637"/>
      <c r="AW590" s="637"/>
      <c r="AX590" s="690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</row>
    <row r="591" spans="1:62" ht="15" customHeight="1">
      <c r="A591" s="707"/>
      <c r="B591" s="707"/>
      <c r="C591" s="707"/>
      <c r="D591" s="707"/>
      <c r="E591" s="707"/>
      <c r="F591" s="721" t="s">
        <v>397</v>
      </c>
      <c r="G591" s="707"/>
      <c r="H591" s="707"/>
      <c r="I591" s="707"/>
      <c r="J591" s="707"/>
      <c r="K591" s="707"/>
      <c r="L591" s="707"/>
      <c r="M591" s="707"/>
      <c r="N591" s="707"/>
      <c r="O591" s="707"/>
      <c r="P591" s="707"/>
      <c r="Q591" s="707"/>
      <c r="R591" s="707"/>
      <c r="S591" s="707"/>
      <c r="T591" s="707"/>
      <c r="U591" s="707"/>
      <c r="V591" s="730">
        <f>VLOOKUP('Veri Girişi'!$F$73,TABLOLAR!$I$60:$S$65,3,0)</f>
        <v>475</v>
      </c>
      <c r="W591" s="707"/>
      <c r="X591" s="707"/>
      <c r="Y591" s="707"/>
      <c r="Z591" s="707"/>
      <c r="AA591" s="707"/>
      <c r="AB591" s="707"/>
      <c r="AC591" s="707"/>
      <c r="AD591" s="707"/>
      <c r="AE591" s="707"/>
      <c r="AF591" s="707"/>
      <c r="AG591" s="707"/>
      <c r="AH591" s="707"/>
      <c r="AI591" s="707"/>
      <c r="AJ591" s="707"/>
      <c r="AK591" s="707"/>
      <c r="AL591" s="707"/>
      <c r="AM591" s="707"/>
      <c r="AN591" s="804"/>
      <c r="AO591" s="726"/>
      <c r="AP591" s="724"/>
      <c r="AQ591" s="724"/>
      <c r="AR591" s="724"/>
      <c r="AS591" s="724"/>
      <c r="AT591" s="724"/>
      <c r="AU591" s="724"/>
      <c r="AV591" s="724"/>
      <c r="AW591" s="724"/>
      <c r="AX591" s="727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</row>
    <row r="592" spans="1:62" ht="4.5" customHeight="1">
      <c r="A592" s="144"/>
      <c r="B592" s="144"/>
      <c r="C592" s="144"/>
      <c r="D592" s="144"/>
      <c r="E592" s="140"/>
      <c r="F592" s="140"/>
      <c r="G592" s="174"/>
      <c r="H592" s="174"/>
      <c r="I592" s="174"/>
      <c r="J592" s="140"/>
      <c r="K592" s="140"/>
      <c r="L592" s="140"/>
      <c r="M592" s="140"/>
      <c r="N592" s="140"/>
      <c r="O592" s="140"/>
      <c r="P592" s="140"/>
      <c r="Q592" s="140"/>
      <c r="R592" s="140"/>
      <c r="S592" s="174"/>
      <c r="T592" s="174"/>
      <c r="U592" s="174"/>
      <c r="V592" s="174"/>
      <c r="W592" s="174"/>
      <c r="X592" s="174"/>
      <c r="Y592" s="140"/>
      <c r="Z592" s="130"/>
      <c r="AA592" s="130"/>
      <c r="AB592" s="130"/>
      <c r="AC592" s="130"/>
      <c r="AD592" s="130"/>
      <c r="AE592" s="130"/>
      <c r="AF592" s="130"/>
      <c r="AG592" s="130"/>
      <c r="AH592" s="137"/>
      <c r="AI592" s="137"/>
      <c r="AJ592" s="137"/>
      <c r="AK592" s="137"/>
      <c r="AL592" s="137"/>
      <c r="AM592" s="128"/>
      <c r="AN592" s="128"/>
      <c r="AO592" s="130"/>
      <c r="AP592" s="130"/>
      <c r="AQ592" s="130"/>
      <c r="AR592" s="130"/>
      <c r="AS592" s="130"/>
      <c r="AT592" s="130"/>
      <c r="AU592" s="130"/>
      <c r="AV592" s="130"/>
      <c r="AW592" s="130"/>
      <c r="AX592" s="128"/>
      <c r="AY592" s="130"/>
      <c r="AZ592" s="130"/>
      <c r="BA592" s="130"/>
      <c r="BB592" s="130"/>
      <c r="BC592" s="130"/>
      <c r="BD592" s="130"/>
      <c r="BE592" s="130"/>
      <c r="BF592" s="128"/>
      <c r="BG592" s="128"/>
      <c r="BH592" s="128"/>
      <c r="BI592" s="128"/>
      <c r="BJ592" s="128"/>
    </row>
    <row r="593" spans="1:62" ht="15" customHeight="1">
      <c r="A593" s="146" t="s">
        <v>684</v>
      </c>
      <c r="B593" s="140"/>
      <c r="C593" s="140"/>
      <c r="D593" s="146"/>
      <c r="E593" s="140"/>
      <c r="F593" s="143"/>
      <c r="G593" s="174"/>
      <c r="H593" s="174"/>
      <c r="I593" s="174"/>
      <c r="J593" s="140"/>
      <c r="K593" s="140"/>
      <c r="L593" s="140"/>
      <c r="M593" s="140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30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30"/>
      <c r="BC593" s="130"/>
      <c r="BD593" s="130"/>
      <c r="BE593" s="130"/>
      <c r="BF593" s="128"/>
      <c r="BG593" s="128"/>
      <c r="BH593" s="128"/>
      <c r="BI593" s="128"/>
      <c r="BJ593" s="128"/>
    </row>
    <row r="594" spans="1:62" ht="4.5" customHeight="1">
      <c r="A594" s="146"/>
      <c r="B594" s="140"/>
      <c r="C594" s="140"/>
      <c r="D594" s="146"/>
      <c r="E594" s="140"/>
      <c r="F594" s="143"/>
      <c r="G594" s="174"/>
      <c r="H594" s="174"/>
      <c r="I594" s="174"/>
      <c r="J594" s="140"/>
      <c r="K594" s="140"/>
      <c r="L594" s="140"/>
      <c r="M594" s="140"/>
      <c r="N594" s="143"/>
      <c r="O594" s="140"/>
      <c r="P594" s="140"/>
      <c r="Q594" s="140"/>
      <c r="R594" s="140"/>
      <c r="S594" s="174"/>
      <c r="T594" s="174"/>
      <c r="U594" s="174"/>
      <c r="V594" s="174"/>
      <c r="W594" s="174"/>
      <c r="X594" s="174"/>
      <c r="Y594" s="140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28"/>
      <c r="AK594" s="128"/>
      <c r="AL594" s="128"/>
      <c r="AM594" s="128"/>
      <c r="AN594" s="128"/>
      <c r="AO594" s="130"/>
      <c r="AP594" s="130"/>
      <c r="AQ594" s="130"/>
      <c r="AR594" s="130"/>
      <c r="AS594" s="130"/>
      <c r="AT594" s="130"/>
      <c r="AU594" s="130"/>
      <c r="AV594" s="130"/>
      <c r="AW594" s="130"/>
      <c r="AX594" s="128"/>
      <c r="AY594" s="130"/>
      <c r="AZ594" s="130"/>
      <c r="BA594" s="130"/>
      <c r="BB594" s="130"/>
      <c r="BC594" s="130"/>
      <c r="BD594" s="130"/>
      <c r="BE594" s="130"/>
      <c r="BF594" s="128"/>
      <c r="BG594" s="128"/>
      <c r="BH594" s="128"/>
      <c r="BI594" s="128"/>
      <c r="BJ594" s="128"/>
    </row>
    <row r="595" spans="1:62" ht="15" customHeight="1">
      <c r="A595" s="722" t="s">
        <v>685</v>
      </c>
      <c r="B595" s="707"/>
      <c r="C595" s="707"/>
      <c r="D595" s="738" t="s">
        <v>686</v>
      </c>
      <c r="E595" s="724"/>
      <c r="F595" s="724"/>
      <c r="G595" s="724"/>
      <c r="H595" s="724"/>
      <c r="I595" s="724"/>
      <c r="J595" s="721" t="s">
        <v>448</v>
      </c>
      <c r="K595" s="722" t="s">
        <v>679</v>
      </c>
      <c r="L595" s="707"/>
      <c r="M595" s="707"/>
      <c r="N595" s="722" t="s">
        <v>685</v>
      </c>
      <c r="O595" s="707"/>
      <c r="P595" s="707"/>
      <c r="Q595" s="723">
        <f>AP566</f>
        <v>28.564411764705881</v>
      </c>
      <c r="R595" s="724"/>
      <c r="S595" s="724"/>
      <c r="T595" s="234" t="s">
        <v>357</v>
      </c>
      <c r="U595" s="802">
        <f>(VLOOKUP('Veri Girişi'!F73,TABLOLAR!I69:N74,5,0))*6</f>
        <v>171</v>
      </c>
      <c r="V595" s="724"/>
      <c r="W595" s="724"/>
      <c r="X595" s="724"/>
      <c r="Y595" s="730" t="s">
        <v>262</v>
      </c>
      <c r="Z595" s="734">
        <f>Q595*U595/Q596</f>
        <v>2.2985950173010381</v>
      </c>
      <c r="AA595" s="707"/>
      <c r="AB595" s="707"/>
      <c r="AC595" s="721" t="s">
        <v>448</v>
      </c>
      <c r="AD595" s="721">
        <f>$AH$305</f>
        <v>165</v>
      </c>
      <c r="AE595" s="707"/>
      <c r="AF595" s="707"/>
      <c r="AG595" s="735" t="s">
        <v>406</v>
      </c>
      <c r="AH595" s="707"/>
      <c r="AI595" s="707"/>
      <c r="AJ595" s="707"/>
      <c r="AK595" s="128"/>
      <c r="AL595" s="725" t="str">
        <f>IF(Z595&lt;=AD595,"UYGUNDUR.","UYGUN DEĞİLDİR.")</f>
        <v>UYGUNDUR.</v>
      </c>
      <c r="AM595" s="637"/>
      <c r="AN595" s="637"/>
      <c r="AO595" s="637"/>
      <c r="AP595" s="637"/>
      <c r="AQ595" s="637"/>
      <c r="AR595" s="637"/>
      <c r="AS595" s="637"/>
      <c r="AT595" s="637"/>
      <c r="AU595" s="690"/>
      <c r="AV595" s="130"/>
      <c r="AW595" s="130"/>
      <c r="AX595" s="128"/>
      <c r="AY595" s="130"/>
      <c r="AZ595" s="130"/>
      <c r="BA595" s="130"/>
      <c r="BB595" s="130"/>
      <c r="BC595" s="130"/>
      <c r="BD595" s="130"/>
      <c r="BE595" s="130"/>
      <c r="BF595" s="128"/>
      <c r="BG595" s="128"/>
      <c r="BH595" s="128"/>
      <c r="BI595" s="128"/>
      <c r="BJ595" s="128"/>
    </row>
    <row r="596" spans="1:62" ht="15" customHeight="1">
      <c r="A596" s="707"/>
      <c r="B596" s="707"/>
      <c r="C596" s="707"/>
      <c r="D596" s="753" t="s">
        <v>687</v>
      </c>
      <c r="E596" s="637"/>
      <c r="F596" s="637"/>
      <c r="G596" s="637"/>
      <c r="H596" s="637"/>
      <c r="I596" s="637"/>
      <c r="J596" s="707"/>
      <c r="K596" s="707"/>
      <c r="L596" s="707"/>
      <c r="M596" s="707"/>
      <c r="N596" s="707"/>
      <c r="O596" s="707"/>
      <c r="P596" s="707"/>
      <c r="Q596" s="790">
        <f>(((VLOOKUP('Veri Girişi'!F73,TABLOLAR!I60:S65,10,0))*(VLOOKUP('Veri Girişi'!F73,TABLOLAR!I60:S65,10,0)))*(1+2*(VLOOKUP('Veri Girişi'!F73,TABLOLAR!I69:N74,6,0))))</f>
        <v>2125</v>
      </c>
      <c r="R596" s="637"/>
      <c r="S596" s="637"/>
      <c r="T596" s="637"/>
      <c r="U596" s="637"/>
      <c r="V596" s="637"/>
      <c r="W596" s="637"/>
      <c r="X596" s="637"/>
      <c r="Y596" s="707"/>
      <c r="Z596" s="707"/>
      <c r="AA596" s="707"/>
      <c r="AB596" s="707"/>
      <c r="AC596" s="707"/>
      <c r="AD596" s="707"/>
      <c r="AE596" s="707"/>
      <c r="AF596" s="707"/>
      <c r="AG596" s="707"/>
      <c r="AH596" s="707"/>
      <c r="AI596" s="707"/>
      <c r="AJ596" s="707"/>
      <c r="AK596" s="128"/>
      <c r="AL596" s="726"/>
      <c r="AM596" s="724"/>
      <c r="AN596" s="724"/>
      <c r="AO596" s="724"/>
      <c r="AP596" s="724"/>
      <c r="AQ596" s="724"/>
      <c r="AR596" s="724"/>
      <c r="AS596" s="724"/>
      <c r="AT596" s="724"/>
      <c r="AU596" s="727"/>
      <c r="AV596" s="130"/>
      <c r="AW596" s="130"/>
      <c r="AX596" s="128"/>
      <c r="AY596" s="130"/>
      <c r="AZ596" s="130"/>
      <c r="BA596" s="130"/>
      <c r="BB596" s="130"/>
      <c r="BC596" s="130"/>
      <c r="BD596" s="130"/>
      <c r="BE596" s="130"/>
      <c r="BF596" s="128"/>
      <c r="BG596" s="128"/>
      <c r="BH596" s="128"/>
      <c r="BI596" s="128"/>
      <c r="BJ596" s="128"/>
    </row>
    <row r="597" spans="1:62" ht="6" customHeight="1">
      <c r="A597" s="144"/>
      <c r="B597" s="144"/>
      <c r="C597" s="144"/>
      <c r="D597" s="151"/>
      <c r="E597" s="151"/>
      <c r="F597" s="151"/>
      <c r="G597" s="151"/>
      <c r="H597" s="151"/>
      <c r="I597" s="144"/>
      <c r="J597" s="144"/>
      <c r="K597" s="144"/>
      <c r="L597" s="140"/>
      <c r="M597" s="140"/>
      <c r="N597" s="144"/>
      <c r="O597" s="144"/>
      <c r="P597" s="144"/>
      <c r="Q597" s="140"/>
      <c r="R597" s="140"/>
      <c r="S597" s="140"/>
      <c r="T597" s="140"/>
      <c r="U597" s="140"/>
      <c r="V597" s="140"/>
      <c r="W597" s="140"/>
      <c r="X597" s="140"/>
      <c r="Y597" s="140"/>
      <c r="Z597" s="151"/>
      <c r="AA597" s="151"/>
      <c r="AB597" s="151"/>
      <c r="AC597" s="151"/>
      <c r="AD597" s="151"/>
      <c r="AE597" s="151"/>
      <c r="AF597" s="151"/>
      <c r="AG597" s="174"/>
      <c r="AH597" s="174"/>
      <c r="AI597" s="174"/>
      <c r="AJ597" s="174"/>
      <c r="AK597" s="128"/>
      <c r="AL597" s="168"/>
      <c r="AM597" s="168"/>
      <c r="AN597" s="168"/>
      <c r="AO597" s="168"/>
      <c r="AP597" s="168"/>
      <c r="AQ597" s="168"/>
      <c r="AR597" s="168"/>
      <c r="AS597" s="168"/>
      <c r="AT597" s="168"/>
      <c r="AU597" s="168"/>
      <c r="AV597" s="130"/>
      <c r="AW597" s="130"/>
      <c r="AX597" s="128"/>
      <c r="AY597" s="130"/>
      <c r="AZ597" s="130"/>
      <c r="BA597" s="130"/>
      <c r="BB597" s="130"/>
      <c r="BC597" s="130"/>
      <c r="BD597" s="130"/>
      <c r="BE597" s="130"/>
      <c r="BF597" s="128"/>
      <c r="BG597" s="128"/>
      <c r="BH597" s="128"/>
      <c r="BI597" s="128"/>
      <c r="BJ597" s="128"/>
    </row>
    <row r="598" spans="1:62" ht="15" customHeight="1">
      <c r="A598" s="146" t="s">
        <v>689</v>
      </c>
      <c r="B598" s="140"/>
      <c r="C598" s="140"/>
      <c r="D598" s="146"/>
      <c r="E598" s="140"/>
      <c r="F598" s="143"/>
      <c r="G598" s="174"/>
      <c r="H598" s="174"/>
      <c r="I598" s="174"/>
      <c r="J598" s="140"/>
      <c r="K598" s="140"/>
      <c r="L598" s="140"/>
      <c r="M598" s="140"/>
      <c r="N598" s="143"/>
      <c r="O598" s="140"/>
      <c r="P598" s="140"/>
      <c r="Q598" s="140"/>
      <c r="R598" s="140"/>
      <c r="S598" s="174"/>
      <c r="T598" s="174"/>
      <c r="U598" s="174"/>
      <c r="V598" s="174"/>
      <c r="W598" s="174"/>
      <c r="X598" s="174"/>
      <c r="Y598" s="140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28"/>
      <c r="AK598" s="128"/>
      <c r="AL598" s="128"/>
      <c r="AM598" s="128"/>
      <c r="AN598" s="128"/>
      <c r="AO598" s="130"/>
      <c r="AP598" s="130"/>
      <c r="AQ598" s="130"/>
      <c r="AR598" s="130"/>
      <c r="AS598" s="130"/>
      <c r="AT598" s="130"/>
      <c r="AU598" s="130"/>
      <c r="AV598" s="130"/>
      <c r="AW598" s="130"/>
      <c r="AX598" s="128"/>
      <c r="AY598" s="130"/>
      <c r="AZ598" s="130"/>
      <c r="BA598" s="130"/>
      <c r="BB598" s="130"/>
      <c r="BC598" s="130"/>
      <c r="BD598" s="130"/>
      <c r="BE598" s="130"/>
      <c r="BF598" s="128"/>
      <c r="BG598" s="128"/>
      <c r="BH598" s="128"/>
      <c r="BI598" s="128"/>
      <c r="BJ598" s="128"/>
    </row>
    <row r="599" spans="1:62" ht="4.5" customHeight="1">
      <c r="A599" s="146"/>
      <c r="B599" s="140"/>
      <c r="C599" s="140"/>
      <c r="D599" s="146"/>
      <c r="E599" s="140"/>
      <c r="F599" s="143"/>
      <c r="G599" s="174"/>
      <c r="H599" s="174"/>
      <c r="I599" s="174"/>
      <c r="J599" s="140"/>
      <c r="K599" s="140"/>
      <c r="L599" s="140"/>
      <c r="M599" s="140"/>
      <c r="N599" s="143"/>
      <c r="O599" s="140"/>
      <c r="P599" s="140"/>
      <c r="Q599" s="140"/>
      <c r="R599" s="140"/>
      <c r="S599" s="174"/>
      <c r="T599" s="174"/>
      <c r="U599" s="174"/>
      <c r="V599" s="174"/>
      <c r="W599" s="174"/>
      <c r="X599" s="174"/>
      <c r="Y599" s="140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28"/>
      <c r="AK599" s="128"/>
      <c r="AL599" s="128"/>
      <c r="AM599" s="128"/>
      <c r="AN599" s="128"/>
      <c r="AO599" s="130"/>
      <c r="AP599" s="130"/>
      <c r="AQ599" s="130"/>
      <c r="AR599" s="130"/>
      <c r="AS599" s="130"/>
      <c r="AT599" s="130"/>
      <c r="AU599" s="130"/>
      <c r="AV599" s="130"/>
      <c r="AW599" s="130"/>
      <c r="AX599" s="128"/>
      <c r="AY599" s="130"/>
      <c r="AZ599" s="130"/>
      <c r="BA599" s="130"/>
      <c r="BB599" s="130"/>
      <c r="BC599" s="130"/>
      <c r="BD599" s="130"/>
      <c r="BE599" s="130"/>
      <c r="BF599" s="128"/>
      <c r="BG599" s="128"/>
      <c r="BH599" s="128"/>
      <c r="BI599" s="128"/>
      <c r="BJ599" s="128"/>
    </row>
    <row r="600" spans="1:62" ht="15" customHeight="1">
      <c r="A600" s="729" t="s">
        <v>690</v>
      </c>
      <c r="B600" s="757" t="s">
        <v>262</v>
      </c>
      <c r="C600" s="730" t="s">
        <v>691</v>
      </c>
      <c r="D600" s="707"/>
      <c r="E600" s="707"/>
      <c r="F600" s="808" t="s">
        <v>739</v>
      </c>
      <c r="G600" s="724"/>
      <c r="H600" s="724"/>
      <c r="I600" s="724"/>
      <c r="J600" s="724"/>
      <c r="K600" s="755" t="s">
        <v>448</v>
      </c>
      <c r="L600" s="729" t="s">
        <v>693</v>
      </c>
      <c r="M600" s="707"/>
      <c r="N600" s="140"/>
      <c r="O600" s="140"/>
      <c r="P600" s="729" t="s">
        <v>690</v>
      </c>
      <c r="Q600" s="757" t="s">
        <v>262</v>
      </c>
      <c r="R600" s="730">
        <v>0.7</v>
      </c>
      <c r="S600" s="707"/>
      <c r="T600" s="730" t="s">
        <v>357</v>
      </c>
      <c r="U600" s="723">
        <f>AP566</f>
        <v>28.564411764705881</v>
      </c>
      <c r="V600" s="724"/>
      <c r="W600" s="724"/>
      <c r="X600" s="724"/>
      <c r="Y600" s="724"/>
      <c r="Z600" s="206" t="s">
        <v>357</v>
      </c>
      <c r="AA600" s="738">
        <f>('Veri Girişi'!$B$112)^3</f>
        <v>27000000000</v>
      </c>
      <c r="AB600" s="724"/>
      <c r="AC600" s="724"/>
      <c r="AD600" s="724"/>
      <c r="AE600" s="724"/>
      <c r="AF600" s="724"/>
      <c r="AG600" s="757" t="s">
        <v>262</v>
      </c>
      <c r="AH600" s="734">
        <f>R600*AA600*U600/(U601*X601*AC601)</f>
        <v>1.0399159663865547</v>
      </c>
      <c r="AI600" s="707"/>
      <c r="AJ600" s="707"/>
      <c r="AK600" s="721" t="s">
        <v>448</v>
      </c>
      <c r="AL600" s="721">
        <v>10</v>
      </c>
      <c r="AM600" s="707"/>
      <c r="AN600" s="722" t="s">
        <v>122</v>
      </c>
      <c r="AO600" s="707"/>
      <c r="AP600" s="130"/>
      <c r="AQ600" s="725" t="str">
        <f>IF(AH600&lt;=AL600,"UYGUNDUR.","UYGUN DEĞİLDİR.")</f>
        <v>UYGUNDUR.</v>
      </c>
      <c r="AR600" s="637"/>
      <c r="AS600" s="637"/>
      <c r="AT600" s="637"/>
      <c r="AU600" s="637"/>
      <c r="AV600" s="637"/>
      <c r="AW600" s="637"/>
      <c r="AX600" s="637"/>
      <c r="AY600" s="637"/>
      <c r="AZ600" s="690"/>
      <c r="BA600" s="130"/>
      <c r="BB600" s="130"/>
      <c r="BC600" s="130"/>
      <c r="BD600" s="130"/>
      <c r="BE600" s="130"/>
      <c r="BF600" s="128"/>
      <c r="BG600" s="128"/>
      <c r="BH600" s="128"/>
      <c r="BI600" s="128"/>
      <c r="BJ600" s="128"/>
    </row>
    <row r="601" spans="1:62" ht="15" customHeight="1">
      <c r="A601" s="707"/>
      <c r="B601" s="707"/>
      <c r="C601" s="707"/>
      <c r="D601" s="707"/>
      <c r="E601" s="707"/>
      <c r="F601" s="743" t="s">
        <v>694</v>
      </c>
      <c r="G601" s="637"/>
      <c r="H601" s="637"/>
      <c r="I601" s="637"/>
      <c r="J601" s="637"/>
      <c r="K601" s="707"/>
      <c r="L601" s="707"/>
      <c r="M601" s="707"/>
      <c r="N601" s="140"/>
      <c r="O601" s="140"/>
      <c r="P601" s="707"/>
      <c r="Q601" s="707"/>
      <c r="R601" s="707"/>
      <c r="S601" s="707"/>
      <c r="T601" s="707"/>
      <c r="U601" s="730">
        <f>48</f>
        <v>48</v>
      </c>
      <c r="V601" s="707"/>
      <c r="W601" s="171" t="s">
        <v>357</v>
      </c>
      <c r="X601" s="730">
        <v>206010</v>
      </c>
      <c r="Y601" s="707"/>
      <c r="Z601" s="707"/>
      <c r="AA601" s="707"/>
      <c r="AB601" s="171" t="s">
        <v>357</v>
      </c>
      <c r="AC601" s="730">
        <f>VLOOKUP('Veri Girişi'!$F$73,TABLOLAR!$I$60:$S$65,5,0)</f>
        <v>52500</v>
      </c>
      <c r="AD601" s="707"/>
      <c r="AE601" s="707"/>
      <c r="AF601" s="707"/>
      <c r="AG601" s="707"/>
      <c r="AH601" s="707"/>
      <c r="AI601" s="707"/>
      <c r="AJ601" s="707"/>
      <c r="AK601" s="707"/>
      <c r="AL601" s="707"/>
      <c r="AM601" s="707"/>
      <c r="AN601" s="707"/>
      <c r="AO601" s="707"/>
      <c r="AP601" s="130"/>
      <c r="AQ601" s="726"/>
      <c r="AR601" s="724"/>
      <c r="AS601" s="724"/>
      <c r="AT601" s="724"/>
      <c r="AU601" s="724"/>
      <c r="AV601" s="724"/>
      <c r="AW601" s="724"/>
      <c r="AX601" s="724"/>
      <c r="AY601" s="724"/>
      <c r="AZ601" s="727"/>
      <c r="BA601" s="130"/>
      <c r="BB601" s="130"/>
      <c r="BC601" s="130"/>
      <c r="BD601" s="130"/>
      <c r="BE601" s="130"/>
      <c r="BF601" s="128"/>
      <c r="BG601" s="128"/>
      <c r="BH601" s="128"/>
      <c r="BI601" s="128"/>
      <c r="BJ601" s="128"/>
    </row>
    <row r="602" spans="1:62" ht="4.5" customHeight="1">
      <c r="A602" s="146"/>
      <c r="B602" s="140"/>
      <c r="C602" s="140"/>
      <c r="D602" s="146"/>
      <c r="E602" s="140"/>
      <c r="F602" s="140"/>
      <c r="G602" s="174"/>
      <c r="H602" s="174"/>
      <c r="I602" s="174"/>
      <c r="J602" s="140"/>
      <c r="K602" s="140"/>
      <c r="L602" s="140"/>
      <c r="M602" s="140"/>
      <c r="N602" s="140"/>
      <c r="O602" s="140"/>
      <c r="P602" s="140"/>
      <c r="Q602" s="140"/>
      <c r="R602" s="140"/>
      <c r="S602" s="174"/>
      <c r="T602" s="174"/>
      <c r="U602" s="174"/>
      <c r="V602" s="174"/>
      <c r="W602" s="174"/>
      <c r="X602" s="174"/>
      <c r="Y602" s="140"/>
      <c r="Z602" s="196"/>
      <c r="AA602" s="196"/>
      <c r="AB602" s="196"/>
      <c r="AC602" s="196"/>
      <c r="AD602" s="196"/>
      <c r="AE602" s="196"/>
      <c r="AF602" s="196"/>
      <c r="AG602" s="196"/>
      <c r="AH602" s="241"/>
      <c r="AI602" s="241"/>
      <c r="AJ602" s="242"/>
      <c r="AK602" s="128"/>
      <c r="AL602" s="128"/>
      <c r="AM602" s="128"/>
      <c r="AN602" s="128"/>
      <c r="AO602" s="130"/>
      <c r="AP602" s="130"/>
      <c r="AQ602" s="130"/>
      <c r="AR602" s="130"/>
      <c r="AS602" s="130"/>
      <c r="AT602" s="130"/>
      <c r="AU602" s="130"/>
      <c r="AV602" s="130"/>
      <c r="AW602" s="130"/>
      <c r="AX602" s="128"/>
      <c r="AY602" s="130"/>
      <c r="AZ602" s="130"/>
      <c r="BA602" s="130"/>
      <c r="BB602" s="130"/>
      <c r="BC602" s="130"/>
      <c r="BD602" s="130"/>
      <c r="BE602" s="130"/>
      <c r="BF602" s="128"/>
      <c r="BG602" s="128"/>
      <c r="BH602" s="128"/>
      <c r="BI602" s="128"/>
      <c r="BJ602" s="128"/>
    </row>
    <row r="603" spans="1:62" ht="16.5" customHeight="1">
      <c r="A603" s="729" t="s">
        <v>695</v>
      </c>
      <c r="B603" s="757" t="s">
        <v>262</v>
      </c>
      <c r="C603" s="730" t="s">
        <v>691</v>
      </c>
      <c r="D603" s="707"/>
      <c r="E603" s="707"/>
      <c r="F603" s="770" t="s">
        <v>740</v>
      </c>
      <c r="G603" s="724"/>
      <c r="H603" s="724"/>
      <c r="I603" s="724"/>
      <c r="J603" s="724"/>
      <c r="K603" s="755" t="s">
        <v>448</v>
      </c>
      <c r="L603" s="729" t="s">
        <v>693</v>
      </c>
      <c r="M603" s="707"/>
      <c r="N603" s="140"/>
      <c r="O603" s="140"/>
      <c r="P603" s="729" t="s">
        <v>695</v>
      </c>
      <c r="Q603" s="757" t="s">
        <v>262</v>
      </c>
      <c r="R603" s="730">
        <v>0.7</v>
      </c>
      <c r="S603" s="707"/>
      <c r="T603" s="730" t="s">
        <v>357</v>
      </c>
      <c r="U603" s="723">
        <f>AP572</f>
        <v>91.406117647058835</v>
      </c>
      <c r="V603" s="724"/>
      <c r="W603" s="724"/>
      <c r="X603" s="724"/>
      <c r="Y603" s="724"/>
      <c r="Z603" s="206" t="s">
        <v>357</v>
      </c>
      <c r="AA603" s="738">
        <f>('Veri Girişi'!$B$112)^3</f>
        <v>27000000000</v>
      </c>
      <c r="AB603" s="724"/>
      <c r="AC603" s="724"/>
      <c r="AD603" s="724"/>
      <c r="AE603" s="724"/>
      <c r="AF603" s="724"/>
      <c r="AG603" s="757" t="s">
        <v>262</v>
      </c>
      <c r="AH603" s="734">
        <f>R603*AA603*U603/(U604*X604*AC604)</f>
        <v>1.5543227967343523</v>
      </c>
      <c r="AI603" s="707"/>
      <c r="AJ603" s="707"/>
      <c r="AK603" s="721" t="s">
        <v>448</v>
      </c>
      <c r="AL603" s="721">
        <v>10</v>
      </c>
      <c r="AM603" s="707"/>
      <c r="AN603" s="722" t="s">
        <v>122</v>
      </c>
      <c r="AO603" s="707"/>
      <c r="AP603" s="130"/>
      <c r="AQ603" s="725" t="str">
        <f>IF(AH603&lt;=AL603,"UYGUNDUR.","UYGUN DEĞİLDİR.")</f>
        <v>UYGUNDUR.</v>
      </c>
      <c r="AR603" s="637"/>
      <c r="AS603" s="637"/>
      <c r="AT603" s="637"/>
      <c r="AU603" s="637"/>
      <c r="AV603" s="637"/>
      <c r="AW603" s="637"/>
      <c r="AX603" s="637"/>
      <c r="AY603" s="637"/>
      <c r="AZ603" s="690"/>
      <c r="BA603" s="130"/>
      <c r="BB603" s="130"/>
      <c r="BC603" s="130"/>
      <c r="BD603" s="130"/>
      <c r="BE603" s="130"/>
      <c r="BF603" s="128"/>
      <c r="BG603" s="128"/>
      <c r="BH603" s="128"/>
      <c r="BI603" s="128"/>
      <c r="BJ603" s="128"/>
    </row>
    <row r="604" spans="1:62" ht="16.5" customHeight="1">
      <c r="A604" s="707"/>
      <c r="B604" s="707"/>
      <c r="C604" s="707"/>
      <c r="D604" s="707"/>
      <c r="E604" s="707"/>
      <c r="F604" s="743" t="s">
        <v>697</v>
      </c>
      <c r="G604" s="637"/>
      <c r="H604" s="637"/>
      <c r="I604" s="637"/>
      <c r="J604" s="637"/>
      <c r="K604" s="707"/>
      <c r="L604" s="707"/>
      <c r="M604" s="707"/>
      <c r="N604" s="140"/>
      <c r="O604" s="140"/>
      <c r="P604" s="707"/>
      <c r="Q604" s="707"/>
      <c r="R604" s="707"/>
      <c r="S604" s="707"/>
      <c r="T604" s="707"/>
      <c r="U604" s="730">
        <f>48</f>
        <v>48</v>
      </c>
      <c r="V604" s="707"/>
      <c r="W604" s="171" t="s">
        <v>357</v>
      </c>
      <c r="X604" s="730">
        <v>206010</v>
      </c>
      <c r="Y604" s="707"/>
      <c r="Z604" s="707"/>
      <c r="AA604" s="707"/>
      <c r="AB604" s="171" t="s">
        <v>357</v>
      </c>
      <c r="AC604" s="730">
        <f>VLOOKUP('Veri Girişi'!$F$73,TABLOLAR!$I$60:$S$65,4,0)</f>
        <v>112400</v>
      </c>
      <c r="AD604" s="707"/>
      <c r="AE604" s="707"/>
      <c r="AF604" s="707"/>
      <c r="AG604" s="707"/>
      <c r="AH604" s="707"/>
      <c r="AI604" s="707"/>
      <c r="AJ604" s="707"/>
      <c r="AK604" s="707"/>
      <c r="AL604" s="707"/>
      <c r="AM604" s="707"/>
      <c r="AN604" s="707"/>
      <c r="AO604" s="707"/>
      <c r="AP604" s="130"/>
      <c r="AQ604" s="726"/>
      <c r="AR604" s="724"/>
      <c r="AS604" s="724"/>
      <c r="AT604" s="724"/>
      <c r="AU604" s="724"/>
      <c r="AV604" s="724"/>
      <c r="AW604" s="724"/>
      <c r="AX604" s="724"/>
      <c r="AY604" s="724"/>
      <c r="AZ604" s="727"/>
      <c r="BA604" s="130"/>
      <c r="BB604" s="130"/>
      <c r="BC604" s="130"/>
      <c r="BD604" s="130"/>
      <c r="BE604" s="130"/>
      <c r="BF604" s="128"/>
      <c r="BG604" s="128"/>
      <c r="BH604" s="128"/>
      <c r="BI604" s="128"/>
      <c r="BJ604" s="128"/>
    </row>
    <row r="605" spans="1:62" ht="17.25" customHeight="1">
      <c r="A605" s="144"/>
      <c r="B605" s="144"/>
      <c r="C605" s="144"/>
      <c r="D605" s="144"/>
      <c r="E605" s="140"/>
      <c r="F605" s="140"/>
      <c r="G605" s="174"/>
      <c r="H605" s="174"/>
      <c r="I605" s="174"/>
      <c r="J605" s="140"/>
      <c r="K605" s="140"/>
      <c r="L605" s="140"/>
      <c r="M605" s="140"/>
      <c r="N605" s="140"/>
      <c r="O605" s="140"/>
      <c r="P605" s="140"/>
      <c r="Q605" s="140"/>
      <c r="R605" s="140"/>
      <c r="S605" s="174"/>
      <c r="T605" s="174"/>
      <c r="U605" s="174"/>
      <c r="V605" s="174"/>
      <c r="W605" s="174"/>
      <c r="X605" s="174"/>
      <c r="Y605" s="140"/>
      <c r="Z605" s="130"/>
      <c r="AA605" s="130"/>
      <c r="AB605" s="130"/>
      <c r="AC605" s="130"/>
      <c r="AD605" s="130"/>
      <c r="AE605" s="130"/>
      <c r="AF605" s="130"/>
      <c r="AG605" s="130"/>
      <c r="AH605" s="137"/>
      <c r="AI605" s="137"/>
      <c r="AJ605" s="137"/>
      <c r="AK605" s="137"/>
      <c r="AL605" s="137"/>
      <c r="AM605" s="128"/>
      <c r="AN605" s="128"/>
      <c r="AO605" s="130"/>
      <c r="AP605" s="130"/>
      <c r="AQ605" s="130"/>
      <c r="AR605" s="130"/>
      <c r="AS605" s="130"/>
      <c r="AT605" s="130"/>
      <c r="AU605" s="130"/>
      <c r="AV605" s="130"/>
      <c r="AW605" s="130"/>
      <c r="AX605" s="128"/>
      <c r="AY605" s="130"/>
      <c r="AZ605" s="130"/>
      <c r="BA605" s="130" t="s">
        <v>741</v>
      </c>
      <c r="BB605" s="130"/>
      <c r="BC605" s="130"/>
      <c r="BD605" s="130"/>
      <c r="BE605" s="130"/>
      <c r="BF605" s="128"/>
      <c r="BG605" s="128"/>
      <c r="BH605" s="128"/>
      <c r="BI605" s="128"/>
      <c r="BJ605" s="128"/>
    </row>
    <row r="606" spans="1:62" ht="15" customHeight="1">
      <c r="A606" s="792" t="s">
        <v>742</v>
      </c>
      <c r="B606" s="707"/>
      <c r="C606" s="707"/>
      <c r="D606" s="707"/>
      <c r="E606" s="707"/>
      <c r="F606" s="707"/>
      <c r="G606" s="707"/>
      <c r="H606" s="707"/>
      <c r="I606" s="707"/>
      <c r="J606" s="707"/>
      <c r="K606" s="707"/>
      <c r="L606" s="707"/>
      <c r="M606" s="707"/>
      <c r="N606" s="707"/>
      <c r="O606" s="707"/>
      <c r="P606" s="707"/>
      <c r="Q606" s="707"/>
      <c r="R606" s="707"/>
      <c r="S606" s="707"/>
      <c r="T606" s="707"/>
      <c r="U606" s="707"/>
      <c r="V606" s="707"/>
      <c r="W606" s="707"/>
      <c r="X606" s="707"/>
      <c r="Y606" s="707"/>
      <c r="Z606" s="707"/>
      <c r="AA606" s="707"/>
      <c r="AB606" s="707"/>
      <c r="AC606" s="707"/>
      <c r="AD606" s="707"/>
      <c r="AE606" s="707"/>
      <c r="AF606" s="707"/>
      <c r="AG606" s="707"/>
      <c r="AH606" s="707"/>
      <c r="AI606" s="707"/>
      <c r="AJ606" s="707"/>
      <c r="AK606" s="707"/>
      <c r="AL606" s="707"/>
      <c r="AM606" s="707"/>
      <c r="AN606" s="707"/>
      <c r="AO606" s="707"/>
      <c r="AP606" s="130"/>
      <c r="AQ606" s="130"/>
      <c r="AR606" s="130"/>
      <c r="AS606" s="130"/>
      <c r="AT606" s="130"/>
      <c r="AU606" s="130"/>
      <c r="AV606" s="130"/>
      <c r="AW606" s="130"/>
      <c r="AX606" s="128"/>
      <c r="AY606" s="130"/>
      <c r="AZ606" s="130"/>
      <c r="BA606" s="130"/>
      <c r="BB606" s="130"/>
      <c r="BC606" s="130"/>
      <c r="BD606" s="130"/>
      <c r="BE606" s="130"/>
      <c r="BF606" s="128"/>
      <c r="BG606" s="128"/>
      <c r="BH606" s="128"/>
      <c r="BI606" s="128"/>
      <c r="BJ606" s="128"/>
    </row>
    <row r="607" spans="1:62" ht="4.5" customHeight="1">
      <c r="A607" s="144"/>
      <c r="B607" s="144"/>
      <c r="C607" s="144"/>
      <c r="D607" s="144"/>
      <c r="E607" s="140"/>
      <c r="F607" s="140"/>
      <c r="G607" s="174"/>
      <c r="H607" s="174"/>
      <c r="I607" s="174"/>
      <c r="J607" s="140"/>
      <c r="K607" s="140"/>
      <c r="L607" s="140"/>
      <c r="M607" s="140"/>
      <c r="N607" s="140"/>
      <c r="O607" s="140"/>
      <c r="P607" s="140"/>
      <c r="Q607" s="140"/>
      <c r="R607" s="140"/>
      <c r="S607" s="174"/>
      <c r="T607" s="174"/>
      <c r="U607" s="174"/>
      <c r="V607" s="174"/>
      <c r="W607" s="174"/>
      <c r="X607" s="174"/>
      <c r="Y607" s="140"/>
      <c r="Z607" s="130"/>
      <c r="AA607" s="130"/>
      <c r="AB607" s="130"/>
      <c r="AC607" s="130"/>
      <c r="AD607" s="130"/>
      <c r="AE607" s="130"/>
      <c r="AF607" s="130"/>
      <c r="AG607" s="130"/>
      <c r="AH607" s="137"/>
      <c r="AI607" s="137"/>
      <c r="AJ607" s="137"/>
      <c r="AK607" s="137"/>
      <c r="AL607" s="137"/>
      <c r="AM607" s="128"/>
      <c r="AN607" s="128"/>
      <c r="AO607" s="130"/>
      <c r="AP607" s="130"/>
      <c r="AQ607" s="130"/>
      <c r="AR607" s="130"/>
      <c r="AS607" s="130"/>
      <c r="AT607" s="130"/>
      <c r="AU607" s="130"/>
      <c r="AV607" s="130"/>
      <c r="AW607" s="130"/>
      <c r="AX607" s="128"/>
      <c r="AY607" s="130"/>
      <c r="AZ607" s="130"/>
      <c r="BA607" s="130"/>
      <c r="BB607" s="130"/>
      <c r="BC607" s="130"/>
      <c r="BD607" s="130"/>
      <c r="BE607" s="130"/>
      <c r="BF607" s="128"/>
      <c r="BG607" s="128"/>
      <c r="BH607" s="128"/>
      <c r="BI607" s="128"/>
      <c r="BJ607" s="128"/>
    </row>
    <row r="608" spans="1:62" ht="15" customHeight="1">
      <c r="A608" s="153" t="s">
        <v>743</v>
      </c>
      <c r="B608" s="144"/>
      <c r="C608" s="144"/>
      <c r="D608" s="144"/>
      <c r="E608" s="140"/>
      <c r="F608" s="140"/>
      <c r="G608" s="174"/>
      <c r="H608" s="174"/>
      <c r="I608" s="174"/>
      <c r="J608" s="140"/>
      <c r="K608" s="140"/>
      <c r="L608" s="140"/>
      <c r="M608" s="140"/>
      <c r="N608" s="140"/>
      <c r="O608" s="140"/>
      <c r="P608" s="140"/>
      <c r="Q608" s="140"/>
      <c r="R608" s="140"/>
      <c r="S608" s="174"/>
      <c r="T608" s="174"/>
      <c r="U608" s="174"/>
      <c r="V608" s="174"/>
      <c r="W608" s="174"/>
      <c r="X608" s="174"/>
      <c r="Y608" s="140"/>
      <c r="Z608" s="130"/>
      <c r="AA608" s="130"/>
      <c r="AB608" s="130"/>
      <c r="AC608" s="130"/>
      <c r="AD608" s="130"/>
      <c r="AE608" s="130"/>
      <c r="AF608" s="130"/>
      <c r="AG608" s="130"/>
      <c r="AH608" s="137"/>
      <c r="AI608" s="137"/>
      <c r="AJ608" s="137"/>
      <c r="AK608" s="137"/>
      <c r="AL608" s="137"/>
      <c r="AM608" s="128"/>
      <c r="AN608" s="128"/>
      <c r="AO608" s="130"/>
      <c r="AP608" s="130"/>
      <c r="AQ608" s="130"/>
      <c r="AR608" s="130"/>
      <c r="AS608" s="130"/>
      <c r="AT608" s="130"/>
      <c r="AU608" s="130"/>
      <c r="AV608" s="130"/>
      <c r="AW608" s="130"/>
      <c r="AX608" s="128"/>
      <c r="AY608" s="130"/>
      <c r="AZ608" s="130"/>
      <c r="BA608" s="130"/>
      <c r="BB608" s="130"/>
      <c r="BC608" s="130"/>
      <c r="BD608" s="130"/>
      <c r="BE608" s="130"/>
      <c r="BF608" s="128"/>
      <c r="BG608" s="128"/>
      <c r="BH608" s="128"/>
      <c r="BI608" s="128"/>
      <c r="BJ608" s="128"/>
    </row>
    <row r="609" spans="1:62" ht="15" customHeight="1">
      <c r="A609" s="144" t="s">
        <v>744</v>
      </c>
      <c r="B609" s="144"/>
      <c r="C609" s="144"/>
      <c r="D609" s="144"/>
      <c r="E609" s="140"/>
      <c r="F609" s="140"/>
      <c r="G609" s="174"/>
      <c r="H609" s="174"/>
      <c r="I609" s="174"/>
      <c r="J609" s="140"/>
      <c r="K609" s="140"/>
      <c r="L609" s="140"/>
      <c r="M609" s="140"/>
      <c r="N609" s="140"/>
      <c r="O609" s="140"/>
      <c r="P609" s="140"/>
      <c r="Q609" s="140"/>
      <c r="R609" s="140"/>
      <c r="S609" s="174"/>
      <c r="T609" s="174"/>
      <c r="U609" s="174"/>
      <c r="V609" s="174"/>
      <c r="W609" s="174"/>
      <c r="X609" s="174"/>
      <c r="Y609" s="140"/>
      <c r="Z609" s="130"/>
      <c r="AA609" s="130"/>
      <c r="AB609" s="130"/>
      <c r="AC609" s="130"/>
      <c r="AD609" s="130"/>
      <c r="AE609" s="130"/>
      <c r="AF609" s="130"/>
      <c r="AG609" s="130"/>
      <c r="AH609" s="137"/>
      <c r="AI609" s="137"/>
      <c r="AJ609" s="137"/>
      <c r="AK609" s="137"/>
      <c r="AL609" s="137"/>
      <c r="AM609" s="128"/>
      <c r="AN609" s="128"/>
      <c r="AO609" s="130"/>
      <c r="AP609" s="130"/>
      <c r="AQ609" s="130"/>
      <c r="AR609" s="130"/>
      <c r="AS609" s="130"/>
      <c r="AT609" s="130"/>
      <c r="AU609" s="130"/>
      <c r="AV609" s="130"/>
      <c r="AW609" s="130"/>
      <c r="AX609" s="128"/>
      <c r="AY609" s="130"/>
      <c r="AZ609" s="130"/>
      <c r="BA609" s="130"/>
      <c r="BB609" s="130"/>
      <c r="BC609" s="130"/>
      <c r="BD609" s="130"/>
      <c r="BE609" s="130"/>
      <c r="BF609" s="128"/>
      <c r="BG609" s="128"/>
      <c r="BH609" s="128"/>
      <c r="BI609" s="128"/>
      <c r="BJ609" s="128"/>
    </row>
    <row r="610" spans="1:62" ht="4.5" customHeight="1">
      <c r="A610" s="144"/>
      <c r="B610" s="144"/>
      <c r="C610" s="144"/>
      <c r="D610" s="144"/>
      <c r="E610" s="140"/>
      <c r="F610" s="140"/>
      <c r="G610" s="174"/>
      <c r="H610" s="174"/>
      <c r="I610" s="174"/>
      <c r="J610" s="140"/>
      <c r="K610" s="140"/>
      <c r="L610" s="140"/>
      <c r="M610" s="140"/>
      <c r="N610" s="140"/>
      <c r="O610" s="140"/>
      <c r="P610" s="140"/>
      <c r="Q610" s="140"/>
      <c r="R610" s="140"/>
      <c r="S610" s="174"/>
      <c r="T610" s="174"/>
      <c r="U610" s="174"/>
      <c r="V610" s="174"/>
      <c r="W610" s="174"/>
      <c r="X610" s="174"/>
      <c r="Y610" s="140"/>
      <c r="Z610" s="130"/>
      <c r="AA610" s="130"/>
      <c r="AB610" s="130"/>
      <c r="AC610" s="130"/>
      <c r="AD610" s="130"/>
      <c r="AE610" s="130"/>
      <c r="AF610" s="130"/>
      <c r="AG610" s="130"/>
      <c r="AH610" s="137"/>
      <c r="AI610" s="137"/>
      <c r="AJ610" s="137"/>
      <c r="AK610" s="137"/>
      <c r="AL610" s="137"/>
      <c r="AM610" s="128"/>
      <c r="AN610" s="128"/>
      <c r="AO610" s="130"/>
      <c r="AP610" s="130"/>
      <c r="AQ610" s="130"/>
      <c r="AR610" s="130"/>
      <c r="AS610" s="130"/>
      <c r="AT610" s="130"/>
      <c r="AU610" s="130"/>
      <c r="AV610" s="130"/>
      <c r="AW610" s="130"/>
      <c r="AX610" s="128"/>
      <c r="AY610" s="130"/>
      <c r="AZ610" s="130"/>
      <c r="BA610" s="130"/>
      <c r="BB610" s="130"/>
      <c r="BC610" s="130"/>
      <c r="BD610" s="130"/>
      <c r="BE610" s="130"/>
      <c r="BF610" s="128"/>
      <c r="BG610" s="128"/>
      <c r="BH610" s="128"/>
      <c r="BI610" s="128"/>
      <c r="BJ610" s="128"/>
    </row>
    <row r="611" spans="1:62" ht="15" customHeight="1">
      <c r="A611" s="721" t="s">
        <v>745</v>
      </c>
      <c r="B611" s="707"/>
      <c r="C611" s="721" t="s">
        <v>262</v>
      </c>
      <c r="D611" s="721" t="s">
        <v>338</v>
      </c>
      <c r="E611" s="707"/>
      <c r="F611" s="721" t="s">
        <v>262</v>
      </c>
      <c r="G611" s="721" t="s">
        <v>746</v>
      </c>
      <c r="H611" s="707"/>
      <c r="I611" s="721" t="s">
        <v>262</v>
      </c>
      <c r="J611" s="760" t="s">
        <v>747</v>
      </c>
      <c r="K611" s="724"/>
      <c r="L611" s="724"/>
      <c r="M611" s="724"/>
      <c r="N611" s="724"/>
      <c r="O611" s="735" t="s">
        <v>316</v>
      </c>
      <c r="P611" s="730" t="s">
        <v>368</v>
      </c>
      <c r="Q611" s="707"/>
      <c r="R611" s="735" t="s">
        <v>316</v>
      </c>
      <c r="S611" s="721" t="s">
        <v>748</v>
      </c>
      <c r="T611" s="707"/>
      <c r="U611" s="174"/>
      <c r="V611" s="174"/>
      <c r="W611" s="721" t="s">
        <v>745</v>
      </c>
      <c r="X611" s="707"/>
      <c r="Y611" s="721" t="s">
        <v>262</v>
      </c>
      <c r="Z611" s="760">
        <v>9.81</v>
      </c>
      <c r="AA611" s="724"/>
      <c r="AB611" s="724"/>
      <c r="AC611" s="128" t="s">
        <v>357</v>
      </c>
      <c r="AD611" s="751">
        <f>VLOOKUP('Veri Girişi'!E73,TABLOLAR!I60:S65,2,0)</f>
        <v>12.38</v>
      </c>
      <c r="AE611" s="724"/>
      <c r="AF611" s="724"/>
      <c r="AG611" s="205" t="s">
        <v>357</v>
      </c>
      <c r="AH611" s="762">
        <f>SUM('Veri Girişi'!G12:G34)+('Veri Girişi'!F107-200)+'Veri Girişi'!F114-300</f>
        <v>26600</v>
      </c>
      <c r="AI611" s="724"/>
      <c r="AJ611" s="724"/>
      <c r="AK611" s="730" t="s">
        <v>316</v>
      </c>
      <c r="AL611" s="721">
        <f>AH292</f>
        <v>150</v>
      </c>
      <c r="AM611" s="707"/>
      <c r="AN611" s="735" t="s">
        <v>316</v>
      </c>
      <c r="AO611" s="734">
        <f>AU351</f>
        <v>17945.511480000001</v>
      </c>
      <c r="AP611" s="707"/>
      <c r="AQ611" s="707"/>
      <c r="AR611" s="707"/>
      <c r="AS611" s="130"/>
      <c r="AT611" s="130"/>
      <c r="AU611" s="721" t="s">
        <v>745</v>
      </c>
      <c r="AV611" s="707"/>
      <c r="AW611" s="721" t="s">
        <v>262</v>
      </c>
      <c r="AX611" s="734">
        <f>(Z611*AD611*AH611/Z612)+AL611+AO611</f>
        <v>21326.022960000002</v>
      </c>
      <c r="AY611" s="707"/>
      <c r="AZ611" s="707"/>
      <c r="BA611" s="707"/>
      <c r="BB611" s="722" t="s">
        <v>374</v>
      </c>
      <c r="BC611" s="707"/>
      <c r="BD611" s="144"/>
      <c r="BE611" s="130"/>
      <c r="BF611" s="128"/>
      <c r="BG611" s="128"/>
      <c r="BH611" s="128"/>
      <c r="BI611" s="128"/>
      <c r="BJ611" s="128"/>
    </row>
    <row r="612" spans="1:62" ht="15" customHeight="1">
      <c r="A612" s="707"/>
      <c r="B612" s="707"/>
      <c r="C612" s="707"/>
      <c r="D612" s="707"/>
      <c r="E612" s="707"/>
      <c r="F612" s="707"/>
      <c r="G612" s="707"/>
      <c r="H612" s="707"/>
      <c r="I612" s="707"/>
      <c r="J612" s="742">
        <v>1000</v>
      </c>
      <c r="K612" s="637"/>
      <c r="L612" s="637"/>
      <c r="M612" s="637"/>
      <c r="N612" s="637"/>
      <c r="O612" s="707"/>
      <c r="P612" s="707"/>
      <c r="Q612" s="707"/>
      <c r="R612" s="707"/>
      <c r="S612" s="707"/>
      <c r="T612" s="707"/>
      <c r="U612" s="174"/>
      <c r="V612" s="174"/>
      <c r="W612" s="707"/>
      <c r="X612" s="707"/>
      <c r="Y612" s="707"/>
      <c r="Z612" s="742">
        <v>1000</v>
      </c>
      <c r="AA612" s="637"/>
      <c r="AB612" s="637"/>
      <c r="AC612" s="637"/>
      <c r="AD612" s="637"/>
      <c r="AE612" s="637"/>
      <c r="AF612" s="637"/>
      <c r="AG612" s="637"/>
      <c r="AH612" s="637"/>
      <c r="AI612" s="637"/>
      <c r="AJ612" s="637"/>
      <c r="AK612" s="707"/>
      <c r="AL612" s="707"/>
      <c r="AM612" s="707"/>
      <c r="AN612" s="707"/>
      <c r="AO612" s="707"/>
      <c r="AP612" s="707"/>
      <c r="AQ612" s="707"/>
      <c r="AR612" s="707"/>
      <c r="AS612" s="130"/>
      <c r="AT612" s="130"/>
      <c r="AU612" s="707"/>
      <c r="AV612" s="707"/>
      <c r="AW612" s="707"/>
      <c r="AX612" s="707"/>
      <c r="AY612" s="707"/>
      <c r="AZ612" s="707"/>
      <c r="BA612" s="707"/>
      <c r="BB612" s="707"/>
      <c r="BC612" s="707"/>
      <c r="BD612" s="144"/>
      <c r="BE612" s="130"/>
      <c r="BF612" s="128"/>
      <c r="BG612" s="128"/>
      <c r="BH612" s="128"/>
      <c r="BI612" s="128"/>
      <c r="BJ612" s="128"/>
    </row>
    <row r="613" spans="1:62" ht="4.5" customHeight="1">
      <c r="A613" s="144"/>
      <c r="B613" s="144"/>
      <c r="C613" s="144"/>
      <c r="D613" s="144"/>
      <c r="E613" s="140"/>
      <c r="F613" s="140"/>
      <c r="G613" s="174"/>
      <c r="H613" s="174"/>
      <c r="I613" s="174"/>
      <c r="J613" s="140"/>
      <c r="K613" s="140"/>
      <c r="L613" s="140"/>
      <c r="M613" s="140"/>
      <c r="N613" s="140"/>
      <c r="O613" s="140"/>
      <c r="P613" s="140"/>
      <c r="Q613" s="140"/>
      <c r="R613" s="140"/>
      <c r="S613" s="174"/>
      <c r="T613" s="174"/>
      <c r="U613" s="174"/>
      <c r="V613" s="174"/>
      <c r="W613" s="174"/>
      <c r="X613" s="174"/>
      <c r="Y613" s="140"/>
      <c r="Z613" s="130"/>
      <c r="AA613" s="130"/>
      <c r="AB613" s="130"/>
      <c r="AC613" s="130"/>
      <c r="AD613" s="130"/>
      <c r="AE613" s="130"/>
      <c r="AF613" s="130"/>
      <c r="AG613" s="130"/>
      <c r="AH613" s="137"/>
      <c r="AI613" s="137"/>
      <c r="AJ613" s="137"/>
      <c r="AK613" s="137"/>
      <c r="AL613" s="137"/>
      <c r="AM613" s="128"/>
      <c r="AN613" s="128"/>
      <c r="AO613" s="130"/>
      <c r="AP613" s="130"/>
      <c r="AQ613" s="130"/>
      <c r="AR613" s="130"/>
      <c r="AS613" s="130"/>
      <c r="AT613" s="130"/>
      <c r="AU613" s="130"/>
      <c r="AV613" s="130"/>
      <c r="AW613" s="130"/>
      <c r="AX613" s="128"/>
      <c r="AY613" s="130"/>
      <c r="AZ613" s="130"/>
      <c r="BA613" s="130"/>
      <c r="BB613" s="130"/>
      <c r="BC613" s="130"/>
      <c r="BD613" s="130"/>
      <c r="BE613" s="130"/>
      <c r="BF613" s="128"/>
      <c r="BG613" s="128"/>
      <c r="BH613" s="128"/>
      <c r="BI613" s="128"/>
      <c r="BJ613" s="128"/>
    </row>
    <row r="614" spans="1:62" ht="15" customHeight="1">
      <c r="A614" s="144" t="s">
        <v>749</v>
      </c>
      <c r="B614" s="144"/>
      <c r="C614" s="144"/>
      <c r="D614" s="144"/>
      <c r="E614" s="140"/>
      <c r="F614" s="140"/>
      <c r="G614" s="174"/>
      <c r="H614" s="174"/>
      <c r="I614" s="174"/>
      <c r="J614" s="140"/>
      <c r="K614" s="140"/>
      <c r="L614" s="140"/>
      <c r="M614" s="140"/>
      <c r="N614" s="140"/>
      <c r="O614" s="140"/>
      <c r="P614" s="140"/>
      <c r="Q614" s="140"/>
      <c r="R614" s="140"/>
      <c r="S614" s="174"/>
      <c r="T614" s="174"/>
      <c r="U614" s="174"/>
      <c r="V614" s="174"/>
      <c r="W614" s="174"/>
      <c r="X614" s="174"/>
      <c r="Y614" s="140"/>
      <c r="Z614" s="130"/>
      <c r="AA614" s="130"/>
      <c r="AB614" s="130"/>
      <c r="AC614" s="128"/>
      <c r="AD614" s="128"/>
      <c r="AE614" s="128"/>
      <c r="AF614" s="128"/>
      <c r="AG614" s="128"/>
      <c r="AH614" s="128"/>
      <c r="AI614" s="128"/>
      <c r="AJ614" s="137"/>
      <c r="AK614" s="137"/>
      <c r="AL614" s="137"/>
      <c r="AM614" s="128"/>
      <c r="AN614" s="128"/>
      <c r="AO614" s="130"/>
      <c r="AP614" s="130"/>
      <c r="AQ614" s="130"/>
      <c r="AR614" s="130"/>
      <c r="AS614" s="130"/>
      <c r="AT614" s="130"/>
      <c r="AU614" s="130"/>
      <c r="AV614" s="130"/>
      <c r="AW614" s="130"/>
      <c r="AX614" s="128"/>
      <c r="AY614" s="130"/>
      <c r="AZ614" s="130"/>
      <c r="BA614" s="130"/>
      <c r="BB614" s="130"/>
      <c r="BC614" s="130"/>
      <c r="BD614" s="130"/>
      <c r="BE614" s="130"/>
      <c r="BF614" s="128"/>
      <c r="BG614" s="128"/>
      <c r="BH614" s="128"/>
      <c r="BI614" s="128"/>
      <c r="BJ614" s="128"/>
    </row>
    <row r="615" spans="1:62" ht="4.5" customHeight="1">
      <c r="A615" s="144"/>
      <c r="B615" s="144"/>
      <c r="C615" s="144"/>
      <c r="D615" s="144"/>
      <c r="E615" s="140"/>
      <c r="F615" s="140"/>
      <c r="G615" s="174"/>
      <c r="H615" s="174"/>
      <c r="I615" s="174"/>
      <c r="J615" s="140"/>
      <c r="K615" s="140"/>
      <c r="L615" s="140"/>
      <c r="M615" s="140"/>
      <c r="N615" s="140"/>
      <c r="O615" s="140"/>
      <c r="P615" s="140"/>
      <c r="Q615" s="140"/>
      <c r="R615" s="140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37"/>
      <c r="AL615" s="137"/>
      <c r="AM615" s="128"/>
      <c r="AN615" s="128"/>
      <c r="AO615" s="130"/>
      <c r="AP615" s="130"/>
      <c r="AQ615" s="130"/>
      <c r="AR615" s="130"/>
      <c r="AS615" s="130"/>
      <c r="AT615" s="130"/>
      <c r="AU615" s="130"/>
      <c r="AV615" s="130"/>
      <c r="AW615" s="130"/>
      <c r="AX615" s="128"/>
      <c r="AY615" s="130"/>
      <c r="AZ615" s="130"/>
      <c r="BA615" s="130"/>
      <c r="BB615" s="130"/>
      <c r="BC615" s="130"/>
      <c r="BD615" s="130"/>
      <c r="BE615" s="130"/>
      <c r="BF615" s="128"/>
      <c r="BG615" s="128"/>
      <c r="BH615" s="128"/>
      <c r="BI615" s="128"/>
      <c r="BJ615" s="128"/>
    </row>
    <row r="616" spans="1:62" ht="15" customHeight="1">
      <c r="A616" s="721" t="s">
        <v>750</v>
      </c>
      <c r="B616" s="707"/>
      <c r="C616" s="721" t="s">
        <v>262</v>
      </c>
      <c r="D616" s="721" t="s">
        <v>751</v>
      </c>
      <c r="E616" s="707"/>
      <c r="F616" s="721" t="s">
        <v>262</v>
      </c>
      <c r="G616" s="760" t="s">
        <v>752</v>
      </c>
      <c r="H616" s="724"/>
      <c r="I616" s="724"/>
      <c r="J616" s="724"/>
      <c r="K616" s="724"/>
      <c r="L616" s="724"/>
      <c r="M616" s="735" t="s">
        <v>316</v>
      </c>
      <c r="N616" s="730" t="s">
        <v>753</v>
      </c>
      <c r="O616" s="707"/>
      <c r="P616" s="140"/>
      <c r="Q616" s="140"/>
      <c r="R616" s="721" t="s">
        <v>750</v>
      </c>
      <c r="S616" s="707"/>
      <c r="T616" s="721" t="s">
        <v>262</v>
      </c>
      <c r="U616" s="760">
        <v>9.81</v>
      </c>
      <c r="V616" s="724"/>
      <c r="W616" s="724"/>
      <c r="X616" s="128" t="s">
        <v>357</v>
      </c>
      <c r="Y616" s="751">
        <f>VLOOKUP('Veri Girişi'!F73,TABLOLAR!I60:S65,2,0)</f>
        <v>3.7</v>
      </c>
      <c r="Z616" s="724"/>
      <c r="AA616" s="724"/>
      <c r="AB616" s="205" t="s">
        <v>357</v>
      </c>
      <c r="AC616" s="762">
        <f>SUM('Veri Girişi'!G12:G34)+('Veri Girişi'!F107-200)+'Veri Girişi'!F114-300</f>
        <v>26600</v>
      </c>
      <c r="AD616" s="724"/>
      <c r="AE616" s="724"/>
      <c r="AF616" s="730" t="s">
        <v>316</v>
      </c>
      <c r="AG616" s="721">
        <f>AH555</f>
        <v>50</v>
      </c>
      <c r="AH616" s="707"/>
      <c r="AI616" s="128"/>
      <c r="AJ616" s="128"/>
      <c r="AK616" s="721" t="s">
        <v>750</v>
      </c>
      <c r="AL616" s="707"/>
      <c r="AM616" s="721" t="s">
        <v>262</v>
      </c>
      <c r="AN616" s="721">
        <f>(U616*Y616*AC616/U617)+AG616</f>
        <v>1015.5002000000001</v>
      </c>
      <c r="AO616" s="707"/>
      <c r="AP616" s="707"/>
      <c r="AQ616" s="722" t="s">
        <v>374</v>
      </c>
      <c r="AR616" s="707"/>
      <c r="AS616" s="128"/>
      <c r="AT616" s="130"/>
      <c r="AU616" s="130"/>
      <c r="AV616" s="130"/>
      <c r="AW616" s="130"/>
      <c r="AX616" s="128"/>
      <c r="AY616" s="130"/>
      <c r="AZ616" s="130"/>
      <c r="BA616" s="130"/>
      <c r="BB616" s="130"/>
      <c r="BC616" s="130"/>
      <c r="BD616" s="130"/>
      <c r="BE616" s="130"/>
      <c r="BF616" s="128"/>
      <c r="BG616" s="128"/>
      <c r="BH616" s="128"/>
      <c r="BI616" s="128"/>
      <c r="BJ616" s="128"/>
    </row>
    <row r="617" spans="1:62" ht="15" customHeight="1">
      <c r="A617" s="707"/>
      <c r="B617" s="707"/>
      <c r="C617" s="707"/>
      <c r="D617" s="707"/>
      <c r="E617" s="707"/>
      <c r="F617" s="707"/>
      <c r="G617" s="742">
        <v>1000</v>
      </c>
      <c r="H617" s="637"/>
      <c r="I617" s="637"/>
      <c r="J617" s="637"/>
      <c r="K617" s="637"/>
      <c r="L617" s="637"/>
      <c r="M617" s="707"/>
      <c r="N617" s="707"/>
      <c r="O617" s="707"/>
      <c r="P617" s="140"/>
      <c r="Q617" s="140"/>
      <c r="R617" s="707"/>
      <c r="S617" s="707"/>
      <c r="T617" s="707"/>
      <c r="U617" s="742">
        <v>1000</v>
      </c>
      <c r="V617" s="637"/>
      <c r="W617" s="637"/>
      <c r="X617" s="637"/>
      <c r="Y617" s="637"/>
      <c r="Z617" s="637"/>
      <c r="AA617" s="637"/>
      <c r="AB617" s="637"/>
      <c r="AC617" s="637"/>
      <c r="AD617" s="637"/>
      <c r="AE617" s="637"/>
      <c r="AF617" s="707"/>
      <c r="AG617" s="707"/>
      <c r="AH617" s="707"/>
      <c r="AI617" s="137"/>
      <c r="AJ617" s="137"/>
      <c r="AK617" s="707"/>
      <c r="AL617" s="707"/>
      <c r="AM617" s="707"/>
      <c r="AN617" s="707"/>
      <c r="AO617" s="707"/>
      <c r="AP617" s="707"/>
      <c r="AQ617" s="707"/>
      <c r="AR617" s="707"/>
      <c r="AS617" s="128"/>
      <c r="AT617" s="130"/>
      <c r="AU617" s="130"/>
      <c r="AV617" s="130"/>
      <c r="AW617" s="130"/>
      <c r="AX617" s="128"/>
      <c r="AY617" s="130"/>
      <c r="AZ617" s="130"/>
      <c r="BA617" s="130"/>
      <c r="BB617" s="130"/>
      <c r="BC617" s="130"/>
      <c r="BD617" s="130"/>
      <c r="BE617" s="130"/>
      <c r="BF617" s="128"/>
      <c r="BG617" s="128"/>
      <c r="BH617" s="128"/>
      <c r="BI617" s="128"/>
      <c r="BJ617" s="128"/>
    </row>
    <row r="618" spans="1:62" ht="4.5" customHeight="1">
      <c r="A618" s="144"/>
      <c r="B618" s="144"/>
      <c r="C618" s="144"/>
      <c r="D618" s="144"/>
      <c r="E618" s="140"/>
      <c r="F618" s="140"/>
      <c r="G618" s="174"/>
      <c r="H618" s="174"/>
      <c r="I618" s="174"/>
      <c r="J618" s="140"/>
      <c r="K618" s="140"/>
      <c r="L618" s="140"/>
      <c r="M618" s="140"/>
      <c r="N618" s="140"/>
      <c r="O618" s="140"/>
      <c r="P618" s="140"/>
      <c r="Q618" s="140"/>
      <c r="R618" s="140"/>
      <c r="S618" s="174"/>
      <c r="T618" s="174"/>
      <c r="U618" s="174"/>
      <c r="V618" s="174"/>
      <c r="W618" s="174"/>
      <c r="X618" s="174"/>
      <c r="Y618" s="140"/>
      <c r="Z618" s="130"/>
      <c r="AA618" s="130"/>
      <c r="AB618" s="130"/>
      <c r="AC618" s="130"/>
      <c r="AD618" s="130"/>
      <c r="AE618" s="130"/>
      <c r="AF618" s="130"/>
      <c r="AG618" s="130"/>
      <c r="AH618" s="137"/>
      <c r="AI618" s="137"/>
      <c r="AJ618" s="137"/>
      <c r="AK618" s="137"/>
      <c r="AL618" s="137"/>
      <c r="AM618" s="128"/>
      <c r="AN618" s="128"/>
      <c r="AO618" s="130"/>
      <c r="AP618" s="130"/>
      <c r="AQ618" s="130"/>
      <c r="AR618" s="130"/>
      <c r="AS618" s="130"/>
      <c r="AT618" s="130"/>
      <c r="AU618" s="130"/>
      <c r="AV618" s="130"/>
      <c r="AW618" s="130"/>
      <c r="AX618" s="128"/>
      <c r="AY618" s="130"/>
      <c r="AZ618" s="130"/>
      <c r="BA618" s="130"/>
      <c r="BB618" s="130"/>
      <c r="BC618" s="130"/>
      <c r="BD618" s="130"/>
      <c r="BE618" s="130"/>
      <c r="BF618" s="128"/>
      <c r="BG618" s="128"/>
      <c r="BH618" s="128"/>
      <c r="BI618" s="128"/>
      <c r="BJ618" s="128"/>
    </row>
    <row r="619" spans="1:62" ht="15" customHeight="1">
      <c r="A619" s="128" t="s">
        <v>754</v>
      </c>
      <c r="B619" s="144"/>
      <c r="C619" s="144"/>
      <c r="D619" s="144"/>
      <c r="E619" s="140"/>
      <c r="F619" s="140"/>
      <c r="G619" s="174"/>
      <c r="H619" s="174"/>
      <c r="I619" s="174"/>
      <c r="J619" s="140"/>
      <c r="K619" s="140"/>
      <c r="L619" s="140"/>
      <c r="M619" s="140"/>
      <c r="N619" s="140"/>
      <c r="O619" s="140"/>
      <c r="P619" s="140"/>
      <c r="Q619" s="140"/>
      <c r="R619" s="140"/>
      <c r="S619" s="174"/>
      <c r="T619" s="174"/>
      <c r="U619" s="174"/>
      <c r="V619" s="174"/>
      <c r="W619" s="174"/>
      <c r="X619" s="174"/>
      <c r="Y619" s="140"/>
      <c r="Z619" s="130"/>
      <c r="AA619" s="130"/>
      <c r="AB619" s="130"/>
      <c r="AC619" s="130"/>
      <c r="AD619" s="130"/>
      <c r="AE619" s="130"/>
      <c r="AF619" s="130"/>
      <c r="AG619" s="130"/>
      <c r="AH619" s="137"/>
      <c r="AI619" s="137"/>
      <c r="AJ619" s="137"/>
      <c r="AK619" s="137"/>
      <c r="AL619" s="137"/>
      <c r="AM619" s="128"/>
      <c r="AN619" s="128"/>
      <c r="AO619" s="130"/>
      <c r="AP619" s="130"/>
      <c r="AQ619" s="130"/>
      <c r="AR619" s="130"/>
      <c r="AS619" s="130"/>
      <c r="AT619" s="130"/>
      <c r="AU619" s="130"/>
      <c r="AV619" s="130"/>
      <c r="AW619" s="130"/>
      <c r="AX619" s="128"/>
      <c r="AY619" s="130"/>
      <c r="AZ619" s="130"/>
      <c r="BA619" s="130"/>
      <c r="BB619" s="130"/>
      <c r="BC619" s="130"/>
      <c r="BD619" s="130"/>
      <c r="BE619" s="130"/>
      <c r="BF619" s="128"/>
      <c r="BG619" s="128"/>
      <c r="BH619" s="128"/>
      <c r="BI619" s="128"/>
      <c r="BJ619" s="128"/>
    </row>
    <row r="620" spans="1:62" ht="4.5" customHeight="1">
      <c r="A620" s="144"/>
      <c r="B620" s="144"/>
      <c r="C620" s="144"/>
      <c r="D620" s="144"/>
      <c r="E620" s="140"/>
      <c r="F620" s="140"/>
      <c r="G620" s="174"/>
      <c r="H620" s="174"/>
      <c r="I620" s="174"/>
      <c r="J620" s="140"/>
      <c r="K620" s="140"/>
      <c r="L620" s="140"/>
      <c r="M620" s="140"/>
      <c r="N620" s="140"/>
      <c r="O620" s="140"/>
      <c r="P620" s="140"/>
      <c r="Q620" s="140"/>
      <c r="R620" s="140"/>
      <c r="S620" s="174"/>
      <c r="T620" s="174"/>
      <c r="U620" s="174"/>
      <c r="V620" s="174"/>
      <c r="W620" s="174"/>
      <c r="X620" s="174"/>
      <c r="Y620" s="140"/>
      <c r="Z620" s="130"/>
      <c r="AA620" s="130"/>
      <c r="AB620" s="130"/>
      <c r="AC620" s="130"/>
      <c r="AD620" s="130"/>
      <c r="AE620" s="130"/>
      <c r="AF620" s="130"/>
      <c r="AG620" s="130"/>
      <c r="AH620" s="137"/>
      <c r="AI620" s="137"/>
      <c r="AJ620" s="137"/>
      <c r="AK620" s="137"/>
      <c r="AL620" s="137"/>
      <c r="AM620" s="128"/>
      <c r="AN620" s="128"/>
      <c r="AO620" s="130"/>
      <c r="AP620" s="130"/>
      <c r="AQ620" s="130"/>
      <c r="AR620" s="130"/>
      <c r="AS620" s="130"/>
      <c r="AT620" s="130"/>
      <c r="AU620" s="130"/>
      <c r="AV620" s="130"/>
      <c r="AW620" s="130"/>
      <c r="AX620" s="128"/>
      <c r="AY620" s="130"/>
      <c r="AZ620" s="130"/>
      <c r="BA620" s="130"/>
      <c r="BB620" s="130"/>
      <c r="BC620" s="130"/>
      <c r="BD620" s="130"/>
      <c r="BE620" s="130"/>
      <c r="BF620" s="128"/>
      <c r="BG620" s="128"/>
      <c r="BH620" s="128"/>
      <c r="BI620" s="128"/>
      <c r="BJ620" s="128"/>
    </row>
    <row r="621" spans="1:62" ht="15" customHeight="1">
      <c r="A621" s="146" t="s">
        <v>755</v>
      </c>
      <c r="B621" s="146"/>
      <c r="C621" s="151" t="s">
        <v>262</v>
      </c>
      <c r="D621" s="721" t="s">
        <v>756</v>
      </c>
      <c r="E621" s="707"/>
      <c r="F621" s="146" t="s">
        <v>757</v>
      </c>
      <c r="G621" s="128"/>
      <c r="H621" s="128"/>
      <c r="I621" s="128"/>
      <c r="J621" s="128"/>
      <c r="K621" s="128"/>
      <c r="L621" s="128"/>
      <c r="M621" s="128"/>
      <c r="N621" s="128"/>
      <c r="O621" s="146" t="s">
        <v>755</v>
      </c>
      <c r="P621" s="146"/>
      <c r="Q621" s="151" t="s">
        <v>262</v>
      </c>
      <c r="R621" s="146">
        <v>4</v>
      </c>
      <c r="S621" s="146" t="s">
        <v>357</v>
      </c>
      <c r="T621" s="721">
        <v>9.81</v>
      </c>
      <c r="U621" s="707"/>
      <c r="V621" s="707"/>
      <c r="W621" s="174" t="s">
        <v>357</v>
      </c>
      <c r="X621" s="785">
        <f>'Veri Girişi'!C75+'Veri Girişi'!C59</f>
        <v>1500</v>
      </c>
      <c r="Y621" s="707"/>
      <c r="Z621" s="707"/>
      <c r="AA621" s="146"/>
      <c r="AB621" s="144"/>
      <c r="AC621" s="146" t="s">
        <v>755</v>
      </c>
      <c r="AD621" s="146"/>
      <c r="AE621" s="151" t="s">
        <v>262</v>
      </c>
      <c r="AF621" s="734">
        <f>R621*T621*X621</f>
        <v>58860</v>
      </c>
      <c r="AG621" s="707"/>
      <c r="AH621" s="707"/>
      <c r="AI621" s="144" t="s">
        <v>374</v>
      </c>
      <c r="AJ621" s="146"/>
      <c r="AK621" s="146"/>
      <c r="AL621" s="146"/>
      <c r="AM621" s="146"/>
      <c r="AN621" s="146"/>
      <c r="AO621" s="128"/>
      <c r="AP621" s="128"/>
      <c r="AQ621" s="130"/>
      <c r="AR621" s="130"/>
      <c r="AS621" s="130"/>
      <c r="AT621" s="130"/>
      <c r="AU621" s="130"/>
      <c r="AV621" s="130"/>
      <c r="AW621" s="130"/>
      <c r="AX621" s="128"/>
      <c r="AY621" s="130"/>
      <c r="AZ621" s="130"/>
      <c r="BA621" s="130"/>
      <c r="BB621" s="130"/>
      <c r="BC621" s="130"/>
      <c r="BD621" s="130"/>
      <c r="BE621" s="130"/>
      <c r="BF621" s="128"/>
      <c r="BG621" s="128"/>
      <c r="BH621" s="128"/>
      <c r="BI621" s="128"/>
      <c r="BJ621" s="128"/>
    </row>
    <row r="622" spans="1:62" ht="4.5" customHeight="1">
      <c r="A622" s="144"/>
      <c r="B622" s="144"/>
      <c r="C622" s="144"/>
      <c r="D622" s="144"/>
      <c r="E622" s="140"/>
      <c r="F622" s="140"/>
      <c r="G622" s="174"/>
      <c r="H622" s="174"/>
      <c r="I622" s="174"/>
      <c r="J622" s="140"/>
      <c r="K622" s="140"/>
      <c r="L622" s="140"/>
      <c r="M622" s="140"/>
      <c r="N622" s="140"/>
      <c r="O622" s="140"/>
      <c r="P622" s="140"/>
      <c r="Q622" s="140"/>
      <c r="R622" s="140"/>
      <c r="S622" s="174"/>
      <c r="T622" s="174"/>
      <c r="U622" s="174"/>
      <c r="V622" s="174"/>
      <c r="W622" s="174"/>
      <c r="X622" s="174"/>
      <c r="Y622" s="140"/>
      <c r="Z622" s="130"/>
      <c r="AA622" s="130"/>
      <c r="AB622" s="130"/>
      <c r="AC622" s="130"/>
      <c r="AD622" s="130"/>
      <c r="AE622" s="130"/>
      <c r="AF622" s="130"/>
      <c r="AG622" s="130"/>
      <c r="AH622" s="137"/>
      <c r="AI622" s="137"/>
      <c r="AJ622" s="137"/>
      <c r="AK622" s="137"/>
      <c r="AL622" s="137"/>
      <c r="AM622" s="128"/>
      <c r="AN622" s="128"/>
      <c r="AO622" s="130"/>
      <c r="AP622" s="130"/>
      <c r="AQ622" s="130"/>
      <c r="AR622" s="130"/>
      <c r="AS622" s="130"/>
      <c r="AT622" s="130"/>
      <c r="AU622" s="130"/>
      <c r="AV622" s="130"/>
      <c r="AW622" s="130"/>
      <c r="AX622" s="128"/>
      <c r="AY622" s="130"/>
      <c r="AZ622" s="130"/>
      <c r="BA622" s="130"/>
      <c r="BB622" s="130"/>
      <c r="BC622" s="130"/>
      <c r="BD622" s="130"/>
      <c r="BE622" s="130"/>
      <c r="BF622" s="128"/>
      <c r="BG622" s="128"/>
      <c r="BH622" s="128"/>
      <c r="BI622" s="128"/>
      <c r="BJ622" s="128"/>
    </row>
    <row r="623" spans="1:62" ht="15" customHeight="1">
      <c r="A623" s="144"/>
      <c r="B623" s="128"/>
      <c r="C623" s="144"/>
      <c r="D623" s="144"/>
      <c r="E623" s="140"/>
      <c r="F623" s="140"/>
      <c r="G623" s="174"/>
      <c r="H623" s="174"/>
      <c r="I623" s="174"/>
      <c r="J623" s="140"/>
      <c r="K623" s="140"/>
      <c r="L623" s="171"/>
      <c r="M623" s="171"/>
      <c r="N623" s="171"/>
      <c r="O623" s="730"/>
      <c r="P623" s="707"/>
      <c r="Q623" s="707"/>
      <c r="R623" s="730"/>
      <c r="S623" s="707"/>
      <c r="T623" s="707"/>
      <c r="U623" s="707"/>
      <c r="V623" s="707"/>
      <c r="W623" s="735"/>
      <c r="X623" s="707"/>
      <c r="Y623" s="707"/>
      <c r="Z623" s="707"/>
      <c r="AA623" s="707"/>
      <c r="AB623" s="707"/>
      <c r="AC623" s="707"/>
      <c r="AD623" s="707"/>
      <c r="AE623" s="707"/>
      <c r="AF623" s="707"/>
      <c r="AG623" s="707"/>
      <c r="AH623" s="128"/>
      <c r="AI623" s="128"/>
      <c r="AJ623" s="128"/>
      <c r="AK623" s="128"/>
      <c r="AL623" s="128"/>
      <c r="AM623" s="128"/>
      <c r="AN623" s="128"/>
      <c r="AO623" s="130"/>
      <c r="AP623" s="130"/>
      <c r="AQ623" s="130"/>
      <c r="AR623" s="130"/>
      <c r="AS623" s="130"/>
      <c r="AT623" s="130"/>
      <c r="AU623" s="130"/>
      <c r="AV623" s="130"/>
      <c r="AW623" s="130"/>
      <c r="AX623" s="128"/>
      <c r="AY623" s="130"/>
      <c r="AZ623" s="130"/>
      <c r="BA623" s="130"/>
      <c r="BB623" s="130"/>
      <c r="BC623" s="130"/>
      <c r="BD623" s="130"/>
      <c r="BE623" s="130"/>
      <c r="BF623" s="128"/>
      <c r="BG623" s="128"/>
      <c r="BH623" s="128"/>
      <c r="BI623" s="128"/>
      <c r="BJ623" s="128"/>
    </row>
    <row r="624" spans="1:62" ht="4.5" customHeight="1">
      <c r="A624" s="144"/>
      <c r="B624" s="128"/>
      <c r="C624" s="144"/>
      <c r="D624" s="144"/>
      <c r="E624" s="140"/>
      <c r="F624" s="140"/>
      <c r="G624" s="174"/>
      <c r="H624" s="174"/>
      <c r="I624" s="174"/>
      <c r="J624" s="140"/>
      <c r="K624" s="140"/>
      <c r="L624" s="140"/>
      <c r="M624" s="140"/>
      <c r="N624" s="140"/>
      <c r="O624" s="140"/>
      <c r="P624" s="140"/>
      <c r="Q624" s="140"/>
      <c r="R624" s="140"/>
      <c r="S624" s="174"/>
      <c r="T624" s="174"/>
      <c r="U624" s="174"/>
      <c r="V624" s="174"/>
      <c r="W624" s="174"/>
      <c r="X624" s="174"/>
      <c r="Y624" s="140"/>
      <c r="Z624" s="130"/>
      <c r="AA624" s="130"/>
      <c r="AB624" s="130"/>
      <c r="AC624" s="130"/>
      <c r="AD624" s="130"/>
      <c r="AE624" s="130"/>
      <c r="AF624" s="130"/>
      <c r="AG624" s="130"/>
      <c r="AH624" s="137"/>
      <c r="AI624" s="137"/>
      <c r="AJ624" s="137"/>
      <c r="AK624" s="137"/>
      <c r="AL624" s="137"/>
      <c r="AM624" s="128"/>
      <c r="AN624" s="128"/>
      <c r="AO624" s="130"/>
      <c r="AP624" s="130"/>
      <c r="AQ624" s="130"/>
      <c r="AR624" s="130"/>
      <c r="AS624" s="130"/>
      <c r="AT624" s="130"/>
      <c r="AU624" s="130"/>
      <c r="AV624" s="130"/>
      <c r="AW624" s="130"/>
      <c r="AX624" s="128"/>
      <c r="AY624" s="130"/>
      <c r="AZ624" s="130"/>
      <c r="BA624" s="130"/>
      <c r="BB624" s="130"/>
      <c r="BC624" s="130"/>
      <c r="BD624" s="130"/>
      <c r="BE624" s="130"/>
      <c r="BF624" s="128"/>
      <c r="BG624" s="128"/>
      <c r="BH624" s="128"/>
      <c r="BI624" s="128"/>
      <c r="BJ624" s="128"/>
    </row>
    <row r="625" spans="1:62" ht="15" customHeight="1">
      <c r="A625" s="128" t="s">
        <v>758</v>
      </c>
      <c r="B625" s="144"/>
      <c r="C625" s="144"/>
      <c r="D625" s="144"/>
      <c r="E625" s="140"/>
      <c r="F625" s="140"/>
      <c r="G625" s="174"/>
      <c r="H625" s="174"/>
      <c r="I625" s="174"/>
      <c r="J625" s="140"/>
      <c r="K625" s="140"/>
      <c r="L625" s="140"/>
      <c r="M625" s="140"/>
      <c r="N625" s="140"/>
      <c r="O625" s="140"/>
      <c r="P625" s="140"/>
      <c r="Q625" s="140"/>
      <c r="R625" s="140"/>
      <c r="S625" s="174"/>
      <c r="T625" s="174"/>
      <c r="U625" s="174"/>
      <c r="V625" s="174"/>
      <c r="W625" s="174"/>
      <c r="X625" s="174"/>
      <c r="Y625" s="140"/>
      <c r="Z625" s="130"/>
      <c r="AA625" s="130"/>
      <c r="AB625" s="130"/>
      <c r="AC625" s="130"/>
      <c r="AD625" s="130"/>
      <c r="AE625" s="130"/>
      <c r="AF625" s="130"/>
      <c r="AG625" s="130"/>
      <c r="AH625" s="137"/>
      <c r="AI625" s="137"/>
      <c r="AJ625" s="137"/>
      <c r="AK625" s="137"/>
      <c r="AL625" s="137"/>
      <c r="AM625" s="128"/>
      <c r="AN625" s="128"/>
      <c r="AO625" s="130"/>
      <c r="AP625" s="130"/>
      <c r="AQ625" s="130"/>
      <c r="AR625" s="130"/>
      <c r="AS625" s="130"/>
      <c r="AT625" s="130"/>
      <c r="AU625" s="130"/>
      <c r="AV625" s="130"/>
      <c r="AW625" s="130"/>
      <c r="AX625" s="128"/>
      <c r="AY625" s="130"/>
      <c r="AZ625" s="130"/>
      <c r="BA625" s="130"/>
      <c r="BB625" s="130"/>
      <c r="BC625" s="130"/>
      <c r="BD625" s="130"/>
      <c r="BE625" s="130"/>
      <c r="BF625" s="128"/>
      <c r="BG625" s="128"/>
      <c r="BH625" s="128"/>
      <c r="BI625" s="128"/>
      <c r="BJ625" s="128"/>
    </row>
    <row r="626" spans="1:62" ht="4.5" customHeight="1">
      <c r="A626" s="144"/>
      <c r="B626" s="144"/>
      <c r="C626" s="144"/>
      <c r="D626" s="144"/>
      <c r="E626" s="140"/>
      <c r="F626" s="140"/>
      <c r="G626" s="174"/>
      <c r="H626" s="174"/>
      <c r="I626" s="174"/>
      <c r="J626" s="140"/>
      <c r="K626" s="140"/>
      <c r="L626" s="140"/>
      <c r="M626" s="140"/>
      <c r="N626" s="140"/>
      <c r="O626" s="140"/>
      <c r="P626" s="140"/>
      <c r="Q626" s="140"/>
      <c r="R626" s="140"/>
      <c r="S626" s="174"/>
      <c r="T626" s="174"/>
      <c r="U626" s="174"/>
      <c r="V626" s="174"/>
      <c r="W626" s="174"/>
      <c r="X626" s="174"/>
      <c r="Y626" s="140"/>
      <c r="Z626" s="130"/>
      <c r="AA626" s="130"/>
      <c r="AB626" s="130"/>
      <c r="AC626" s="130"/>
      <c r="AD626" s="130"/>
      <c r="AE626" s="130"/>
      <c r="AF626" s="130"/>
      <c r="AG626" s="130"/>
      <c r="AH626" s="137"/>
      <c r="AI626" s="137"/>
      <c r="AJ626" s="137"/>
      <c r="AK626" s="137"/>
      <c r="AL626" s="137"/>
      <c r="AM626" s="128"/>
      <c r="AN626" s="128"/>
      <c r="AO626" s="130"/>
      <c r="AP626" s="130"/>
      <c r="AQ626" s="130"/>
      <c r="AR626" s="130"/>
      <c r="AS626" s="130"/>
      <c r="AT626" s="130"/>
      <c r="AU626" s="130"/>
      <c r="AV626" s="130"/>
      <c r="AW626" s="130"/>
      <c r="AX626" s="128"/>
      <c r="AY626" s="130"/>
      <c r="AZ626" s="130"/>
      <c r="BA626" s="130"/>
      <c r="BB626" s="130"/>
      <c r="BC626" s="130"/>
      <c r="BD626" s="130"/>
      <c r="BE626" s="130"/>
      <c r="BF626" s="128"/>
      <c r="BG626" s="128"/>
      <c r="BH626" s="128"/>
      <c r="BI626" s="128"/>
      <c r="BJ626" s="128"/>
    </row>
    <row r="627" spans="1:62" ht="15" customHeight="1">
      <c r="A627" s="146" t="s">
        <v>759</v>
      </c>
      <c r="B627" s="146"/>
      <c r="C627" s="146" t="s">
        <v>262</v>
      </c>
      <c r="D627" s="721" t="s">
        <v>760</v>
      </c>
      <c r="E627" s="707"/>
      <c r="F627" s="146" t="s">
        <v>262</v>
      </c>
      <c r="G627" s="730" t="s">
        <v>761</v>
      </c>
      <c r="H627" s="707"/>
      <c r="I627" s="707"/>
      <c r="J627" s="707"/>
      <c r="K627" s="707"/>
      <c r="L627" s="707"/>
      <c r="M627" s="707"/>
      <c r="N627" s="707"/>
      <c r="O627" s="707"/>
      <c r="P627" s="140"/>
      <c r="Q627" s="140"/>
      <c r="R627" s="146" t="s">
        <v>759</v>
      </c>
      <c r="S627" s="146"/>
      <c r="T627" s="146" t="s">
        <v>262</v>
      </c>
      <c r="U627" s="174">
        <v>4</v>
      </c>
      <c r="V627" s="174" t="s">
        <v>357</v>
      </c>
      <c r="W627" s="730">
        <v>9.81</v>
      </c>
      <c r="X627" s="707"/>
      <c r="Y627" s="707"/>
      <c r="Z627" s="144" t="s">
        <v>357</v>
      </c>
      <c r="AA627" s="781">
        <f>'Veri Girişi'!C75+('Veri Girişi'!C59*0.5)</f>
        <v>1100</v>
      </c>
      <c r="AB627" s="707"/>
      <c r="AC627" s="707"/>
      <c r="AD627" s="146"/>
      <c r="AE627" s="144"/>
      <c r="AF627" s="146" t="s">
        <v>759</v>
      </c>
      <c r="AG627" s="146"/>
      <c r="AH627" s="146" t="s">
        <v>262</v>
      </c>
      <c r="AI627" s="721">
        <f>U627*W627*AA627</f>
        <v>43164</v>
      </c>
      <c r="AJ627" s="707"/>
      <c r="AK627" s="707"/>
      <c r="AL627" s="151" t="s">
        <v>374</v>
      </c>
      <c r="AM627" s="146"/>
      <c r="AN627" s="146"/>
      <c r="AO627" s="146"/>
      <c r="AP627" s="128"/>
      <c r="AQ627" s="128"/>
      <c r="AR627" s="128"/>
      <c r="AS627" s="128"/>
      <c r="AT627" s="128"/>
      <c r="AU627" s="130"/>
      <c r="AV627" s="130"/>
      <c r="AW627" s="130"/>
      <c r="AX627" s="128"/>
      <c r="AY627" s="130"/>
      <c r="AZ627" s="130"/>
      <c r="BA627" s="130"/>
      <c r="BB627" s="130"/>
      <c r="BC627" s="130"/>
      <c r="BD627" s="130"/>
      <c r="BE627" s="130"/>
      <c r="BF627" s="128"/>
      <c r="BG627" s="128"/>
      <c r="BH627" s="128"/>
      <c r="BI627" s="128"/>
      <c r="BJ627" s="128"/>
    </row>
    <row r="628" spans="1:62" ht="4.5" customHeight="1">
      <c r="A628" s="146"/>
      <c r="B628" s="146"/>
      <c r="C628" s="146"/>
      <c r="D628" s="146"/>
      <c r="E628" s="146"/>
      <c r="F628" s="146"/>
      <c r="G628" s="174"/>
      <c r="H628" s="174"/>
      <c r="I628" s="174"/>
      <c r="J628" s="140"/>
      <c r="K628" s="140"/>
      <c r="L628" s="140"/>
      <c r="M628" s="140"/>
      <c r="N628" s="140"/>
      <c r="O628" s="140"/>
      <c r="P628" s="140"/>
      <c r="Q628" s="140"/>
      <c r="R628" s="140"/>
      <c r="S628" s="174"/>
      <c r="T628" s="174"/>
      <c r="U628" s="174"/>
      <c r="V628" s="174"/>
      <c r="W628" s="174"/>
      <c r="X628" s="174"/>
      <c r="Y628" s="140"/>
      <c r="Z628" s="130"/>
      <c r="AA628" s="130"/>
      <c r="AB628" s="130"/>
      <c r="AC628" s="130"/>
      <c r="AD628" s="130"/>
      <c r="AE628" s="130"/>
      <c r="AF628" s="130"/>
      <c r="AG628" s="130"/>
      <c r="AH628" s="137"/>
      <c r="AI628" s="137"/>
      <c r="AJ628" s="137"/>
      <c r="AK628" s="137"/>
      <c r="AL628" s="137"/>
      <c r="AM628" s="128"/>
      <c r="AN628" s="128"/>
      <c r="AO628" s="130"/>
      <c r="AP628" s="130"/>
      <c r="AQ628" s="130"/>
      <c r="AR628" s="130"/>
      <c r="AS628" s="130"/>
      <c r="AT628" s="130"/>
      <c r="AU628" s="130"/>
      <c r="AV628" s="130"/>
      <c r="AW628" s="130"/>
      <c r="AX628" s="128"/>
      <c r="AY628" s="130"/>
      <c r="AZ628" s="130"/>
      <c r="BA628" s="130"/>
      <c r="BB628" s="130"/>
      <c r="BC628" s="130"/>
      <c r="BD628" s="130"/>
      <c r="BE628" s="130"/>
      <c r="BF628" s="128"/>
      <c r="BG628" s="128"/>
      <c r="BH628" s="128"/>
      <c r="BI628" s="128"/>
      <c r="BJ628" s="128"/>
    </row>
    <row r="629" spans="1:62" ht="15" customHeight="1">
      <c r="A629" s="144"/>
      <c r="B629" s="128"/>
      <c r="C629" s="144"/>
      <c r="D629" s="144"/>
      <c r="E629" s="140"/>
      <c r="F629" s="140"/>
      <c r="G629" s="174"/>
      <c r="H629" s="174"/>
      <c r="I629" s="174"/>
      <c r="J629" s="140"/>
      <c r="K629" s="140"/>
      <c r="L629" s="171"/>
      <c r="M629" s="171"/>
      <c r="N629" s="171"/>
      <c r="O629" s="730"/>
      <c r="P629" s="707"/>
      <c r="Q629" s="707"/>
      <c r="R629" s="730"/>
      <c r="S629" s="707"/>
      <c r="T629" s="707"/>
      <c r="U629" s="707"/>
      <c r="V629" s="707"/>
      <c r="W629" s="735"/>
      <c r="X629" s="707"/>
      <c r="Y629" s="707"/>
      <c r="Z629" s="707"/>
      <c r="AA629" s="707"/>
      <c r="AB629" s="707"/>
      <c r="AC629" s="707"/>
      <c r="AD629" s="707"/>
      <c r="AE629" s="707"/>
      <c r="AF629" s="707"/>
      <c r="AG629" s="707"/>
      <c r="AH629" s="128"/>
      <c r="AI629" s="128"/>
      <c r="AJ629" s="128"/>
      <c r="AK629" s="128"/>
      <c r="AL629" s="128"/>
      <c r="AM629" s="128"/>
      <c r="AN629" s="128"/>
      <c r="AO629" s="130"/>
      <c r="AP629" s="130"/>
      <c r="AQ629" s="130"/>
      <c r="AR629" s="130"/>
      <c r="AS629" s="130"/>
      <c r="AT629" s="130"/>
      <c r="AU629" s="130"/>
      <c r="AV629" s="130"/>
      <c r="AW629" s="130"/>
      <c r="AX629" s="128"/>
      <c r="AY629" s="130"/>
      <c r="AZ629" s="130"/>
      <c r="BA629" s="130"/>
      <c r="BB629" s="130"/>
      <c r="BC629" s="130"/>
      <c r="BD629" s="130"/>
      <c r="BE629" s="130"/>
      <c r="BF629" s="128"/>
      <c r="BG629" s="128"/>
      <c r="BH629" s="128"/>
      <c r="BI629" s="128"/>
      <c r="BJ629" s="128"/>
    </row>
    <row r="630" spans="1:62" ht="4.5" customHeight="1">
      <c r="A630" s="144"/>
      <c r="B630" s="144"/>
      <c r="C630" s="144"/>
      <c r="D630" s="144"/>
      <c r="E630" s="140"/>
      <c r="F630" s="140"/>
      <c r="G630" s="174"/>
      <c r="H630" s="174"/>
      <c r="I630" s="174"/>
      <c r="J630" s="140"/>
      <c r="K630" s="140"/>
      <c r="L630" s="140"/>
      <c r="M630" s="140"/>
      <c r="N630" s="140"/>
      <c r="O630" s="140"/>
      <c r="P630" s="140"/>
      <c r="Q630" s="140"/>
      <c r="R630" s="140"/>
      <c r="S630" s="174"/>
      <c r="T630" s="174"/>
      <c r="U630" s="174"/>
      <c r="V630" s="174"/>
      <c r="W630" s="174"/>
      <c r="X630" s="174"/>
      <c r="Y630" s="140"/>
      <c r="Z630" s="130"/>
      <c r="AA630" s="130"/>
      <c r="AB630" s="130"/>
      <c r="AC630" s="130"/>
      <c r="AD630" s="130"/>
      <c r="AE630" s="130"/>
      <c r="AF630" s="130"/>
      <c r="AG630" s="130"/>
      <c r="AH630" s="137"/>
      <c r="AI630" s="137"/>
      <c r="AJ630" s="137"/>
      <c r="AK630" s="137"/>
      <c r="AL630" s="137"/>
      <c r="AM630" s="128"/>
      <c r="AN630" s="128"/>
      <c r="AO630" s="130"/>
      <c r="AP630" s="130"/>
      <c r="AQ630" s="130"/>
      <c r="AR630" s="130"/>
      <c r="AS630" s="130"/>
      <c r="AT630" s="130"/>
      <c r="AU630" s="130"/>
      <c r="AV630" s="130"/>
      <c r="AW630" s="130"/>
      <c r="AX630" s="128"/>
      <c r="AY630" s="130"/>
      <c r="AZ630" s="130"/>
      <c r="BA630" s="130"/>
      <c r="BB630" s="130"/>
      <c r="BC630" s="130"/>
      <c r="BD630" s="130"/>
      <c r="BE630" s="130"/>
      <c r="BF630" s="128"/>
      <c r="BG630" s="128"/>
      <c r="BH630" s="128"/>
      <c r="BI630" s="128"/>
      <c r="BJ630" s="128"/>
    </row>
    <row r="631" spans="1:62" ht="15" customHeight="1">
      <c r="A631" s="792" t="s">
        <v>762</v>
      </c>
      <c r="B631" s="707"/>
      <c r="C631" s="707"/>
      <c r="D631" s="707"/>
      <c r="E631" s="707"/>
      <c r="F631" s="707"/>
      <c r="G631" s="707"/>
      <c r="H631" s="707"/>
      <c r="I631" s="707"/>
      <c r="J631" s="707"/>
      <c r="K631" s="707"/>
      <c r="L631" s="707"/>
      <c r="M631" s="707"/>
      <c r="N631" s="707"/>
      <c r="O631" s="707"/>
      <c r="P631" s="707"/>
      <c r="Q631" s="707"/>
      <c r="R631" s="707"/>
      <c r="S631" s="707"/>
      <c r="T631" s="707"/>
      <c r="U631" s="707"/>
      <c r="V631" s="707"/>
      <c r="W631" s="707"/>
      <c r="X631" s="707"/>
      <c r="Y631" s="707"/>
      <c r="Z631" s="707"/>
      <c r="AA631" s="707"/>
      <c r="AB631" s="707"/>
      <c r="AC631" s="707"/>
      <c r="AD631" s="707"/>
      <c r="AE631" s="707"/>
      <c r="AF631" s="707"/>
      <c r="AG631" s="707"/>
      <c r="AH631" s="707"/>
      <c r="AI631" s="707"/>
      <c r="AJ631" s="707"/>
      <c r="AK631" s="707"/>
      <c r="AL631" s="707"/>
      <c r="AM631" s="707"/>
      <c r="AN631" s="707"/>
      <c r="AO631" s="707"/>
      <c r="AP631" s="130"/>
      <c r="AQ631" s="130"/>
      <c r="AR631" s="130"/>
      <c r="AS631" s="130"/>
      <c r="AT631" s="130"/>
      <c r="AU631" s="130"/>
      <c r="AV631" s="130"/>
      <c r="AW631" s="130"/>
      <c r="AX631" s="128"/>
      <c r="AY631" s="130"/>
      <c r="AZ631" s="130"/>
      <c r="BA631" s="130"/>
      <c r="BB631" s="130"/>
      <c r="BC631" s="130"/>
      <c r="BD631" s="130"/>
      <c r="BE631" s="130"/>
      <c r="BF631" s="128"/>
      <c r="BG631" s="128"/>
      <c r="BH631" s="128"/>
      <c r="BI631" s="128"/>
      <c r="BJ631" s="128"/>
    </row>
    <row r="632" spans="1:62" ht="4.5" customHeight="1">
      <c r="A632" s="144"/>
      <c r="B632" s="144"/>
      <c r="C632" s="144"/>
      <c r="D632" s="144"/>
      <c r="E632" s="140"/>
      <c r="F632" s="140"/>
      <c r="G632" s="174"/>
      <c r="H632" s="174"/>
      <c r="I632" s="174"/>
      <c r="J632" s="140"/>
      <c r="K632" s="140"/>
      <c r="L632" s="140"/>
      <c r="M632" s="140"/>
      <c r="N632" s="140"/>
      <c r="O632" s="140"/>
      <c r="P632" s="140"/>
      <c r="Q632" s="140"/>
      <c r="R632" s="140"/>
      <c r="S632" s="174"/>
      <c r="T632" s="174"/>
      <c r="U632" s="174"/>
      <c r="V632" s="174"/>
      <c r="W632" s="174"/>
      <c r="X632" s="174"/>
      <c r="Y632" s="140"/>
      <c r="Z632" s="130"/>
      <c r="AA632" s="130"/>
      <c r="AB632" s="130"/>
      <c r="AC632" s="130"/>
      <c r="AD632" s="130"/>
      <c r="AE632" s="130"/>
      <c r="AF632" s="130"/>
      <c r="AG632" s="130"/>
      <c r="AH632" s="137"/>
      <c r="AI632" s="137"/>
      <c r="AJ632" s="137"/>
      <c r="AK632" s="137"/>
      <c r="AL632" s="137"/>
      <c r="AM632" s="128"/>
      <c r="AN632" s="128"/>
      <c r="AO632" s="130"/>
      <c r="AP632" s="130"/>
      <c r="AQ632" s="130"/>
      <c r="AR632" s="130"/>
      <c r="AS632" s="130"/>
      <c r="AT632" s="130"/>
      <c r="AU632" s="130"/>
      <c r="AV632" s="130"/>
      <c r="AW632" s="130"/>
      <c r="AX632" s="128"/>
      <c r="AY632" s="130"/>
      <c r="AZ632" s="130"/>
      <c r="BA632" s="130"/>
      <c r="BB632" s="130"/>
      <c r="BC632" s="130"/>
      <c r="BD632" s="130"/>
      <c r="BE632" s="130"/>
      <c r="BF632" s="128"/>
      <c r="BG632" s="128"/>
      <c r="BH632" s="128"/>
      <c r="BI632" s="128"/>
      <c r="BJ632" s="128"/>
    </row>
    <row r="633" spans="1:62" ht="15" customHeight="1">
      <c r="A633" s="153" t="s">
        <v>763</v>
      </c>
      <c r="B633" s="144"/>
      <c r="C633" s="144"/>
      <c r="D633" s="144"/>
      <c r="E633" s="140"/>
      <c r="F633" s="140"/>
      <c r="G633" s="174"/>
      <c r="H633" s="174"/>
      <c r="I633" s="174"/>
      <c r="J633" s="140"/>
      <c r="K633" s="140"/>
      <c r="L633" s="140"/>
      <c r="M633" s="140"/>
      <c r="N633" s="140"/>
      <c r="O633" s="140"/>
      <c r="P633" s="140"/>
      <c r="Q633" s="140"/>
      <c r="R633" s="140"/>
      <c r="S633" s="174"/>
      <c r="T633" s="174"/>
      <c r="U633" s="174"/>
      <c r="V633" s="174"/>
      <c r="W633" s="174"/>
      <c r="X633" s="174"/>
      <c r="Y633" s="140"/>
      <c r="Z633" s="144"/>
      <c r="AA633" s="144"/>
      <c r="AB633" s="144"/>
      <c r="AC633" s="144"/>
      <c r="AD633" s="144"/>
      <c r="AE633" s="144"/>
      <c r="AF633" s="144"/>
      <c r="AG633" s="144"/>
      <c r="AH633" s="151"/>
      <c r="AI633" s="151"/>
      <c r="AJ633" s="151"/>
      <c r="AK633" s="151"/>
      <c r="AL633" s="151"/>
      <c r="AM633" s="146"/>
      <c r="AN633" s="146"/>
      <c r="AO633" s="144"/>
      <c r="AP633" s="144"/>
      <c r="AQ633" s="144"/>
      <c r="AR633" s="144"/>
      <c r="AS633" s="144"/>
      <c r="AT633" s="144"/>
      <c r="AU633" s="144"/>
      <c r="AV633" s="144"/>
      <c r="AW633" s="144"/>
      <c r="AX633" s="146"/>
      <c r="AY633" s="144"/>
      <c r="AZ633" s="144"/>
      <c r="BA633" s="144"/>
      <c r="BB633" s="144"/>
      <c r="BC633" s="144"/>
      <c r="BD633" s="144"/>
      <c r="BE633" s="144"/>
      <c r="BF633" s="146"/>
      <c r="BG633" s="146"/>
      <c r="BH633" s="146"/>
      <c r="BI633" s="146"/>
      <c r="BJ633" s="146"/>
    </row>
    <row r="634" spans="1:62" ht="15" customHeight="1">
      <c r="A634" s="839" t="s">
        <v>764</v>
      </c>
      <c r="B634" s="710"/>
      <c r="C634" s="710"/>
      <c r="D634" s="710"/>
      <c r="E634" s="710"/>
      <c r="F634" s="710"/>
      <c r="G634" s="710"/>
      <c r="H634" s="710"/>
      <c r="I634" s="710"/>
      <c r="J634" s="710"/>
      <c r="K634" s="710"/>
      <c r="L634" s="710"/>
      <c r="M634" s="710"/>
      <c r="N634" s="710"/>
      <c r="O634" s="710"/>
      <c r="P634" s="710"/>
      <c r="Q634" s="710"/>
      <c r="R634" s="710"/>
      <c r="S634" s="710"/>
      <c r="T634" s="710"/>
      <c r="U634" s="710"/>
      <c r="V634" s="710"/>
      <c r="W634" s="710"/>
      <c r="X634" s="710"/>
      <c r="Y634" s="710"/>
      <c r="Z634" s="710"/>
      <c r="AA634" s="710"/>
      <c r="AB634" s="710"/>
      <c r="AC634" s="710"/>
      <c r="AD634" s="710"/>
      <c r="AE634" s="710"/>
      <c r="AF634" s="710"/>
      <c r="AG634" s="710"/>
      <c r="AH634" s="583"/>
      <c r="AI634" s="775" t="s">
        <v>765</v>
      </c>
      <c r="AJ634" s="710"/>
      <c r="AK634" s="710"/>
      <c r="AL634" s="710"/>
      <c r="AM634" s="710"/>
      <c r="AN634" s="710"/>
      <c r="AO634" s="710"/>
      <c r="AP634" s="583"/>
      <c r="AQ634" s="130"/>
      <c r="AR634" s="130"/>
      <c r="AS634" s="130"/>
      <c r="AT634" s="130"/>
      <c r="AU634" s="130"/>
      <c r="AV634" s="130"/>
      <c r="AW634" s="130"/>
      <c r="AX634" s="128"/>
      <c r="AY634" s="130"/>
      <c r="AZ634" s="130"/>
      <c r="BA634" s="130"/>
      <c r="BB634" s="130"/>
      <c r="BC634" s="130"/>
      <c r="BD634" s="130"/>
      <c r="BE634" s="130"/>
      <c r="BF634" s="128"/>
      <c r="BG634" s="128"/>
      <c r="BH634" s="128"/>
      <c r="BI634" s="128"/>
      <c r="BJ634" s="128"/>
    </row>
    <row r="635" spans="1:62" ht="15" customHeight="1">
      <c r="A635" s="791" t="s">
        <v>766</v>
      </c>
      <c r="B635" s="710"/>
      <c r="C635" s="710"/>
      <c r="D635" s="710"/>
      <c r="E635" s="710"/>
      <c r="F635" s="710"/>
      <c r="G635" s="710"/>
      <c r="H635" s="710"/>
      <c r="I635" s="710"/>
      <c r="J635" s="710"/>
      <c r="K635" s="710"/>
      <c r="L635" s="710"/>
      <c r="M635" s="710"/>
      <c r="N635" s="710"/>
      <c r="O635" s="710"/>
      <c r="P635" s="710"/>
      <c r="Q635" s="710"/>
      <c r="R635" s="710"/>
      <c r="S635" s="710"/>
      <c r="T635" s="710"/>
      <c r="U635" s="710"/>
      <c r="V635" s="710"/>
      <c r="W635" s="710"/>
      <c r="X635" s="710"/>
      <c r="Y635" s="710"/>
      <c r="Z635" s="710"/>
      <c r="AA635" s="710"/>
      <c r="AB635" s="710"/>
      <c r="AC635" s="710"/>
      <c r="AD635" s="761">
        <v>100</v>
      </c>
      <c r="AE635" s="710"/>
      <c r="AF635" s="710"/>
      <c r="AG635" s="810" t="s">
        <v>122</v>
      </c>
      <c r="AH635" s="583"/>
      <c r="AI635" s="736">
        <f>'Veri Girişi'!$B$132-2400-300-150</f>
        <v>900</v>
      </c>
      <c r="AJ635" s="710"/>
      <c r="AK635" s="710"/>
      <c r="AL635" s="710"/>
      <c r="AM635" s="710"/>
      <c r="AN635" s="710"/>
      <c r="AO635" s="710"/>
      <c r="AP635" s="583"/>
      <c r="AQ635" s="130"/>
      <c r="AR635" s="130"/>
      <c r="AS635" s="725" t="str">
        <f>IF(AD635&lt;AI635,"UYGUNDUR.","UYGUN DEĞİLDİR.")</f>
        <v>UYGUNDUR.</v>
      </c>
      <c r="AT635" s="710"/>
      <c r="AU635" s="710"/>
      <c r="AV635" s="710"/>
      <c r="AW635" s="710"/>
      <c r="AX635" s="710"/>
      <c r="AY635" s="710"/>
      <c r="AZ635" s="710"/>
      <c r="BA635" s="710"/>
      <c r="BB635" s="583"/>
      <c r="BC635" s="130"/>
      <c r="BD635" s="130"/>
      <c r="BE635" s="130"/>
      <c r="BF635" s="128"/>
      <c r="BG635" s="128"/>
      <c r="BH635" s="128"/>
      <c r="BI635" s="128"/>
      <c r="BJ635" s="128"/>
    </row>
    <row r="636" spans="1:62" ht="15" customHeight="1">
      <c r="A636" s="791" t="s">
        <v>767</v>
      </c>
      <c r="B636" s="710"/>
      <c r="C636" s="710"/>
      <c r="D636" s="710"/>
      <c r="E636" s="710"/>
      <c r="F636" s="710"/>
      <c r="G636" s="710"/>
      <c r="H636" s="710"/>
      <c r="I636" s="710"/>
      <c r="J636" s="710"/>
      <c r="K636" s="710"/>
      <c r="L636" s="710"/>
      <c r="M636" s="710"/>
      <c r="N636" s="710"/>
      <c r="O636" s="710"/>
      <c r="P636" s="710"/>
      <c r="Q636" s="710"/>
      <c r="R636" s="710"/>
      <c r="S636" s="710"/>
      <c r="T636" s="710"/>
      <c r="U636" s="710"/>
      <c r="V636" s="710"/>
      <c r="W636" s="710"/>
      <c r="X636" s="710"/>
      <c r="Y636" s="710"/>
      <c r="Z636" s="710"/>
      <c r="AA636" s="710"/>
      <c r="AB636" s="710"/>
      <c r="AC636" s="710"/>
      <c r="AD636" s="761">
        <v>1200</v>
      </c>
      <c r="AE636" s="710"/>
      <c r="AF636" s="710"/>
      <c r="AG636" s="803" t="s">
        <v>122</v>
      </c>
      <c r="AH636" s="804"/>
      <c r="AI636" s="736">
        <f>'Veri Girişi'!$B$132-2100-150</f>
        <v>1500</v>
      </c>
      <c r="AJ636" s="710"/>
      <c r="AK636" s="710"/>
      <c r="AL636" s="710"/>
      <c r="AM636" s="710"/>
      <c r="AN636" s="710"/>
      <c r="AO636" s="710"/>
      <c r="AP636" s="583"/>
      <c r="AQ636" s="130"/>
      <c r="AR636" s="130"/>
      <c r="AS636" s="725" t="str">
        <f>IF(AD636&lt;AI636,"UYGUNDUR.","UYGUN DEĞİLDİR.")</f>
        <v>UYGUNDUR.</v>
      </c>
      <c r="AT636" s="710"/>
      <c r="AU636" s="710"/>
      <c r="AV636" s="710"/>
      <c r="AW636" s="710"/>
      <c r="AX636" s="710"/>
      <c r="AY636" s="710"/>
      <c r="AZ636" s="710"/>
      <c r="BA636" s="710"/>
      <c r="BB636" s="583"/>
      <c r="BC636" s="130"/>
      <c r="BD636" s="130"/>
      <c r="BE636" s="130"/>
      <c r="BF636" s="128"/>
      <c r="BG636" s="128"/>
      <c r="BH636" s="128"/>
      <c r="BI636" s="128"/>
      <c r="BJ636" s="128"/>
    </row>
    <row r="637" spans="1:62" ht="15" customHeight="1">
      <c r="A637" s="791" t="s">
        <v>768</v>
      </c>
      <c r="B637" s="710"/>
      <c r="C637" s="710"/>
      <c r="D637" s="710"/>
      <c r="E637" s="710"/>
      <c r="F637" s="710"/>
      <c r="G637" s="710"/>
      <c r="H637" s="710"/>
      <c r="I637" s="710"/>
      <c r="J637" s="710"/>
      <c r="K637" s="710"/>
      <c r="L637" s="710"/>
      <c r="M637" s="710"/>
      <c r="N637" s="710"/>
      <c r="O637" s="710"/>
      <c r="P637" s="710"/>
      <c r="Q637" s="710"/>
      <c r="R637" s="710"/>
      <c r="S637" s="710"/>
      <c r="T637" s="710"/>
      <c r="U637" s="710"/>
      <c r="V637" s="710"/>
      <c r="W637" s="710"/>
      <c r="X637" s="710"/>
      <c r="Y637" s="710"/>
      <c r="Z637" s="710"/>
      <c r="AA637" s="710"/>
      <c r="AB637" s="710"/>
      <c r="AC637" s="710"/>
      <c r="AD637" s="761">
        <v>500</v>
      </c>
      <c r="AE637" s="710"/>
      <c r="AF637" s="710"/>
      <c r="AG637" s="810" t="s">
        <v>122</v>
      </c>
      <c r="AH637" s="583"/>
      <c r="AI637" s="736">
        <f>'Veri Girişi'!$B$132-2100-500-150</f>
        <v>1000</v>
      </c>
      <c r="AJ637" s="710"/>
      <c r="AK637" s="710"/>
      <c r="AL637" s="710"/>
      <c r="AM637" s="710"/>
      <c r="AN637" s="710"/>
      <c r="AO637" s="710"/>
      <c r="AP637" s="583"/>
      <c r="AQ637" s="130"/>
      <c r="AR637" s="130"/>
      <c r="AS637" s="725" t="str">
        <f>IF(AD637&lt;AI637,"UYGUNDUR.","UYGUN DEĞİLDİR.")</f>
        <v>UYGUNDUR.</v>
      </c>
      <c r="AT637" s="710"/>
      <c r="AU637" s="710"/>
      <c r="AV637" s="710"/>
      <c r="AW637" s="710"/>
      <c r="AX637" s="710"/>
      <c r="AY637" s="710"/>
      <c r="AZ637" s="710"/>
      <c r="BA637" s="710"/>
      <c r="BB637" s="583"/>
      <c r="BC637" s="130"/>
      <c r="BD637" s="130"/>
      <c r="BE637" s="130"/>
      <c r="BF637" s="128"/>
      <c r="BG637" s="128"/>
      <c r="BH637" s="128"/>
      <c r="BI637" s="128"/>
      <c r="BJ637" s="128"/>
    </row>
    <row r="638" spans="1:62" ht="15" customHeight="1">
      <c r="A638" s="791" t="s">
        <v>769</v>
      </c>
      <c r="B638" s="710"/>
      <c r="C638" s="710"/>
      <c r="D638" s="710"/>
      <c r="E638" s="710"/>
      <c r="F638" s="710"/>
      <c r="G638" s="710"/>
      <c r="H638" s="710"/>
      <c r="I638" s="710"/>
      <c r="J638" s="710"/>
      <c r="K638" s="710"/>
      <c r="L638" s="710"/>
      <c r="M638" s="710"/>
      <c r="N638" s="710"/>
      <c r="O638" s="710"/>
      <c r="P638" s="710"/>
      <c r="Q638" s="710"/>
      <c r="R638" s="710"/>
      <c r="S638" s="710"/>
      <c r="T638" s="710"/>
      <c r="U638" s="710"/>
      <c r="V638" s="710"/>
      <c r="W638" s="710"/>
      <c r="X638" s="710"/>
      <c r="Y638" s="710"/>
      <c r="Z638" s="710"/>
      <c r="AA638" s="710"/>
      <c r="AB638" s="710"/>
      <c r="AC638" s="710"/>
      <c r="AD638" s="761">
        <f>(0.1+(0.035*'Veri Girişi'!$C$61^2))*1000</f>
        <v>135</v>
      </c>
      <c r="AE638" s="710"/>
      <c r="AF638" s="710"/>
      <c r="AG638" s="809" t="s">
        <v>122</v>
      </c>
      <c r="AH638" s="727"/>
      <c r="AI638" s="736">
        <f>'Veri Girişi'!$B$132-2100-500-300-150</f>
        <v>700</v>
      </c>
      <c r="AJ638" s="710"/>
      <c r="AK638" s="710"/>
      <c r="AL638" s="710"/>
      <c r="AM638" s="710"/>
      <c r="AN638" s="710"/>
      <c r="AO638" s="710"/>
      <c r="AP638" s="583"/>
      <c r="AQ638" s="130"/>
      <c r="AR638" s="130"/>
      <c r="AS638" s="725" t="str">
        <f>IF(AD638&lt;AI638,"UYGUNDUR.","UYGUN DEĞİLDİR.")</f>
        <v>UYGUNDUR.</v>
      </c>
      <c r="AT638" s="710"/>
      <c r="AU638" s="710"/>
      <c r="AV638" s="710"/>
      <c r="AW638" s="710"/>
      <c r="AX638" s="710"/>
      <c r="AY638" s="710"/>
      <c r="AZ638" s="710"/>
      <c r="BA638" s="710"/>
      <c r="BB638" s="583"/>
      <c r="BC638" s="130"/>
      <c r="BD638" s="130"/>
      <c r="BE638" s="130"/>
      <c r="BF638" s="128"/>
      <c r="BG638" s="128"/>
      <c r="BH638" s="128"/>
      <c r="BI638" s="128"/>
      <c r="BJ638" s="128"/>
    </row>
    <row r="639" spans="1:62" ht="15" customHeight="1">
      <c r="A639" s="791" t="s">
        <v>770</v>
      </c>
      <c r="B639" s="710"/>
      <c r="C639" s="710"/>
      <c r="D639" s="710"/>
      <c r="E639" s="710"/>
      <c r="F639" s="710"/>
      <c r="G639" s="710"/>
      <c r="H639" s="710"/>
      <c r="I639" s="710"/>
      <c r="J639" s="765">
        <v>0.7</v>
      </c>
      <c r="K639" s="710"/>
      <c r="L639" s="146" t="s">
        <v>357</v>
      </c>
      <c r="M639" s="826">
        <v>0.5</v>
      </c>
      <c r="N639" s="710"/>
      <c r="O639" s="248" t="s">
        <v>357</v>
      </c>
      <c r="P639" s="765">
        <v>1</v>
      </c>
      <c r="Q639" s="710"/>
      <c r="R639" s="827" t="s">
        <v>771</v>
      </c>
      <c r="S639" s="710"/>
      <c r="T639" s="710"/>
      <c r="U639" s="710"/>
      <c r="V639" s="710"/>
      <c r="W639" s="710"/>
      <c r="X639" s="710"/>
      <c r="Y639" s="710"/>
      <c r="Z639" s="710"/>
      <c r="AA639" s="710"/>
      <c r="AB639" s="710"/>
      <c r="AC639" s="710"/>
      <c r="AD639" s="710"/>
      <c r="AE639" s="710"/>
      <c r="AF639" s="710"/>
      <c r="AG639" s="710"/>
      <c r="AH639" s="583"/>
      <c r="AI639" s="797">
        <f>('Veri Girişi'!C73+40)/1000</f>
        <v>1.49</v>
      </c>
      <c r="AJ639" s="710"/>
      <c r="AK639" s="248" t="s">
        <v>357</v>
      </c>
      <c r="AL639" s="765">
        <f>('Veri Girişi'!C74+20)/1000</f>
        <v>1.37</v>
      </c>
      <c r="AM639" s="710"/>
      <c r="AN639" s="249" t="s">
        <v>357</v>
      </c>
      <c r="AO639" s="789">
        <f>AI636/1000</f>
        <v>1.5</v>
      </c>
      <c r="AP639" s="583"/>
      <c r="AQ639" s="130"/>
      <c r="AR639" s="130"/>
      <c r="AS639" s="725" t="str">
        <f>IF(AND(J639&lt;=AI639,M639&lt;=AL639,P639&lt;=AO639),"U","UD")</f>
        <v>U</v>
      </c>
      <c r="AT639" s="710"/>
      <c r="AU639" s="583"/>
      <c r="AV639" s="725" t="str">
        <f>IF(M639&lt;=AL639,"U","UD")</f>
        <v>U</v>
      </c>
      <c r="AW639" s="710"/>
      <c r="AX639" s="710"/>
      <c r="AY639" s="583"/>
      <c r="AZ639" s="725" t="str">
        <f>IF(P639&lt;=AO639,"U","UD")</f>
        <v>U</v>
      </c>
      <c r="BA639" s="710"/>
      <c r="BB639" s="583"/>
      <c r="BC639" s="130"/>
      <c r="BD639" s="130"/>
      <c r="BE639" s="130"/>
      <c r="BF639" s="128"/>
      <c r="BG639" s="128"/>
      <c r="BH639" s="128"/>
      <c r="BI639" s="128"/>
      <c r="BJ639" s="128"/>
    </row>
    <row r="640" spans="1:62" ht="24.75" customHeight="1">
      <c r="A640" s="791" t="s">
        <v>772</v>
      </c>
      <c r="B640" s="710"/>
      <c r="C640" s="710"/>
      <c r="D640" s="710"/>
      <c r="E640" s="710"/>
      <c r="F640" s="710"/>
      <c r="G640" s="710"/>
      <c r="H640" s="710"/>
      <c r="I640" s="710"/>
      <c r="J640" s="710"/>
      <c r="K640" s="710"/>
      <c r="L640" s="710"/>
      <c r="M640" s="710"/>
      <c r="N640" s="710"/>
      <c r="O640" s="710"/>
      <c r="P640" s="710"/>
      <c r="Q640" s="710"/>
      <c r="R640" s="710"/>
      <c r="S640" s="710"/>
      <c r="T640" s="710"/>
      <c r="U640" s="710"/>
      <c r="V640" s="710"/>
      <c r="W640" s="710"/>
      <c r="X640" s="710"/>
      <c r="Y640" s="710"/>
      <c r="Z640" s="710"/>
      <c r="AA640" s="710"/>
      <c r="AB640" s="710"/>
      <c r="AC640" s="710"/>
      <c r="AD640" s="761">
        <f>(0.1+(0.035*'Veri Girişi'!$C$61^2))*1000</f>
        <v>135</v>
      </c>
      <c r="AE640" s="710"/>
      <c r="AF640" s="710"/>
      <c r="AG640" s="810" t="s">
        <v>122</v>
      </c>
      <c r="AH640" s="583"/>
      <c r="AI640" s="763">
        <f>'Veri Girişi'!F80-('Veri Girişi'!B127+'Veri Girişi'!B122+'Veri Girişi'!B123-'Veri Girişi'!B121+'Veri Girişi'!F118)-('Veri Girişi'!B128+('Veri Girişi'!F80-'Veri Girişi'!B132-('Veri Girişi'!B127+'Veri Girişi'!B122+'Veri Girişi'!B123-'Veri Girişi'!B121+'Veri Girişi'!F118)))</f>
        <v>350</v>
      </c>
      <c r="AJ640" s="710"/>
      <c r="AK640" s="710"/>
      <c r="AL640" s="710"/>
      <c r="AM640" s="710"/>
      <c r="AN640" s="710"/>
      <c r="AO640" s="710"/>
      <c r="AP640" s="583"/>
      <c r="AQ640" s="130"/>
      <c r="AR640" s="130"/>
      <c r="AS640" s="725" t="str">
        <f>IF(AD640&lt;AI640,"UYGUNDUR.","UYGUN DEĞİLDİR.")</f>
        <v>UYGUNDUR.</v>
      </c>
      <c r="AT640" s="710"/>
      <c r="AU640" s="710"/>
      <c r="AV640" s="710"/>
      <c r="AW640" s="710"/>
      <c r="AX640" s="710"/>
      <c r="AY640" s="710"/>
      <c r="AZ640" s="710"/>
      <c r="BA640" s="710"/>
      <c r="BB640" s="583"/>
      <c r="BC640" s="130"/>
      <c r="BD640" s="130"/>
      <c r="BE640" s="130"/>
      <c r="BF640" s="128"/>
      <c r="BG640" s="128"/>
      <c r="BH640" s="128"/>
      <c r="BI640" s="128"/>
      <c r="BJ640" s="128"/>
    </row>
    <row r="641" spans="1:62" ht="4.5" customHeight="1">
      <c r="A641" s="144"/>
      <c r="B641" s="144"/>
      <c r="C641" s="144"/>
      <c r="D641" s="144"/>
      <c r="E641" s="140"/>
      <c r="F641" s="140"/>
      <c r="G641" s="174"/>
      <c r="H641" s="174"/>
      <c r="I641" s="174"/>
      <c r="J641" s="140"/>
      <c r="K641" s="140"/>
      <c r="L641" s="140"/>
      <c r="M641" s="140"/>
      <c r="N641" s="140"/>
      <c r="O641" s="140"/>
      <c r="P641" s="140"/>
      <c r="Q641" s="140"/>
      <c r="R641" s="140"/>
      <c r="S641" s="174"/>
      <c r="T641" s="174"/>
      <c r="U641" s="174"/>
      <c r="V641" s="174"/>
      <c r="W641" s="174"/>
      <c r="X641" s="174"/>
      <c r="Y641" s="140"/>
      <c r="Z641" s="130"/>
      <c r="AA641" s="130"/>
      <c r="AB641" s="130"/>
      <c r="AC641" s="130"/>
      <c r="AD641" s="130"/>
      <c r="AE641" s="130"/>
      <c r="AF641" s="130"/>
      <c r="AG641" s="130"/>
      <c r="AH641" s="137"/>
      <c r="AI641" s="151"/>
      <c r="AJ641" s="151"/>
      <c r="AK641" s="151"/>
      <c r="AL641" s="151"/>
      <c r="AM641" s="146"/>
      <c r="AN641" s="146"/>
      <c r="AO641" s="144"/>
      <c r="AP641" s="144"/>
      <c r="AQ641" s="144"/>
      <c r="AR641" s="144"/>
      <c r="AS641" s="144"/>
      <c r="AT641" s="144"/>
      <c r="AU641" s="144"/>
      <c r="AV641" s="144"/>
      <c r="AW641" s="144"/>
      <c r="AX641" s="146"/>
      <c r="AY641" s="144"/>
      <c r="AZ641" s="144"/>
      <c r="BA641" s="144"/>
      <c r="BB641" s="144"/>
      <c r="BC641" s="144"/>
      <c r="BD641" s="144"/>
      <c r="BE641" s="144"/>
      <c r="BF641" s="146"/>
      <c r="BG641" s="146"/>
      <c r="BH641" s="146"/>
      <c r="BI641" s="146"/>
      <c r="BJ641" s="146"/>
    </row>
    <row r="642" spans="1:62" ht="15" customHeight="1">
      <c r="A642" s="153" t="s">
        <v>773</v>
      </c>
      <c r="B642" s="144"/>
      <c r="C642" s="144"/>
      <c r="D642" s="144"/>
      <c r="E642" s="140"/>
      <c r="F642" s="140"/>
      <c r="G642" s="174"/>
      <c r="H642" s="174"/>
      <c r="I642" s="174"/>
      <c r="J642" s="140"/>
      <c r="K642" s="140"/>
      <c r="L642" s="140"/>
      <c r="M642" s="140"/>
      <c r="N642" s="140"/>
      <c r="O642" s="140"/>
      <c r="P642" s="140"/>
      <c r="Q642" s="140"/>
      <c r="R642" s="140"/>
      <c r="S642" s="174"/>
      <c r="T642" s="174"/>
      <c r="U642" s="174"/>
      <c r="V642" s="174"/>
      <c r="W642" s="174"/>
      <c r="X642" s="174"/>
      <c r="Y642" s="140"/>
      <c r="Z642" s="144"/>
      <c r="AA642" s="144"/>
      <c r="AB642" s="144"/>
      <c r="AC642" s="144"/>
      <c r="AD642" s="144"/>
      <c r="AE642" s="144"/>
      <c r="AF642" s="144"/>
      <c r="AG642" s="144"/>
      <c r="AH642" s="151"/>
      <c r="AI642" s="151"/>
      <c r="AJ642" s="151"/>
      <c r="AK642" s="151"/>
      <c r="AL642" s="151"/>
      <c r="AM642" s="146"/>
      <c r="AN642" s="146"/>
      <c r="AO642" s="144"/>
      <c r="AP642" s="144"/>
      <c r="AQ642" s="130"/>
      <c r="AR642" s="130"/>
      <c r="AS642" s="130"/>
      <c r="AT642" s="130"/>
      <c r="AU642" s="130"/>
      <c r="AV642" s="130"/>
      <c r="AW642" s="130"/>
      <c r="AX642" s="128"/>
      <c r="AY642" s="130"/>
      <c r="AZ642" s="130"/>
      <c r="BA642" s="130"/>
      <c r="BB642" s="130"/>
      <c r="BC642" s="130"/>
      <c r="BD642" s="130"/>
      <c r="BE642" s="130"/>
      <c r="BF642" s="128"/>
      <c r="BG642" s="128"/>
      <c r="BH642" s="128"/>
      <c r="BI642" s="128"/>
      <c r="BJ642" s="128"/>
    </row>
    <row r="643" spans="1:62" ht="15" customHeight="1">
      <c r="A643" s="820" t="s">
        <v>774</v>
      </c>
      <c r="B643" s="710"/>
      <c r="C643" s="710"/>
      <c r="D643" s="710"/>
      <c r="E643" s="710"/>
      <c r="F643" s="710"/>
      <c r="G643" s="710"/>
      <c r="H643" s="710"/>
      <c r="I643" s="710"/>
      <c r="J643" s="710"/>
      <c r="K643" s="710"/>
      <c r="L643" s="710"/>
      <c r="M643" s="710"/>
      <c r="N643" s="710"/>
      <c r="O643" s="710"/>
      <c r="P643" s="710"/>
      <c r="Q643" s="710"/>
      <c r="R643" s="710"/>
      <c r="S643" s="710"/>
      <c r="T643" s="710"/>
      <c r="U643" s="710"/>
      <c r="V643" s="710"/>
      <c r="W643" s="710"/>
      <c r="X643" s="710"/>
      <c r="Y643" s="710"/>
      <c r="Z643" s="710"/>
      <c r="AA643" s="710"/>
      <c r="AB643" s="710"/>
      <c r="AC643" s="710"/>
      <c r="AD643" s="710"/>
      <c r="AE643" s="710"/>
      <c r="AF643" s="710"/>
      <c r="AG643" s="710"/>
      <c r="AH643" s="583"/>
      <c r="AI643" s="775" t="s">
        <v>765</v>
      </c>
      <c r="AJ643" s="710"/>
      <c r="AK643" s="710"/>
      <c r="AL643" s="710"/>
      <c r="AM643" s="710"/>
      <c r="AN643" s="710"/>
      <c r="AO643" s="710"/>
      <c r="AP643" s="583"/>
      <c r="AQ643" s="130"/>
      <c r="AR643" s="130"/>
      <c r="AS643" s="130"/>
      <c r="AT643" s="130"/>
      <c r="AU643" s="130"/>
      <c r="AV643" s="130"/>
      <c r="AW643" s="130"/>
      <c r="AX643" s="128"/>
      <c r="AY643" s="130"/>
      <c r="AZ643" s="130"/>
      <c r="BA643" s="130"/>
      <c r="BB643" s="130"/>
      <c r="BC643" s="130"/>
      <c r="BD643" s="130"/>
      <c r="BE643" s="130"/>
      <c r="BF643" s="128"/>
      <c r="BG643" s="128"/>
      <c r="BH643" s="128"/>
      <c r="BI643" s="128"/>
      <c r="BJ643" s="128"/>
    </row>
    <row r="644" spans="1:62" ht="12" customHeight="1">
      <c r="A644" s="791" t="s">
        <v>775</v>
      </c>
      <c r="B644" s="710"/>
      <c r="C644" s="710"/>
      <c r="D644" s="710"/>
      <c r="E644" s="710"/>
      <c r="F644" s="710"/>
      <c r="G644" s="710"/>
      <c r="H644" s="710"/>
      <c r="I644" s="710"/>
      <c r="J644" s="765">
        <v>0.5</v>
      </c>
      <c r="K644" s="710"/>
      <c r="L644" s="146" t="s">
        <v>357</v>
      </c>
      <c r="M644" s="826">
        <v>0.7</v>
      </c>
      <c r="N644" s="710"/>
      <c r="O644" s="248" t="s">
        <v>357</v>
      </c>
      <c r="P644" s="765">
        <v>1</v>
      </c>
      <c r="Q644" s="710"/>
      <c r="R644" s="827" t="s">
        <v>771</v>
      </c>
      <c r="S644" s="710"/>
      <c r="T644" s="710"/>
      <c r="U644" s="710"/>
      <c r="V644" s="710"/>
      <c r="W644" s="710"/>
      <c r="X644" s="710"/>
      <c r="Y644" s="710"/>
      <c r="Z644" s="710"/>
      <c r="AA644" s="710"/>
      <c r="AB644" s="710"/>
      <c r="AC644" s="710"/>
      <c r="AD644" s="710"/>
      <c r="AE644" s="710"/>
      <c r="AF644" s="710"/>
      <c r="AG644" s="710"/>
      <c r="AH644" s="583"/>
      <c r="AI644" s="797">
        <f>'Veri Girişi'!C73/1000</f>
        <v>1.45</v>
      </c>
      <c r="AJ644" s="710"/>
      <c r="AK644" s="248" t="s">
        <v>357</v>
      </c>
      <c r="AL644" s="765">
        <f>'Veri Girişi'!C74/1000</f>
        <v>1.35</v>
      </c>
      <c r="AM644" s="710"/>
      <c r="AN644" s="249" t="s">
        <v>357</v>
      </c>
      <c r="AO644" s="789">
        <f>AI645/1000</f>
        <v>1.01</v>
      </c>
      <c r="AP644" s="583"/>
      <c r="AQ644" s="130"/>
      <c r="AR644" s="130"/>
      <c r="AS644" s="725" t="str">
        <f>IF(AND(J644&lt;=AI644,M644&lt;=AL644,P644&lt;=AO644),"U","UD")</f>
        <v>U</v>
      </c>
      <c r="AT644" s="710"/>
      <c r="AU644" s="583"/>
      <c r="AV644" s="725" t="str">
        <f>IF(M644&lt;=AL644,"U","UD")</f>
        <v>U</v>
      </c>
      <c r="AW644" s="710"/>
      <c r="AX644" s="710"/>
      <c r="AY644" s="583"/>
      <c r="AZ644" s="725" t="str">
        <f>IF(P644&lt;=AO644,"U","UD")</f>
        <v>U</v>
      </c>
      <c r="BA644" s="710"/>
      <c r="BB644" s="583"/>
      <c r="BC644" s="130"/>
      <c r="BD644" s="130"/>
      <c r="BE644" s="130"/>
      <c r="BF644" s="128"/>
      <c r="BG644" s="128"/>
      <c r="BH644" s="128"/>
      <c r="BI644" s="128"/>
      <c r="BJ644" s="128"/>
    </row>
    <row r="645" spans="1:62" ht="24.75" customHeight="1">
      <c r="A645" s="791" t="s">
        <v>776</v>
      </c>
      <c r="B645" s="710"/>
      <c r="C645" s="710"/>
      <c r="D645" s="710"/>
      <c r="E645" s="710"/>
      <c r="F645" s="710"/>
      <c r="G645" s="710"/>
      <c r="H645" s="710"/>
      <c r="I645" s="710"/>
      <c r="J645" s="710"/>
      <c r="K645" s="710"/>
      <c r="L645" s="710"/>
      <c r="M645" s="710"/>
      <c r="N645" s="710"/>
      <c r="O645" s="710"/>
      <c r="P645" s="710"/>
      <c r="Q645" s="710"/>
      <c r="R645" s="710"/>
      <c r="S645" s="710"/>
      <c r="T645" s="710"/>
      <c r="U645" s="710"/>
      <c r="V645" s="710"/>
      <c r="W645" s="710"/>
      <c r="X645" s="710"/>
      <c r="Y645" s="710"/>
      <c r="Z645" s="710"/>
      <c r="AA645" s="710"/>
      <c r="AB645" s="710"/>
      <c r="AC645" s="710"/>
      <c r="AD645" s="761">
        <v>500</v>
      </c>
      <c r="AE645" s="710"/>
      <c r="AF645" s="710"/>
      <c r="AG645" s="836" t="s">
        <v>122</v>
      </c>
      <c r="AH645" s="690"/>
      <c r="AI645" s="763">
        <f>'Veri Girişi'!F118+('Veri Girişi'!B123-'Veri Girişi'!B121)</f>
        <v>1010</v>
      </c>
      <c r="AJ645" s="710"/>
      <c r="AK645" s="710"/>
      <c r="AL645" s="710"/>
      <c r="AM645" s="710"/>
      <c r="AN645" s="710"/>
      <c r="AO645" s="710"/>
      <c r="AP645" s="583"/>
      <c r="AQ645" s="130"/>
      <c r="AR645" s="130"/>
      <c r="AS645" s="725" t="str">
        <f>IF(AD645&lt;AI645,"UYGUNDUR.","UYGUN DEĞİLDİR.")</f>
        <v>UYGUNDUR.</v>
      </c>
      <c r="AT645" s="710"/>
      <c r="AU645" s="710"/>
      <c r="AV645" s="710"/>
      <c r="AW645" s="710"/>
      <c r="AX645" s="710"/>
      <c r="AY645" s="710"/>
      <c r="AZ645" s="710"/>
      <c r="BA645" s="710"/>
      <c r="BB645" s="583"/>
      <c r="BC645" s="130"/>
      <c r="BD645" s="130"/>
      <c r="BE645" s="130"/>
      <c r="BF645" s="128"/>
      <c r="BG645" s="128"/>
      <c r="BH645" s="128"/>
      <c r="BI645" s="128"/>
      <c r="BJ645" s="128"/>
    </row>
    <row r="646" spans="1:62" ht="15" customHeight="1">
      <c r="A646" s="791" t="s">
        <v>777</v>
      </c>
      <c r="B646" s="710"/>
      <c r="C646" s="710"/>
      <c r="D646" s="710"/>
      <c r="E646" s="710"/>
      <c r="F646" s="710"/>
      <c r="G646" s="710"/>
      <c r="H646" s="710"/>
      <c r="I646" s="710"/>
      <c r="J646" s="710"/>
      <c r="K646" s="710"/>
      <c r="L646" s="710"/>
      <c r="M646" s="710"/>
      <c r="N646" s="710"/>
      <c r="O646" s="710"/>
      <c r="P646" s="710"/>
      <c r="Q646" s="710"/>
      <c r="R646" s="710"/>
      <c r="S646" s="710"/>
      <c r="T646" s="710"/>
      <c r="U646" s="710"/>
      <c r="V646" s="710"/>
      <c r="W646" s="710"/>
      <c r="X646" s="710"/>
      <c r="Y646" s="710"/>
      <c r="Z646" s="710"/>
      <c r="AA646" s="710"/>
      <c r="AB646" s="710"/>
      <c r="AC646" s="710"/>
      <c r="AD646" s="761">
        <v>100</v>
      </c>
      <c r="AE646" s="710"/>
      <c r="AF646" s="710"/>
      <c r="AG646" s="810" t="s">
        <v>122</v>
      </c>
      <c r="AH646" s="583"/>
      <c r="AI646" s="763">
        <f>AI645+400-950</f>
        <v>460</v>
      </c>
      <c r="AJ646" s="710"/>
      <c r="AK646" s="710"/>
      <c r="AL646" s="710"/>
      <c r="AM646" s="710"/>
      <c r="AN646" s="710"/>
      <c r="AO646" s="710"/>
      <c r="AP646" s="583"/>
      <c r="AQ646" s="130"/>
      <c r="AR646" s="130"/>
      <c r="AS646" s="725" t="str">
        <f>IF(AD646&lt;AI646,"UYGUNDUR.","UYGUN DEĞİLDİR.")</f>
        <v>UYGUNDUR.</v>
      </c>
      <c r="AT646" s="710"/>
      <c r="AU646" s="710"/>
      <c r="AV646" s="710"/>
      <c r="AW646" s="710"/>
      <c r="AX646" s="710"/>
      <c r="AY646" s="710"/>
      <c r="AZ646" s="710"/>
      <c r="BA646" s="710"/>
      <c r="BB646" s="583"/>
      <c r="BC646" s="130"/>
      <c r="BD646" s="130"/>
      <c r="BE646" s="130"/>
      <c r="BF646" s="128"/>
      <c r="BG646" s="128"/>
      <c r="BH646" s="128"/>
      <c r="BI646" s="128"/>
      <c r="BJ646" s="128"/>
    </row>
    <row r="647" spans="1:62" ht="15" customHeight="1">
      <c r="A647" s="791" t="s">
        <v>778</v>
      </c>
      <c r="B647" s="710"/>
      <c r="C647" s="710"/>
      <c r="D647" s="710"/>
      <c r="E647" s="710"/>
      <c r="F647" s="710"/>
      <c r="G647" s="710"/>
      <c r="H647" s="710"/>
      <c r="I647" s="710"/>
      <c r="J647" s="710"/>
      <c r="K647" s="710"/>
      <c r="L647" s="710"/>
      <c r="M647" s="710"/>
      <c r="N647" s="710"/>
      <c r="O647" s="710"/>
      <c r="P647" s="710"/>
      <c r="Q647" s="710"/>
      <c r="R647" s="710"/>
      <c r="S647" s="710"/>
      <c r="T647" s="710"/>
      <c r="U647" s="710"/>
      <c r="V647" s="710"/>
      <c r="W647" s="710"/>
      <c r="X647" s="710"/>
      <c r="Y647" s="710"/>
      <c r="Z647" s="710"/>
      <c r="AA647" s="710"/>
      <c r="AB647" s="710"/>
      <c r="AC647" s="710"/>
      <c r="AD647" s="761">
        <v>150</v>
      </c>
      <c r="AE647" s="710"/>
      <c r="AF647" s="710"/>
      <c r="AG647" s="803" t="s">
        <v>122</v>
      </c>
      <c r="AH647" s="804"/>
      <c r="AI647" s="763">
        <f>AI645-'Veri Girişi'!F118+270</f>
        <v>280</v>
      </c>
      <c r="AJ647" s="710"/>
      <c r="AK647" s="710"/>
      <c r="AL647" s="710"/>
      <c r="AM647" s="710"/>
      <c r="AN647" s="710"/>
      <c r="AO647" s="710"/>
      <c r="AP647" s="583"/>
      <c r="AQ647" s="130"/>
      <c r="AR647" s="130"/>
      <c r="AS647" s="725" t="str">
        <f>IF(AD647&lt;AI647,"UYGUNDUR.","UYGUN DEĞİLDİR.")</f>
        <v>UYGUNDUR.</v>
      </c>
      <c r="AT647" s="710"/>
      <c r="AU647" s="710"/>
      <c r="AV647" s="710"/>
      <c r="AW647" s="710"/>
      <c r="AX647" s="710"/>
      <c r="AY647" s="710"/>
      <c r="AZ647" s="710"/>
      <c r="BA647" s="710"/>
      <c r="BB647" s="583"/>
      <c r="BC647" s="130"/>
      <c r="BD647" s="130"/>
      <c r="BE647" s="130"/>
      <c r="BF647" s="128"/>
      <c r="BG647" s="128"/>
      <c r="BH647" s="128"/>
      <c r="BI647" s="128"/>
      <c r="BJ647" s="128"/>
    </row>
    <row r="648" spans="1:62" ht="15" customHeight="1">
      <c r="A648" s="791" t="s">
        <v>779</v>
      </c>
      <c r="B648" s="710"/>
      <c r="C648" s="710"/>
      <c r="D648" s="710"/>
      <c r="E648" s="710"/>
      <c r="F648" s="710"/>
      <c r="G648" s="710"/>
      <c r="H648" s="710"/>
      <c r="I648" s="710"/>
      <c r="J648" s="710"/>
      <c r="K648" s="710"/>
      <c r="L648" s="710"/>
      <c r="M648" s="710"/>
      <c r="N648" s="710"/>
      <c r="O648" s="710"/>
      <c r="P648" s="710"/>
      <c r="Q648" s="710"/>
      <c r="R648" s="710"/>
      <c r="S648" s="710"/>
      <c r="T648" s="710"/>
      <c r="U648" s="710"/>
      <c r="V648" s="710"/>
      <c r="W648" s="710"/>
      <c r="X648" s="710"/>
      <c r="Y648" s="710"/>
      <c r="Z648" s="710"/>
      <c r="AA648" s="710"/>
      <c r="AB648" s="710"/>
      <c r="AC648" s="710"/>
      <c r="AD648" s="761">
        <v>300</v>
      </c>
      <c r="AE648" s="710"/>
      <c r="AF648" s="710"/>
      <c r="AG648" s="810" t="s">
        <v>122</v>
      </c>
      <c r="AH648" s="583"/>
      <c r="AI648" s="763">
        <f>AI645-300</f>
        <v>710</v>
      </c>
      <c r="AJ648" s="710"/>
      <c r="AK648" s="710"/>
      <c r="AL648" s="710"/>
      <c r="AM648" s="710"/>
      <c r="AN648" s="710"/>
      <c r="AO648" s="710"/>
      <c r="AP648" s="583"/>
      <c r="AQ648" s="130"/>
      <c r="AR648" s="130"/>
      <c r="AS648" s="725" t="str">
        <f>IF(AD648&lt;AI648,"UYGUNDUR.","UYGUN DEĞİLDİR.")</f>
        <v>UYGUNDUR.</v>
      </c>
      <c r="AT648" s="710"/>
      <c r="AU648" s="710"/>
      <c r="AV648" s="710"/>
      <c r="AW648" s="710"/>
      <c r="AX648" s="710"/>
      <c r="AY648" s="710"/>
      <c r="AZ648" s="710"/>
      <c r="BA648" s="710"/>
      <c r="BB648" s="583"/>
      <c r="BC648" s="130"/>
      <c r="BD648" s="130"/>
      <c r="BE648" s="130"/>
      <c r="BF648" s="128"/>
      <c r="BG648" s="128"/>
      <c r="BH648" s="128"/>
      <c r="BI648" s="128"/>
      <c r="BJ648" s="128"/>
    </row>
    <row r="649" spans="1:62" ht="1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  <c r="AD649" s="245"/>
      <c r="AE649" s="245"/>
      <c r="AF649" s="245"/>
      <c r="AG649" s="140"/>
      <c r="AH649" s="140"/>
      <c r="AI649" s="245"/>
      <c r="AJ649" s="245"/>
      <c r="AK649" s="245"/>
      <c r="AL649" s="245"/>
      <c r="AM649" s="245"/>
      <c r="AN649" s="245"/>
      <c r="AO649" s="245"/>
      <c r="AP649" s="245"/>
      <c r="AQ649" s="130"/>
      <c r="AR649" s="130"/>
      <c r="AS649" s="168"/>
      <c r="AT649" s="168"/>
      <c r="AU649" s="168"/>
      <c r="AV649" s="168"/>
      <c r="AW649" s="168"/>
      <c r="AX649" s="168"/>
      <c r="AY649" s="168"/>
      <c r="AZ649" s="168"/>
      <c r="BA649" s="168"/>
      <c r="BB649" s="168"/>
      <c r="BC649" s="130"/>
      <c r="BD649" s="130"/>
      <c r="BE649" s="130"/>
      <c r="BF649" s="128"/>
      <c r="BG649" s="128"/>
      <c r="BH649" s="128"/>
      <c r="BI649" s="128"/>
      <c r="BJ649" s="128"/>
    </row>
    <row r="650" spans="1:62" ht="1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  <c r="AB650" s="174"/>
      <c r="AC650" s="174"/>
      <c r="AD650" s="245"/>
      <c r="AE650" s="245"/>
      <c r="AF650" s="245"/>
      <c r="AG650" s="140"/>
      <c r="AH650" s="140"/>
      <c r="AI650" s="245"/>
      <c r="AJ650" s="245"/>
      <c r="AK650" s="245"/>
      <c r="AL650" s="245"/>
      <c r="AM650" s="245"/>
      <c r="AN650" s="245"/>
      <c r="AO650" s="245"/>
      <c r="AP650" s="245"/>
      <c r="AQ650" s="130"/>
      <c r="AR650" s="130"/>
      <c r="AS650" s="168"/>
      <c r="AT650" s="168"/>
      <c r="AU650" s="168"/>
      <c r="AV650" s="168"/>
      <c r="AW650" s="168"/>
      <c r="AX650" s="168"/>
      <c r="AY650" s="168"/>
      <c r="AZ650" s="168"/>
      <c r="BA650" s="130"/>
      <c r="BB650" s="168"/>
      <c r="BC650" s="130"/>
      <c r="BD650" s="130"/>
      <c r="BE650" s="130"/>
      <c r="BF650" s="128"/>
      <c r="BG650" s="128"/>
      <c r="BH650" s="128"/>
      <c r="BI650" s="128"/>
      <c r="BJ650" s="128"/>
    </row>
    <row r="651" spans="1:62" ht="1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  <c r="AB651" s="174"/>
      <c r="AC651" s="174"/>
      <c r="AD651" s="245"/>
      <c r="AE651" s="245"/>
      <c r="AF651" s="245"/>
      <c r="AG651" s="140"/>
      <c r="AH651" s="140"/>
      <c r="AI651" s="245"/>
      <c r="AJ651" s="245"/>
      <c r="AK651" s="245"/>
      <c r="AL651" s="245"/>
      <c r="AM651" s="245"/>
      <c r="AN651" s="245"/>
      <c r="AO651" s="245"/>
      <c r="AP651" s="245"/>
      <c r="AQ651" s="130"/>
      <c r="AR651" s="130"/>
      <c r="AS651" s="168"/>
      <c r="AT651" s="168"/>
      <c r="AU651" s="168"/>
      <c r="AV651" s="168"/>
      <c r="AW651" s="168"/>
      <c r="AX651" s="168"/>
      <c r="AY651" s="168"/>
      <c r="AZ651" s="168"/>
      <c r="BA651" s="168"/>
      <c r="BB651" s="168"/>
      <c r="BC651" s="130"/>
      <c r="BD651" s="130"/>
      <c r="BE651" s="130"/>
      <c r="BF651" s="128"/>
      <c r="BG651" s="128"/>
      <c r="BH651" s="128"/>
      <c r="BI651" s="128"/>
      <c r="BJ651" s="128"/>
    </row>
    <row r="652" spans="1:62" ht="12.75" customHeight="1">
      <c r="A652" s="146"/>
      <c r="B652" s="140"/>
      <c r="C652" s="140"/>
      <c r="D652" s="146"/>
      <c r="E652" s="140"/>
      <c r="F652" s="140"/>
      <c r="G652" s="174"/>
      <c r="H652" s="174"/>
      <c r="I652" s="174"/>
      <c r="J652" s="140"/>
      <c r="K652" s="140"/>
      <c r="L652" s="140"/>
      <c r="M652" s="140"/>
      <c r="N652" s="140"/>
      <c r="O652" s="140"/>
      <c r="P652" s="140"/>
      <c r="Q652" s="140"/>
      <c r="R652" s="140"/>
      <c r="S652" s="174"/>
      <c r="T652" s="174"/>
      <c r="U652" s="174"/>
      <c r="V652" s="174"/>
      <c r="W652" s="174"/>
      <c r="X652" s="174"/>
      <c r="Y652" s="140"/>
      <c r="Z652" s="130"/>
      <c r="AA652" s="130"/>
      <c r="AB652" s="130"/>
      <c r="AC652" s="130"/>
      <c r="AD652" s="130"/>
      <c r="AE652" s="130"/>
      <c r="AF652" s="130"/>
      <c r="AG652" s="130"/>
      <c r="AH652" s="130"/>
      <c r="AI652" s="130"/>
      <c r="AJ652" s="128"/>
      <c r="AK652" s="128"/>
      <c r="AL652" s="128"/>
      <c r="AM652" s="140"/>
      <c r="AN652" s="140"/>
      <c r="AO652" s="130"/>
      <c r="AP652" s="130"/>
      <c r="AQ652" s="130"/>
      <c r="AR652" s="130"/>
      <c r="AS652" s="130"/>
      <c r="AT652" s="130"/>
      <c r="AU652" s="130"/>
      <c r="AV652" s="130"/>
      <c r="AW652" s="130"/>
      <c r="AX652" s="128"/>
      <c r="AY652" s="130"/>
      <c r="AZ652" s="130"/>
      <c r="BA652" s="130"/>
      <c r="BB652" s="130"/>
      <c r="BC652" s="130"/>
      <c r="BD652" s="130"/>
      <c r="BE652" s="130"/>
      <c r="BF652" s="128"/>
      <c r="BG652" s="128"/>
      <c r="BH652" s="128"/>
      <c r="BI652" s="128"/>
      <c r="BJ652" s="128"/>
    </row>
    <row r="653" spans="1:62" ht="12.75" customHeight="1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  <c r="AJ653" s="140"/>
      <c r="AK653" s="140"/>
      <c r="AL653" s="140"/>
      <c r="AM653" s="140"/>
      <c r="AN653" s="140"/>
      <c r="AO653" s="130"/>
      <c r="AP653" s="130"/>
      <c r="AQ653" s="130"/>
      <c r="AR653" s="130"/>
      <c r="AS653" s="130"/>
      <c r="AT653" s="130"/>
      <c r="AU653" s="130"/>
      <c r="AV653" s="130"/>
      <c r="AW653" s="130"/>
      <c r="AX653" s="128"/>
      <c r="AY653" s="130"/>
      <c r="AZ653" s="130"/>
      <c r="BA653" s="130"/>
      <c r="BB653" s="130"/>
      <c r="BC653" s="130"/>
      <c r="BD653" s="130"/>
      <c r="BE653" s="130"/>
      <c r="BF653" s="128"/>
      <c r="BG653" s="128"/>
      <c r="BH653" s="128"/>
      <c r="BI653" s="128"/>
      <c r="BJ653" s="128"/>
    </row>
    <row r="654" spans="1:62" ht="12.75" customHeight="1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  <c r="AJ654" s="140"/>
      <c r="AK654" s="140"/>
      <c r="AL654" s="140"/>
      <c r="AM654" s="140"/>
      <c r="AN654" s="140"/>
      <c r="AO654" s="130"/>
      <c r="AP654" s="130"/>
      <c r="AQ654" s="130"/>
      <c r="AR654" s="130"/>
      <c r="AS654" s="130"/>
      <c r="AT654" s="130"/>
      <c r="AU654" s="130"/>
      <c r="AV654" s="130"/>
      <c r="AW654" s="130"/>
      <c r="AX654" s="128"/>
      <c r="AY654" s="130"/>
      <c r="AZ654" s="130"/>
      <c r="BA654" s="130"/>
      <c r="BB654" s="130"/>
      <c r="BC654" s="130"/>
      <c r="BD654" s="130"/>
      <c r="BE654" s="130"/>
      <c r="BF654" s="128"/>
      <c r="BG654" s="128"/>
      <c r="BH654" s="128"/>
      <c r="BI654" s="128"/>
      <c r="BJ654" s="128"/>
    </row>
    <row r="655" spans="1:62" ht="12.75" customHeight="1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  <c r="AJ655" s="140"/>
      <c r="AK655" s="140"/>
      <c r="AL655" s="140"/>
      <c r="AM655" s="140"/>
      <c r="AN655" s="140"/>
      <c r="AO655" s="130"/>
      <c r="AP655" s="130"/>
      <c r="AQ655" s="130"/>
      <c r="AR655" s="130"/>
      <c r="AS655" s="130"/>
      <c r="AT655" s="130"/>
      <c r="AU655" s="130"/>
      <c r="AV655" s="130"/>
      <c r="AW655" s="130"/>
      <c r="AX655" s="128"/>
      <c r="AY655" s="130"/>
      <c r="AZ655" s="130"/>
      <c r="BA655" s="130"/>
      <c r="BB655" s="130"/>
      <c r="BC655" s="130"/>
      <c r="BD655" s="130"/>
      <c r="BE655" s="130"/>
      <c r="BF655" s="128"/>
      <c r="BG655" s="128"/>
      <c r="BH655" s="128"/>
      <c r="BI655" s="128"/>
      <c r="BJ655" s="128"/>
    </row>
    <row r="656" spans="1:62" ht="12.75" customHeight="1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  <c r="AJ656" s="140"/>
      <c r="AK656" s="140"/>
      <c r="AL656" s="140"/>
      <c r="AM656" s="140"/>
      <c r="AN656" s="140"/>
      <c r="AO656" s="130"/>
      <c r="AP656" s="130"/>
      <c r="AQ656" s="130"/>
      <c r="AR656" s="130"/>
      <c r="AS656" s="130"/>
      <c r="AT656" s="130"/>
      <c r="AU656" s="130"/>
      <c r="AV656" s="130"/>
      <c r="AW656" s="130"/>
      <c r="AX656" s="128"/>
      <c r="AY656" s="130"/>
      <c r="AZ656" s="130"/>
      <c r="BA656" s="130"/>
      <c r="BB656" s="130"/>
      <c r="BC656" s="130"/>
      <c r="BD656" s="130"/>
      <c r="BE656" s="130"/>
      <c r="BF656" s="128"/>
      <c r="BG656" s="128"/>
      <c r="BH656" s="128"/>
      <c r="BI656" s="128"/>
      <c r="BJ656" s="128"/>
    </row>
    <row r="657" spans="1:62" ht="12.75" customHeight="1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  <c r="AJ657" s="140"/>
      <c r="AK657" s="140"/>
      <c r="AL657" s="140"/>
      <c r="AM657" s="140"/>
      <c r="AN657" s="140"/>
      <c r="AO657" s="130"/>
      <c r="AP657" s="130"/>
      <c r="AQ657" s="130"/>
      <c r="AR657" s="130"/>
      <c r="AS657" s="130"/>
      <c r="AT657" s="130"/>
      <c r="AU657" s="130"/>
      <c r="AV657" s="130"/>
      <c r="AW657" s="130"/>
      <c r="AX657" s="128"/>
      <c r="AY657" s="130"/>
      <c r="AZ657" s="130"/>
      <c r="BA657" s="130"/>
      <c r="BB657" s="130"/>
      <c r="BC657" s="130"/>
      <c r="BD657" s="130"/>
      <c r="BE657" s="130"/>
      <c r="BF657" s="128"/>
      <c r="BG657" s="128"/>
      <c r="BH657" s="128"/>
      <c r="BI657" s="128"/>
      <c r="BJ657" s="128"/>
    </row>
    <row r="658" spans="1:62" ht="12.75" customHeight="1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  <c r="AJ658" s="140"/>
      <c r="AK658" s="140"/>
      <c r="AL658" s="140"/>
      <c r="AM658" s="140"/>
      <c r="AN658" s="140"/>
      <c r="AO658" s="130"/>
      <c r="AP658" s="130"/>
      <c r="AQ658" s="130"/>
      <c r="AR658" s="130"/>
      <c r="AS658" s="130"/>
      <c r="AT658" s="130"/>
      <c r="AU658" s="130"/>
      <c r="AV658" s="130"/>
      <c r="AW658" s="130"/>
      <c r="AX658" s="128"/>
      <c r="AY658" s="130"/>
      <c r="AZ658" s="130"/>
      <c r="BA658" s="130"/>
      <c r="BB658" s="130"/>
      <c r="BC658" s="130"/>
      <c r="BD658" s="130"/>
      <c r="BE658" s="130"/>
      <c r="BF658" s="128"/>
      <c r="BG658" s="128"/>
      <c r="BH658" s="128"/>
      <c r="BI658" s="128"/>
      <c r="BJ658" s="128"/>
    </row>
    <row r="659" spans="1:62" ht="12.75" customHeight="1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  <c r="AJ659" s="140"/>
      <c r="AK659" s="140"/>
      <c r="AL659" s="140"/>
      <c r="AM659" s="140"/>
      <c r="AN659" s="140"/>
      <c r="AO659" s="130"/>
      <c r="AP659" s="130"/>
      <c r="AQ659" s="130"/>
      <c r="AR659" s="130"/>
      <c r="AS659" s="130"/>
      <c r="AT659" s="130"/>
      <c r="AU659" s="130"/>
      <c r="AV659" s="130"/>
      <c r="AW659" s="130"/>
      <c r="AX659" s="128"/>
      <c r="AY659" s="130"/>
      <c r="AZ659" s="130"/>
      <c r="BA659" s="130"/>
      <c r="BB659" s="130"/>
      <c r="BC659" s="130"/>
      <c r="BD659" s="130"/>
      <c r="BE659" s="130"/>
      <c r="BF659" s="128"/>
      <c r="BG659" s="128"/>
      <c r="BH659" s="128"/>
      <c r="BI659" s="128"/>
      <c r="BJ659" s="128"/>
    </row>
    <row r="660" spans="1:62" ht="12.75" customHeight="1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  <c r="AJ660" s="140"/>
      <c r="AK660" s="140"/>
      <c r="AL660" s="140"/>
      <c r="AM660" s="140"/>
      <c r="AN660" s="140"/>
      <c r="AO660" s="130"/>
      <c r="AP660" s="130"/>
      <c r="AQ660" s="130"/>
      <c r="AR660" s="130"/>
      <c r="AS660" s="130"/>
      <c r="AT660" s="130"/>
      <c r="AU660" s="130"/>
      <c r="AV660" s="130"/>
      <c r="AW660" s="130"/>
      <c r="AX660" s="128"/>
      <c r="AY660" s="130"/>
      <c r="AZ660" s="130"/>
      <c r="BA660" s="130"/>
      <c r="BB660" s="130"/>
      <c r="BC660" s="130"/>
      <c r="BD660" s="130"/>
      <c r="BE660" s="130"/>
      <c r="BF660" s="128"/>
      <c r="BG660" s="128"/>
      <c r="BH660" s="128"/>
      <c r="BI660" s="128"/>
      <c r="BJ660" s="128"/>
    </row>
    <row r="661" spans="1:62" ht="12.75" customHeight="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  <c r="AJ661" s="140"/>
      <c r="AK661" s="140"/>
      <c r="AL661" s="140"/>
      <c r="AM661" s="140"/>
      <c r="AN661" s="140"/>
      <c r="AO661" s="130"/>
      <c r="AP661" s="130"/>
      <c r="AQ661" s="130"/>
      <c r="AR661" s="130"/>
      <c r="AS661" s="130"/>
      <c r="AT661" s="130"/>
      <c r="AU661" s="130"/>
      <c r="AV661" s="130"/>
      <c r="AW661" s="130"/>
      <c r="AX661" s="128"/>
      <c r="AY661" s="130"/>
      <c r="AZ661" s="130"/>
      <c r="BA661" s="130"/>
      <c r="BB661" s="130"/>
      <c r="BC661" s="130"/>
      <c r="BD661" s="130"/>
      <c r="BE661" s="130"/>
      <c r="BF661" s="128"/>
      <c r="BG661" s="128"/>
      <c r="BH661" s="128"/>
      <c r="BI661" s="128"/>
      <c r="BJ661" s="128"/>
    </row>
    <row r="662" spans="1:62" ht="12.75" customHeight="1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  <c r="AJ662" s="140"/>
      <c r="AK662" s="140"/>
      <c r="AL662" s="140"/>
      <c r="AM662" s="140"/>
      <c r="AN662" s="140"/>
      <c r="AO662" s="130"/>
      <c r="AP662" s="130"/>
      <c r="AQ662" s="130"/>
      <c r="AR662" s="130"/>
      <c r="AS662" s="130"/>
      <c r="AT662" s="130"/>
      <c r="AU662" s="130"/>
      <c r="AV662" s="130"/>
      <c r="AW662" s="130"/>
      <c r="AX662" s="128"/>
      <c r="AY662" s="130"/>
      <c r="AZ662" s="130"/>
      <c r="BA662" s="130"/>
      <c r="BB662" s="130"/>
      <c r="BC662" s="130"/>
      <c r="BD662" s="130"/>
      <c r="BE662" s="130"/>
      <c r="BF662" s="128"/>
      <c r="BG662" s="128"/>
      <c r="BH662" s="128"/>
      <c r="BI662" s="128"/>
      <c r="BJ662" s="128"/>
    </row>
    <row r="663" spans="1:62" ht="12.75" customHeight="1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  <c r="AJ663" s="140"/>
      <c r="AK663" s="140"/>
      <c r="AL663" s="140"/>
      <c r="AM663" s="140"/>
      <c r="AN663" s="140"/>
      <c r="AO663" s="130"/>
      <c r="AP663" s="130"/>
      <c r="AQ663" s="130"/>
      <c r="AR663" s="130"/>
      <c r="AS663" s="130"/>
      <c r="AT663" s="130"/>
      <c r="AU663" s="130"/>
      <c r="AV663" s="130"/>
      <c r="AW663" s="130"/>
      <c r="AX663" s="128"/>
      <c r="AY663" s="130"/>
      <c r="AZ663" s="130"/>
      <c r="BA663" s="130"/>
      <c r="BB663" s="130"/>
      <c r="BC663" s="130"/>
      <c r="BD663" s="130"/>
      <c r="BE663" s="130"/>
      <c r="BF663" s="128"/>
      <c r="BG663" s="128"/>
      <c r="BH663" s="128"/>
      <c r="BI663" s="128"/>
      <c r="BJ663" s="128"/>
    </row>
    <row r="664" spans="1:62" ht="12.75" customHeight="1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  <c r="AJ664" s="140"/>
      <c r="AK664" s="140"/>
      <c r="AL664" s="140"/>
      <c r="AM664" s="140"/>
      <c r="AN664" s="140"/>
      <c r="AO664" s="130"/>
      <c r="AP664" s="130"/>
      <c r="AQ664" s="130"/>
      <c r="AR664" s="130"/>
      <c r="AS664" s="130"/>
      <c r="AT664" s="130"/>
      <c r="AU664" s="130"/>
      <c r="AV664" s="130"/>
      <c r="AW664" s="130"/>
      <c r="AX664" s="128"/>
      <c r="AY664" s="130"/>
      <c r="AZ664" s="130"/>
      <c r="BA664" s="130"/>
      <c r="BB664" s="130"/>
      <c r="BC664" s="130"/>
      <c r="BD664" s="130"/>
      <c r="BE664" s="130"/>
      <c r="BF664" s="128"/>
      <c r="BG664" s="128"/>
      <c r="BH664" s="128"/>
      <c r="BI664" s="128"/>
      <c r="BJ664" s="128"/>
    </row>
    <row r="665" spans="1:62" ht="12.75" customHeight="1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  <c r="AJ665" s="140"/>
      <c r="AK665" s="140"/>
      <c r="AL665" s="140"/>
      <c r="AM665" s="140"/>
      <c r="AN665" s="140"/>
      <c r="AO665" s="130"/>
      <c r="AP665" s="130"/>
      <c r="AQ665" s="130"/>
      <c r="AR665" s="130"/>
      <c r="AS665" s="130"/>
      <c r="AT665" s="130"/>
      <c r="AU665" s="130"/>
      <c r="AV665" s="130"/>
      <c r="AW665" s="130"/>
      <c r="AX665" s="128"/>
      <c r="AY665" s="130"/>
      <c r="AZ665" s="130"/>
      <c r="BA665" s="130"/>
      <c r="BB665" s="130"/>
      <c r="BC665" s="130"/>
      <c r="BD665" s="130"/>
      <c r="BE665" s="130"/>
      <c r="BF665" s="128"/>
      <c r="BG665" s="128"/>
      <c r="BH665" s="128"/>
      <c r="BI665" s="128"/>
      <c r="BJ665" s="128"/>
    </row>
    <row r="666" spans="1:62" ht="12.75" customHeight="1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  <c r="AJ666" s="140"/>
      <c r="AK666" s="140"/>
      <c r="AL666" s="140"/>
      <c r="AM666" s="140"/>
      <c r="AN666" s="140"/>
      <c r="AO666" s="130"/>
      <c r="AP666" s="130"/>
      <c r="AQ666" s="130"/>
      <c r="AR666" s="130"/>
      <c r="AS666" s="130"/>
      <c r="AT666" s="130"/>
      <c r="AU666" s="130"/>
      <c r="AV666" s="130"/>
      <c r="AW666" s="130"/>
      <c r="AX666" s="128"/>
      <c r="AY666" s="130"/>
      <c r="AZ666" s="130"/>
      <c r="BA666" s="130"/>
      <c r="BB666" s="130"/>
      <c r="BC666" s="130"/>
      <c r="BD666" s="130"/>
      <c r="BE666" s="130"/>
      <c r="BF666" s="128"/>
      <c r="BG666" s="128"/>
      <c r="BH666" s="128"/>
      <c r="BI666" s="128"/>
      <c r="BJ666" s="128"/>
    </row>
    <row r="667" spans="1:62" ht="12.75" customHeight="1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  <c r="AJ667" s="140"/>
      <c r="AK667" s="140"/>
      <c r="AL667" s="140"/>
      <c r="AM667" s="140"/>
      <c r="AN667" s="140"/>
      <c r="AO667" s="130"/>
      <c r="AP667" s="130"/>
      <c r="AQ667" s="130"/>
      <c r="AR667" s="130"/>
      <c r="AS667" s="130"/>
      <c r="AT667" s="130"/>
      <c r="AU667" s="130"/>
      <c r="AV667" s="130"/>
      <c r="AW667" s="130"/>
      <c r="AX667" s="128"/>
      <c r="AY667" s="130"/>
      <c r="AZ667" s="130"/>
      <c r="BA667" s="130"/>
      <c r="BB667" s="130"/>
      <c r="BC667" s="130"/>
      <c r="BD667" s="130"/>
      <c r="BE667" s="130"/>
      <c r="BF667" s="128"/>
      <c r="BG667" s="128"/>
      <c r="BH667" s="128"/>
      <c r="BI667" s="128"/>
      <c r="BJ667" s="128"/>
    </row>
    <row r="668" spans="1:62" ht="12.75" customHeight="1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  <c r="AJ668" s="140"/>
      <c r="AK668" s="140"/>
      <c r="AL668" s="140"/>
      <c r="AM668" s="140"/>
      <c r="AN668" s="140"/>
      <c r="AO668" s="130"/>
      <c r="AP668" s="130"/>
      <c r="AQ668" s="130"/>
      <c r="AR668" s="130"/>
      <c r="AS668" s="130"/>
      <c r="AT668" s="130"/>
      <c r="AU668" s="130"/>
      <c r="AV668" s="130"/>
      <c r="AW668" s="130"/>
      <c r="AX668" s="128"/>
      <c r="AY668" s="130"/>
      <c r="AZ668" s="130"/>
      <c r="BA668" s="130"/>
      <c r="BB668" s="130"/>
      <c r="BC668" s="130"/>
      <c r="BD668" s="130"/>
      <c r="BE668" s="130"/>
      <c r="BF668" s="128"/>
      <c r="BG668" s="128"/>
      <c r="BH668" s="128"/>
      <c r="BI668" s="128"/>
      <c r="BJ668" s="128"/>
    </row>
    <row r="669" spans="1:62" ht="12.75" customHeight="1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  <c r="AJ669" s="140"/>
      <c r="AK669" s="140"/>
      <c r="AL669" s="140"/>
      <c r="AM669" s="140"/>
      <c r="AN669" s="140"/>
      <c r="AO669" s="130"/>
      <c r="AP669" s="130"/>
      <c r="AQ669" s="130"/>
      <c r="AR669" s="130"/>
      <c r="AS669" s="130"/>
      <c r="AT669" s="130"/>
      <c r="AU669" s="130"/>
      <c r="AV669" s="130"/>
      <c r="AW669" s="130"/>
      <c r="AX669" s="128"/>
      <c r="AY669" s="130"/>
      <c r="AZ669" s="130"/>
      <c r="BA669" s="130"/>
      <c r="BB669" s="130"/>
      <c r="BC669" s="130"/>
      <c r="BD669" s="130"/>
      <c r="BE669" s="130"/>
      <c r="BF669" s="128"/>
      <c r="BG669" s="128"/>
      <c r="BH669" s="128"/>
      <c r="BI669" s="128"/>
      <c r="BJ669" s="128"/>
    </row>
    <row r="670" spans="1:62" ht="12.75" customHeight="1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  <c r="AJ670" s="140"/>
      <c r="AK670" s="140"/>
      <c r="AL670" s="140"/>
      <c r="AM670" s="140"/>
      <c r="AN670" s="140"/>
      <c r="AO670" s="130"/>
      <c r="AP670" s="130"/>
      <c r="AQ670" s="130"/>
      <c r="AR670" s="130"/>
      <c r="AS670" s="130"/>
      <c r="AT670" s="130"/>
      <c r="AU670" s="130"/>
      <c r="AV670" s="130"/>
      <c r="AW670" s="130"/>
      <c r="AX670" s="128"/>
      <c r="AY670" s="130"/>
      <c r="AZ670" s="130"/>
      <c r="BA670" s="130"/>
      <c r="BB670" s="130"/>
      <c r="BC670" s="130"/>
      <c r="BD670" s="130"/>
      <c r="BE670" s="130"/>
      <c r="BF670" s="128"/>
      <c r="BG670" s="128"/>
      <c r="BH670" s="128"/>
      <c r="BI670" s="128"/>
      <c r="BJ670" s="128"/>
    </row>
    <row r="671" spans="1:62" ht="12.75" customHeight="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  <c r="AJ671" s="140"/>
      <c r="AK671" s="140"/>
      <c r="AL671" s="140"/>
      <c r="AM671" s="140"/>
      <c r="AN671" s="140"/>
      <c r="AO671" s="130"/>
      <c r="AP671" s="130"/>
      <c r="AQ671" s="130"/>
      <c r="AR671" s="130"/>
      <c r="AS671" s="130"/>
      <c r="AT671" s="130"/>
      <c r="AU671" s="130"/>
      <c r="AV671" s="130"/>
      <c r="AW671" s="130"/>
      <c r="AX671" s="128"/>
      <c r="AY671" s="130"/>
      <c r="AZ671" s="130"/>
      <c r="BA671" s="130" t="s">
        <v>780</v>
      </c>
      <c r="BB671" s="130"/>
      <c r="BC671" s="130"/>
      <c r="BD671" s="130"/>
      <c r="BE671" s="130"/>
      <c r="BF671" s="128"/>
      <c r="BG671" s="128"/>
      <c r="BH671" s="128"/>
      <c r="BI671" s="128"/>
      <c r="BJ671" s="128"/>
    </row>
    <row r="672" spans="1:62" ht="12.75" customHeight="1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  <c r="AJ672" s="140"/>
      <c r="AK672" s="140"/>
      <c r="AL672" s="140"/>
      <c r="AM672" s="140"/>
      <c r="AN672" s="140"/>
      <c r="AO672" s="130"/>
      <c r="AP672" s="130"/>
      <c r="AQ672" s="130"/>
      <c r="AR672" s="130"/>
      <c r="AS672" s="130"/>
      <c r="AT672" s="130"/>
      <c r="AU672" s="130"/>
      <c r="AV672" s="130"/>
      <c r="AW672" s="130"/>
      <c r="AX672" s="128"/>
      <c r="AY672" s="130"/>
      <c r="AZ672" s="130"/>
      <c r="BA672" s="130"/>
      <c r="BB672" s="130"/>
      <c r="BC672" s="130"/>
      <c r="BD672" s="130"/>
      <c r="BE672" s="130"/>
      <c r="BF672" s="128"/>
      <c r="BG672" s="128"/>
      <c r="BH672" s="128"/>
      <c r="BI672" s="128"/>
      <c r="BJ672" s="128"/>
    </row>
    <row r="673" spans="1:62" ht="12.75" customHeight="1">
      <c r="A673" s="128"/>
      <c r="B673" s="128"/>
      <c r="C673" s="188"/>
      <c r="D673" s="188"/>
      <c r="E673" s="130"/>
      <c r="F673" s="130"/>
      <c r="G673" s="130"/>
      <c r="H673" s="130"/>
      <c r="I673" s="130"/>
      <c r="J673" s="128"/>
      <c r="K673" s="128"/>
      <c r="L673" s="128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28"/>
      <c r="AD673" s="128"/>
      <c r="AE673" s="128"/>
      <c r="AF673" s="128"/>
      <c r="AG673" s="188"/>
      <c r="AH673" s="188"/>
      <c r="AI673" s="188"/>
      <c r="AJ673" s="188"/>
      <c r="AK673" s="188"/>
      <c r="AL673" s="18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</row>
    <row r="674" spans="1:62" ht="12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210"/>
      <c r="AN674" s="210"/>
      <c r="AO674" s="210"/>
      <c r="AP674" s="210"/>
      <c r="AQ674" s="210"/>
      <c r="AR674" s="210"/>
      <c r="AS674" s="210"/>
      <c r="AT674" s="210"/>
      <c r="AU674" s="210"/>
      <c r="AV674" s="210"/>
      <c r="AW674" s="210"/>
      <c r="AX674" s="210"/>
      <c r="AY674" s="210"/>
      <c r="AZ674" s="210"/>
      <c r="BA674" s="210"/>
      <c r="BB674" s="210"/>
      <c r="BC674" s="210"/>
      <c r="BD674" s="210"/>
      <c r="BE674" s="210"/>
      <c r="BF674" s="128"/>
      <c r="BG674" s="128"/>
      <c r="BH674" s="128"/>
      <c r="BI674" s="128"/>
      <c r="BJ674" s="128"/>
    </row>
    <row r="675" spans="1:62" ht="12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210"/>
      <c r="AH675" s="210"/>
      <c r="AI675" s="210"/>
      <c r="AJ675" s="210"/>
      <c r="AK675" s="210"/>
      <c r="AL675" s="210"/>
      <c r="AM675" s="210"/>
      <c r="AN675" s="210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</row>
    <row r="676" spans="1:62" ht="12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210"/>
      <c r="AH676" s="210"/>
      <c r="AI676" s="210"/>
      <c r="AJ676" s="210"/>
      <c r="AK676" s="210"/>
      <c r="AL676" s="210"/>
      <c r="AM676" s="210"/>
      <c r="AN676" s="210"/>
      <c r="AO676" s="210"/>
      <c r="AP676" s="210"/>
      <c r="AQ676" s="210"/>
      <c r="AR676" s="210"/>
      <c r="AS676" s="210"/>
      <c r="AT676" s="210"/>
      <c r="AU676" s="210"/>
      <c r="AV676" s="210"/>
      <c r="AW676" s="210"/>
      <c r="AX676" s="210"/>
      <c r="AY676" s="210"/>
      <c r="AZ676" s="210"/>
      <c r="BA676" s="210"/>
      <c r="BB676" s="210"/>
      <c r="BC676" s="210"/>
      <c r="BD676" s="210"/>
      <c r="BE676" s="210"/>
      <c r="BF676" s="128"/>
      <c r="BG676" s="128"/>
      <c r="BH676" s="128"/>
      <c r="BI676" s="128"/>
      <c r="BJ676" s="128"/>
    </row>
    <row r="677" spans="1:62" ht="12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210"/>
      <c r="AH677" s="210"/>
      <c r="AI677" s="210"/>
      <c r="AJ677" s="210"/>
      <c r="AK677" s="210"/>
      <c r="AL677" s="210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</row>
    <row r="678" spans="1:62" ht="12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</row>
    <row r="679" spans="1:62" ht="12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30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</row>
    <row r="680" spans="1:62" ht="12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30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</row>
    <row r="681" spans="1:62" ht="12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30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</row>
    <row r="682" spans="1:62" ht="12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30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</row>
    <row r="683" spans="1:62" ht="12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30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</row>
    <row r="684" spans="1:62" ht="12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30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</row>
    <row r="685" spans="1:62" ht="12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30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</row>
    <row r="686" spans="1:62" ht="12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30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</row>
    <row r="687" spans="1:62" ht="12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30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</row>
    <row r="688" spans="1:62" ht="12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30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</row>
    <row r="689" spans="1:62" ht="12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30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</row>
    <row r="690" spans="1:62" ht="12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30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</row>
    <row r="691" spans="1:62" ht="12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30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</row>
    <row r="692" spans="1:62" ht="12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30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</row>
    <row r="693" spans="1:62" ht="12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30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</row>
    <row r="694" spans="1:62" ht="12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30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</row>
    <row r="695" spans="1:62" ht="12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30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</row>
    <row r="696" spans="1:62" ht="12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30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</row>
    <row r="697" spans="1:62" ht="12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30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</row>
    <row r="698" spans="1:62" ht="12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30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</row>
    <row r="699" spans="1:62" ht="12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30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</row>
    <row r="700" spans="1:62" ht="12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30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</row>
    <row r="701" spans="1:62" ht="12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30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</row>
    <row r="702" spans="1:62" ht="12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30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</row>
    <row r="703" spans="1:62" ht="12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30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</row>
    <row r="704" spans="1:62" ht="12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30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</row>
    <row r="705" spans="1:62" ht="12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30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</row>
    <row r="706" spans="1:62" ht="12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30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</row>
    <row r="707" spans="1:62" ht="12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30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</row>
    <row r="708" spans="1:62" ht="12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30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</row>
    <row r="709" spans="1:62" ht="12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30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</row>
    <row r="710" spans="1:62" ht="12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30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</row>
    <row r="711" spans="1:62" ht="12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30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</row>
    <row r="712" spans="1:62" ht="12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30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</row>
    <row r="713" spans="1:62" ht="12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30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</row>
    <row r="714" spans="1:62" ht="12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30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</row>
    <row r="715" spans="1:62" ht="12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30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</row>
    <row r="716" spans="1:62" ht="12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30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</row>
    <row r="717" spans="1:62" ht="12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30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</row>
    <row r="718" spans="1:62" ht="12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30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</row>
    <row r="719" spans="1:62" ht="12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30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</row>
    <row r="720" spans="1:62" ht="12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30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</row>
    <row r="721" spans="1:62" ht="12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30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</row>
    <row r="722" spans="1:62" ht="12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30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</row>
    <row r="723" spans="1:62" ht="12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30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</row>
    <row r="724" spans="1:62" ht="12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30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</row>
    <row r="725" spans="1:62" ht="12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30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</row>
    <row r="726" spans="1:62" ht="12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30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</row>
    <row r="727" spans="1:62" ht="12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30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</row>
    <row r="728" spans="1:62" ht="12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30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</row>
    <row r="729" spans="1:62" ht="12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30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</row>
    <row r="730" spans="1:62" ht="12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30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</row>
    <row r="731" spans="1:62" ht="12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30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</row>
    <row r="732" spans="1:62" ht="12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30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</row>
    <row r="733" spans="1:62" ht="12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30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</row>
    <row r="734" spans="1:62" ht="12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30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</row>
    <row r="735" spans="1:62" ht="12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30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</row>
    <row r="736" spans="1:62" ht="12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30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</row>
    <row r="737" spans="1:62" ht="12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30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</row>
    <row r="738" spans="1:62" ht="12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30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</row>
    <row r="739" spans="1:62" ht="12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30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</row>
    <row r="740" spans="1:62" ht="12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30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</row>
    <row r="741" spans="1:62" ht="12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30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</row>
    <row r="742" spans="1:62" ht="12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30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</row>
    <row r="743" spans="1:62" ht="12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30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</row>
    <row r="744" spans="1:62" ht="12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30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</row>
    <row r="745" spans="1:62" ht="12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30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</row>
    <row r="746" spans="1:62" ht="12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30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</row>
    <row r="747" spans="1:62" ht="12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30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</row>
    <row r="748" spans="1:62" ht="12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30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</row>
    <row r="749" spans="1:62" ht="12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30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</row>
    <row r="750" spans="1:62" ht="12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30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</row>
    <row r="751" spans="1:62" ht="12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30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</row>
    <row r="752" spans="1:62" ht="12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30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</row>
    <row r="753" spans="1:62" ht="12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30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</row>
    <row r="754" spans="1:62" ht="12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30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</row>
    <row r="755" spans="1:62" ht="12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30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</row>
    <row r="756" spans="1:62" ht="12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30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</row>
    <row r="757" spans="1:62" ht="12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30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</row>
    <row r="758" spans="1:62" ht="12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30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</row>
    <row r="759" spans="1:62" ht="12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30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</row>
    <row r="760" spans="1:62" ht="12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30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</row>
    <row r="761" spans="1:62" ht="12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30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</row>
    <row r="762" spans="1:62" ht="12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30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</row>
    <row r="763" spans="1:62" ht="12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30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</row>
    <row r="764" spans="1:62" ht="12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30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</row>
    <row r="765" spans="1:62" ht="12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30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</row>
    <row r="766" spans="1:62" ht="12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30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</row>
    <row r="767" spans="1:62" ht="12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30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</row>
    <row r="768" spans="1:62" ht="12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30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</row>
    <row r="769" spans="1:62" ht="12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30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</row>
    <row r="770" spans="1:62" ht="12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30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</row>
    <row r="771" spans="1:62" ht="12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30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</row>
    <row r="772" spans="1:62" ht="12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30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</row>
    <row r="773" spans="1:62" ht="12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30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</row>
    <row r="774" spans="1:62" ht="12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30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</row>
    <row r="775" spans="1:62" ht="12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30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</row>
    <row r="776" spans="1:62" ht="12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30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</row>
    <row r="777" spans="1:62" ht="12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30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</row>
    <row r="778" spans="1:62" ht="12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30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</row>
    <row r="779" spans="1:62" ht="12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30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</row>
    <row r="780" spans="1:62" ht="12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30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</row>
    <row r="781" spans="1:62" ht="12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30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</row>
    <row r="782" spans="1:62" ht="12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30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</row>
    <row r="783" spans="1:62" ht="12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30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</row>
    <row r="784" spans="1:62" ht="12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30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</row>
    <row r="785" spans="1:62" ht="12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30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</row>
    <row r="786" spans="1:62" ht="12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30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</row>
    <row r="787" spans="1:62" ht="12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30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</row>
    <row r="788" spans="1:62" ht="12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30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</row>
    <row r="789" spans="1:62" ht="12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30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</row>
    <row r="790" spans="1:62" ht="12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30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</row>
    <row r="791" spans="1:62" ht="12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30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</row>
    <row r="792" spans="1:62" ht="12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30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</row>
    <row r="793" spans="1:62" ht="12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30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</row>
    <row r="794" spans="1:62" ht="12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30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</row>
    <row r="795" spans="1:62" ht="12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30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</row>
    <row r="796" spans="1:62" ht="12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30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</row>
    <row r="797" spans="1:62" ht="12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30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</row>
    <row r="798" spans="1:62" ht="12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30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</row>
    <row r="799" spans="1:62" ht="12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30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</row>
    <row r="800" spans="1:62" ht="12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30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</row>
    <row r="801" spans="1:62" ht="12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30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</row>
    <row r="802" spans="1:62" ht="12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30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</row>
    <row r="803" spans="1:62" ht="12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30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</row>
    <row r="804" spans="1:62" ht="12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30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</row>
    <row r="805" spans="1:62" ht="12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30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</row>
    <row r="806" spans="1:62" ht="12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30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</row>
    <row r="807" spans="1:62" ht="12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30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</row>
    <row r="808" spans="1:62" ht="12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30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</row>
    <row r="809" spans="1:62" ht="12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30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</row>
    <row r="810" spans="1:62" ht="12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30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</row>
    <row r="811" spans="1:62" ht="12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30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</row>
    <row r="812" spans="1:62" ht="12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30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</row>
    <row r="813" spans="1:62" ht="12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30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</row>
    <row r="814" spans="1:62" ht="12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30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</row>
    <row r="815" spans="1:62" ht="12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30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</row>
    <row r="816" spans="1:62" ht="12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30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</row>
    <row r="817" spans="1:62" ht="12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30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</row>
    <row r="818" spans="1:62" ht="12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30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</row>
    <row r="819" spans="1:62" ht="12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30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</row>
    <row r="820" spans="1:62" ht="12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30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</row>
    <row r="821" spans="1:62" ht="12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30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</row>
    <row r="822" spans="1:62" ht="12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30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</row>
    <row r="823" spans="1:62" ht="12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30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</row>
    <row r="824" spans="1:62" ht="12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30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</row>
    <row r="825" spans="1:62" ht="12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30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</row>
    <row r="826" spans="1:62" ht="12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30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</row>
    <row r="827" spans="1:62" ht="12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30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</row>
    <row r="828" spans="1:62" ht="12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30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</row>
    <row r="829" spans="1:62" ht="12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30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</row>
    <row r="830" spans="1:62" ht="12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30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</row>
    <row r="831" spans="1:62" ht="12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30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</row>
    <row r="832" spans="1:62" ht="12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30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</row>
    <row r="833" spans="1:62" ht="12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30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</row>
    <row r="834" spans="1:62" ht="12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30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</row>
    <row r="835" spans="1:62" ht="12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30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</row>
    <row r="836" spans="1:62" ht="12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30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</row>
    <row r="837" spans="1:62" ht="12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30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</row>
    <row r="838" spans="1:62" ht="12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30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</row>
    <row r="839" spans="1:62" ht="12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30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</row>
    <row r="840" spans="1:62" ht="12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30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</row>
    <row r="841" spans="1:62" ht="12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30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</row>
    <row r="842" spans="1:62" ht="12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30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</row>
    <row r="843" spans="1:62" ht="12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30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</row>
    <row r="844" spans="1:62" ht="12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30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</row>
    <row r="845" spans="1:62" ht="12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30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</row>
    <row r="846" spans="1:62" ht="12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30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</row>
    <row r="847" spans="1:62" ht="12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30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</row>
    <row r="848" spans="1:62" ht="12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30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</row>
    <row r="849" spans="1:62" ht="12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30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</row>
    <row r="850" spans="1:62" ht="12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30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</row>
    <row r="851" spans="1:62" ht="12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30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</row>
    <row r="852" spans="1:62" ht="12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30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</row>
    <row r="853" spans="1:62" ht="12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30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</row>
    <row r="854" spans="1:62" ht="12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30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</row>
    <row r="855" spans="1:62" ht="12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30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</row>
    <row r="856" spans="1:62" ht="12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30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</row>
    <row r="857" spans="1:62" ht="12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30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</row>
    <row r="858" spans="1:62" ht="12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30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</row>
    <row r="859" spans="1:62" ht="12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30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</row>
    <row r="860" spans="1:62" ht="12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30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</row>
    <row r="861" spans="1:62" ht="12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30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</row>
    <row r="862" spans="1:62" ht="12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30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</row>
    <row r="863" spans="1:62" ht="12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30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</row>
    <row r="864" spans="1:62" ht="12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30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</row>
    <row r="865" spans="1:62" ht="12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30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</row>
    <row r="866" spans="1:62" ht="12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30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</row>
    <row r="867" spans="1:62" ht="12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30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</row>
    <row r="868" spans="1:62" ht="12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30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</row>
    <row r="869" spans="1:62" ht="12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30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</row>
    <row r="870" spans="1:62" ht="12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30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</row>
    <row r="871" spans="1:62" ht="12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30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</row>
  </sheetData>
  <mergeCells count="2048">
    <mergeCell ref="AH107:AL107"/>
    <mergeCell ref="O580:O581"/>
    <mergeCell ref="C519:C520"/>
    <mergeCell ref="G257:I257"/>
    <mergeCell ref="AN576:AO576"/>
    <mergeCell ref="AB463:AB464"/>
    <mergeCell ref="AR172:BA172"/>
    <mergeCell ref="R312:R313"/>
    <mergeCell ref="A335:B336"/>
    <mergeCell ref="AG470:AG471"/>
    <mergeCell ref="Z327:AB327"/>
    <mergeCell ref="AG261:AG262"/>
    <mergeCell ref="O629:Q629"/>
    <mergeCell ref="D237:E237"/>
    <mergeCell ref="R369:T369"/>
    <mergeCell ref="AN418:AO418"/>
    <mergeCell ref="A324:B325"/>
    <mergeCell ref="D266:E266"/>
    <mergeCell ref="D570:H570"/>
    <mergeCell ref="P396:P397"/>
    <mergeCell ref="D456:K456"/>
    <mergeCell ref="K562:L562"/>
    <mergeCell ref="AT347:AT348"/>
    <mergeCell ref="C600:E601"/>
    <mergeCell ref="D267:M267"/>
    <mergeCell ref="D419:G419"/>
    <mergeCell ref="X283:AA283"/>
    <mergeCell ref="S611:T612"/>
    <mergeCell ref="AI526:AJ527"/>
    <mergeCell ref="Y312:Y313"/>
    <mergeCell ref="T580:V581"/>
    <mergeCell ref="A554:B554"/>
    <mergeCell ref="BB611:BC612"/>
    <mergeCell ref="D448:G448"/>
    <mergeCell ref="AU351:AY352"/>
    <mergeCell ref="A556:B556"/>
    <mergeCell ref="AL600:AM601"/>
    <mergeCell ref="O211:P212"/>
    <mergeCell ref="Y569:Z570"/>
    <mergeCell ref="AS648:BB648"/>
    <mergeCell ref="R545:S546"/>
    <mergeCell ref="E134:AH134"/>
    <mergeCell ref="AH125:AQ125"/>
    <mergeCell ref="Y616:AA616"/>
    <mergeCell ref="AS341:BB341"/>
    <mergeCell ref="AF575:AH576"/>
    <mergeCell ref="AM556:AN556"/>
    <mergeCell ref="O285:Q285"/>
    <mergeCell ref="Z232:Z233"/>
    <mergeCell ref="Q456:AB456"/>
    <mergeCell ref="Q538:X538"/>
    <mergeCell ref="AN348:AO348"/>
    <mergeCell ref="AJ247:AJ248"/>
    <mergeCell ref="AM130:AO130"/>
    <mergeCell ref="L435:O436"/>
    <mergeCell ref="AQ237:AQ238"/>
    <mergeCell ref="AM551:AN551"/>
    <mergeCell ref="Z252:Z253"/>
    <mergeCell ref="J330:K331"/>
    <mergeCell ref="AI149:AJ149"/>
    <mergeCell ref="AC405:AF405"/>
    <mergeCell ref="BC327:BC328"/>
    <mergeCell ref="Q374:R374"/>
    <mergeCell ref="AD232:AF233"/>
    <mergeCell ref="P182:R182"/>
    <mergeCell ref="AA267:AC267"/>
    <mergeCell ref="AV365:BE365"/>
    <mergeCell ref="A237:B238"/>
    <mergeCell ref="AK575:AL576"/>
    <mergeCell ref="AK603:AK604"/>
    <mergeCell ref="AI130:AL130"/>
    <mergeCell ref="AN511:AO511"/>
    <mergeCell ref="S523:S524"/>
    <mergeCell ref="AH261:AH262"/>
    <mergeCell ref="AM362:AM363"/>
    <mergeCell ref="R116:T116"/>
    <mergeCell ref="AI132:AL132"/>
    <mergeCell ref="D324:G324"/>
    <mergeCell ref="K537:M538"/>
    <mergeCell ref="L415:O416"/>
    <mergeCell ref="U498:Y498"/>
    <mergeCell ref="Q321:R322"/>
    <mergeCell ref="AN575:AO575"/>
    <mergeCell ref="L396:M397"/>
    <mergeCell ref="F404:J404"/>
    <mergeCell ref="V468:X468"/>
    <mergeCell ref="AD261:AF262"/>
    <mergeCell ref="A297:B297"/>
    <mergeCell ref="AI455:AJ456"/>
    <mergeCell ref="AJ275:AJ276"/>
    <mergeCell ref="AD327:AE327"/>
    <mergeCell ref="L184:N184"/>
    <mergeCell ref="L227:N228"/>
    <mergeCell ref="C266:C267"/>
    <mergeCell ref="AL481:AU482"/>
    <mergeCell ref="A351:B352"/>
    <mergeCell ref="AG648:AH648"/>
    <mergeCell ref="AF283:AJ283"/>
    <mergeCell ref="AA627:AC627"/>
    <mergeCell ref="C455:C456"/>
    <mergeCell ref="AI134:AL134"/>
    <mergeCell ref="D221:P221"/>
    <mergeCell ref="AP369:AY369"/>
    <mergeCell ref="AJ232:AJ233"/>
    <mergeCell ref="X452:Y453"/>
    <mergeCell ref="Y595:Y596"/>
    <mergeCell ref="AC82:AE82"/>
    <mergeCell ref="Q309:Q310"/>
    <mergeCell ref="Z384:AB385"/>
    <mergeCell ref="A569:B570"/>
    <mergeCell ref="AO212:AQ212"/>
    <mergeCell ref="Z588:AB588"/>
    <mergeCell ref="AH103:AL103"/>
    <mergeCell ref="Q603:Q604"/>
    <mergeCell ref="N354:O355"/>
    <mergeCell ref="AD122:AF122"/>
    <mergeCell ref="L590:L591"/>
    <mergeCell ref="AA253:AC253"/>
    <mergeCell ref="Z261:Z262"/>
    <mergeCell ref="AC384:AC385"/>
    <mergeCell ref="AV527:AW527"/>
    <mergeCell ref="AL225:AP225"/>
    <mergeCell ref="C351:C352"/>
    <mergeCell ref="AU247:AU248"/>
    <mergeCell ref="AT275:AT276"/>
    <mergeCell ref="AU432:AV432"/>
    <mergeCell ref="AN261:AO262"/>
    <mergeCell ref="P415:Q416"/>
    <mergeCell ref="G627:O627"/>
    <mergeCell ref="AT330:AT331"/>
    <mergeCell ref="K240:L240"/>
    <mergeCell ref="AR122:BA122"/>
    <mergeCell ref="P639:Q639"/>
    <mergeCell ref="AE9:AG9"/>
    <mergeCell ref="P498:P499"/>
    <mergeCell ref="AJ362:AL363"/>
    <mergeCell ref="AF569:AH570"/>
    <mergeCell ref="L542:M543"/>
    <mergeCell ref="AR438:AS439"/>
    <mergeCell ref="A427:B428"/>
    <mergeCell ref="AG646:AH646"/>
    <mergeCell ref="P487:P488"/>
    <mergeCell ref="M146:M147"/>
    <mergeCell ref="AN240:AO240"/>
    <mergeCell ref="A572:B573"/>
    <mergeCell ref="D611:E612"/>
    <mergeCell ref="AE75:AG75"/>
    <mergeCell ref="AQ19:AT19"/>
    <mergeCell ref="X126:Z126"/>
    <mergeCell ref="T237:U238"/>
    <mergeCell ref="AH297:AL297"/>
    <mergeCell ref="X546:AA546"/>
    <mergeCell ref="Z455:AA455"/>
    <mergeCell ref="C371:D372"/>
    <mergeCell ref="AU427:AW428"/>
    <mergeCell ref="AK583:AK584"/>
    <mergeCell ref="AR237:AR238"/>
    <mergeCell ref="AH299:AL299"/>
    <mergeCell ref="Z257:AI257"/>
    <mergeCell ref="AU275:AU276"/>
    <mergeCell ref="AQ21:AT21"/>
    <mergeCell ref="AX324:BB325"/>
    <mergeCell ref="X397:AA397"/>
    <mergeCell ref="Q477:X477"/>
    <mergeCell ref="AX438:BB439"/>
    <mergeCell ref="AH300:AL300"/>
    <mergeCell ref="Z312:AB313"/>
    <mergeCell ref="W309:X310"/>
    <mergeCell ref="Y338:Z339"/>
    <mergeCell ref="AR427:AS428"/>
    <mergeCell ref="A526:B527"/>
    <mergeCell ref="N125:P125"/>
    <mergeCell ref="O222:Q222"/>
    <mergeCell ref="I611:I612"/>
    <mergeCell ref="AQ545:AZ546"/>
    <mergeCell ref="N280:N281"/>
    <mergeCell ref="U600:Y600"/>
    <mergeCell ref="E135:AH135"/>
    <mergeCell ref="T266:U267"/>
    <mergeCell ref="T347:V347"/>
    <mergeCell ref="AH301:AL301"/>
    <mergeCell ref="AU611:AV612"/>
    <mergeCell ref="AR266:AR267"/>
    <mergeCell ref="AW276:AZ276"/>
    <mergeCell ref="T452:V453"/>
    <mergeCell ref="W611:X612"/>
    <mergeCell ref="S505:T506"/>
    <mergeCell ref="O223:Q223"/>
    <mergeCell ref="AH303:AL303"/>
    <mergeCell ref="Q355:AF355"/>
    <mergeCell ref="K126:L126"/>
    <mergeCell ref="A344:B345"/>
    <mergeCell ref="AB41:AF41"/>
    <mergeCell ref="AB35:AF35"/>
    <mergeCell ref="X394:AA394"/>
    <mergeCell ref="AK514:AN514"/>
    <mergeCell ref="C495:E496"/>
    <mergeCell ref="J508:K509"/>
    <mergeCell ref="AL455:AN456"/>
    <mergeCell ref="Q252:R252"/>
    <mergeCell ref="AQ7:AT7"/>
    <mergeCell ref="A17:B17"/>
    <mergeCell ref="Q498:Q499"/>
    <mergeCell ref="I250:J250"/>
    <mergeCell ref="A53:B53"/>
    <mergeCell ref="S310:T310"/>
    <mergeCell ref="AM575:AM576"/>
    <mergeCell ref="O330:R330"/>
    <mergeCell ref="O324:R324"/>
    <mergeCell ref="A447:B448"/>
    <mergeCell ref="A19:B19"/>
    <mergeCell ref="S309:T309"/>
    <mergeCell ref="AN427:AO427"/>
    <mergeCell ref="AQ8:AT8"/>
    <mergeCell ref="K481:M482"/>
    <mergeCell ref="P269:Q269"/>
    <mergeCell ref="M118:N118"/>
    <mergeCell ref="AQ10:AT10"/>
    <mergeCell ref="M331:V331"/>
    <mergeCell ref="O452:O453"/>
    <mergeCell ref="K257:M257"/>
    <mergeCell ref="AP365:AS365"/>
    <mergeCell ref="AF463:AF464"/>
    <mergeCell ref="D523:I524"/>
    <mergeCell ref="A645:AC645"/>
    <mergeCell ref="AM253:AO253"/>
    <mergeCell ref="AC232:AC233"/>
    <mergeCell ref="F532:K532"/>
    <mergeCell ref="A550:B550"/>
    <mergeCell ref="T324:V324"/>
    <mergeCell ref="S255:T255"/>
    <mergeCell ref="V421:W422"/>
    <mergeCell ref="Q380:X380"/>
    <mergeCell ref="AR124:BA124"/>
    <mergeCell ref="L269:N269"/>
    <mergeCell ref="I266:J266"/>
    <mergeCell ref="AP360:AY360"/>
    <mergeCell ref="F533:K533"/>
    <mergeCell ref="E371:E372"/>
    <mergeCell ref="AX432:AY432"/>
    <mergeCell ref="AR447:AS448"/>
    <mergeCell ref="AO321:AP322"/>
    <mergeCell ref="B600:B601"/>
    <mergeCell ref="AC601:AF601"/>
    <mergeCell ref="S580:S581"/>
    <mergeCell ref="L600:M601"/>
    <mergeCell ref="J156:M156"/>
    <mergeCell ref="AA600:AF600"/>
    <mergeCell ref="Q482:X482"/>
    <mergeCell ref="AL351:AL352"/>
    <mergeCell ref="A379:C380"/>
    <mergeCell ref="AN438:AO438"/>
    <mergeCell ref="N537:P538"/>
    <mergeCell ref="P424:Q425"/>
    <mergeCell ref="AH401:AJ402"/>
    <mergeCell ref="U543:V543"/>
    <mergeCell ref="AN447:AO447"/>
    <mergeCell ref="AG616:AH617"/>
    <mergeCell ref="AV232:AV233"/>
    <mergeCell ref="A250:B250"/>
    <mergeCell ref="AE432:AG432"/>
    <mergeCell ref="S58:T58"/>
    <mergeCell ref="AX519:BB520"/>
    <mergeCell ref="A415:B416"/>
    <mergeCell ref="J444:K445"/>
    <mergeCell ref="T182:V182"/>
    <mergeCell ref="A146:J147"/>
    <mergeCell ref="A206:B207"/>
    <mergeCell ref="D418:G418"/>
    <mergeCell ref="V369:X369"/>
    <mergeCell ref="AK438:AL439"/>
    <mergeCell ref="AU347:AW348"/>
    <mergeCell ref="Q481:S481"/>
    <mergeCell ref="L225:L226"/>
    <mergeCell ref="AM511:AM512"/>
    <mergeCell ref="Q595:S595"/>
    <mergeCell ref="E232:F232"/>
    <mergeCell ref="Q174:S174"/>
    <mergeCell ref="AR59:BA59"/>
    <mergeCell ref="AT505:AU505"/>
    <mergeCell ref="R221:U221"/>
    <mergeCell ref="AP351:AQ352"/>
    <mergeCell ref="C590:D591"/>
    <mergeCell ref="Z242:AI242"/>
    <mergeCell ref="C342:N342"/>
    <mergeCell ref="P583:P584"/>
    <mergeCell ref="N126:P126"/>
    <mergeCell ref="O611:O612"/>
    <mergeCell ref="A8:B8"/>
    <mergeCell ref="AF447:AH448"/>
    <mergeCell ref="AH552:AL552"/>
    <mergeCell ref="AD384:AF385"/>
    <mergeCell ref="AL644:AM644"/>
    <mergeCell ref="L182:M182"/>
    <mergeCell ref="A463:B464"/>
    <mergeCell ref="D226:K226"/>
    <mergeCell ref="A10:B10"/>
    <mergeCell ref="A438:B439"/>
    <mergeCell ref="X523:Y524"/>
    <mergeCell ref="AD588:AF588"/>
    <mergeCell ref="AK495:AK496"/>
    <mergeCell ref="AB37:AF37"/>
    <mergeCell ref="AL379:AU380"/>
    <mergeCell ref="D526:K526"/>
    <mergeCell ref="AU575:AW576"/>
    <mergeCell ref="AH122:AJ122"/>
    <mergeCell ref="D96:E96"/>
    <mergeCell ref="F464:K464"/>
    <mergeCell ref="P404:P405"/>
    <mergeCell ref="AC496:AF496"/>
    <mergeCell ref="AN428:AO428"/>
    <mergeCell ref="AV371:BE372"/>
    <mergeCell ref="AC488:AF488"/>
    <mergeCell ref="C401:E402"/>
    <mergeCell ref="AL487:AL488"/>
    <mergeCell ref="AB347:AE348"/>
    <mergeCell ref="AC595:AC596"/>
    <mergeCell ref="S312:T312"/>
    <mergeCell ref="AQ11:AT11"/>
    <mergeCell ref="C247:C248"/>
    <mergeCell ref="A646:AC646"/>
    <mergeCell ref="BD276:BE276"/>
    <mergeCell ref="E362:E363"/>
    <mergeCell ref="U590:U591"/>
    <mergeCell ref="AI647:AP647"/>
    <mergeCell ref="AB575:AE576"/>
    <mergeCell ref="A648:AC648"/>
    <mergeCell ref="AB32:AF32"/>
    <mergeCell ref="AG247:AG248"/>
    <mergeCell ref="AE21:AF21"/>
    <mergeCell ref="T487:T488"/>
    <mergeCell ref="A647:AC647"/>
    <mergeCell ref="J639:K639"/>
    <mergeCell ref="L404:M405"/>
    <mergeCell ref="A595:C596"/>
    <mergeCell ref="AM569:AM570"/>
    <mergeCell ref="AH495:AJ496"/>
    <mergeCell ref="AL537:AU538"/>
    <mergeCell ref="AH550:AL550"/>
    <mergeCell ref="AR519:AS520"/>
    <mergeCell ref="I269:J269"/>
    <mergeCell ref="E207:L207"/>
    <mergeCell ref="R603:S604"/>
    <mergeCell ref="A21:B21"/>
    <mergeCell ref="N240:O240"/>
    <mergeCell ref="A362:B363"/>
    <mergeCell ref="AK427:AL428"/>
    <mergeCell ref="D281:M281"/>
    <mergeCell ref="X412:Y412"/>
    <mergeCell ref="AI206:AJ207"/>
    <mergeCell ref="A23:B23"/>
    <mergeCell ref="J537:J538"/>
    <mergeCell ref="Q470:S471"/>
    <mergeCell ref="Z97:AI97"/>
    <mergeCell ref="A636:AC636"/>
    <mergeCell ref="AN331:AO331"/>
    <mergeCell ref="Y384:Y385"/>
    <mergeCell ref="A545:A546"/>
    <mergeCell ref="G617:L617"/>
    <mergeCell ref="BD248:BE248"/>
    <mergeCell ref="U156:X156"/>
    <mergeCell ref="X499:AA499"/>
    <mergeCell ref="T470:V471"/>
    <mergeCell ref="AU206:AX207"/>
    <mergeCell ref="BD247:BE247"/>
    <mergeCell ref="H275:I275"/>
    <mergeCell ref="AN362:AP363"/>
    <mergeCell ref="V412:W413"/>
    <mergeCell ref="AC546:AF546"/>
    <mergeCell ref="AK351:AK352"/>
    <mergeCell ref="E463:E464"/>
    <mergeCell ref="AL545:AL546"/>
    <mergeCell ref="D278:G278"/>
    <mergeCell ref="Q393:Q394"/>
    <mergeCell ref="R498:S499"/>
    <mergeCell ref="V533:AD533"/>
    <mergeCell ref="W464:AA464"/>
    <mergeCell ref="AJ198:AL198"/>
    <mergeCell ref="M452:N453"/>
    <mergeCell ref="G97:I97"/>
    <mergeCell ref="AN206:AP206"/>
    <mergeCell ref="P611:Q612"/>
    <mergeCell ref="Q401:Q402"/>
    <mergeCell ref="AA603:AF603"/>
    <mergeCell ref="O53:S53"/>
    <mergeCell ref="AB198:AC198"/>
    <mergeCell ref="D512:G512"/>
    <mergeCell ref="A327:B328"/>
    <mergeCell ref="F122:H122"/>
    <mergeCell ref="Z441:AB441"/>
    <mergeCell ref="AD523:AD524"/>
    <mergeCell ref="AF182:AH182"/>
    <mergeCell ref="A287:AI287"/>
    <mergeCell ref="D235:F235"/>
    <mergeCell ref="U396:Y396"/>
    <mergeCell ref="R639:AH639"/>
    <mergeCell ref="C327:N327"/>
    <mergeCell ref="AG335:AI335"/>
    <mergeCell ref="C232:C233"/>
    <mergeCell ref="N526:O527"/>
    <mergeCell ref="K490:K491"/>
    <mergeCell ref="J611:N611"/>
    <mergeCell ref="S452:S453"/>
    <mergeCell ref="Q232:R232"/>
    <mergeCell ref="B161:E161"/>
    <mergeCell ref="U394:V394"/>
    <mergeCell ref="AG393:AG394"/>
    <mergeCell ref="B498:B499"/>
    <mergeCell ref="B162:E162"/>
    <mergeCell ref="W627:Y627"/>
    <mergeCell ref="AF235:AH235"/>
    <mergeCell ref="AH393:AJ394"/>
    <mergeCell ref="AB225:AD226"/>
    <mergeCell ref="X421:Y421"/>
    <mergeCell ref="AA498:AF498"/>
    <mergeCell ref="P312:P313"/>
    <mergeCell ref="AO644:AP644"/>
    <mergeCell ref="AA396:AF396"/>
    <mergeCell ref="AN338:AO338"/>
    <mergeCell ref="C567:O567"/>
    <mergeCell ref="A611:B612"/>
    <mergeCell ref="S264:T264"/>
    <mergeCell ref="C280:C281"/>
    <mergeCell ref="AI638:AP638"/>
    <mergeCell ref="AM427:AM428"/>
    <mergeCell ref="AM393:AN394"/>
    <mergeCell ref="U505:W505"/>
    <mergeCell ref="J324:K325"/>
    <mergeCell ref="F543:J543"/>
    <mergeCell ref="B140:D140"/>
    <mergeCell ref="AH220:AK220"/>
    <mergeCell ref="S280:S281"/>
    <mergeCell ref="AG588:AJ588"/>
    <mergeCell ref="AG595:AJ596"/>
    <mergeCell ref="AA412:AC412"/>
    <mergeCell ref="C511:C512"/>
    <mergeCell ref="AF590:AG591"/>
    <mergeCell ref="N562:P562"/>
    <mergeCell ref="C206:C207"/>
    <mergeCell ref="AM374:AO374"/>
    <mergeCell ref="AM351:AN352"/>
    <mergeCell ref="AL595:AU596"/>
    <mergeCell ref="AK335:AL335"/>
    <mergeCell ref="T621:V621"/>
    <mergeCell ref="U405:V405"/>
    <mergeCell ref="C441:S441"/>
    <mergeCell ref="AM156:AV156"/>
    <mergeCell ref="AI636:AP636"/>
    <mergeCell ref="I57:L57"/>
    <mergeCell ref="U161:AD162"/>
    <mergeCell ref="AK616:AL617"/>
    <mergeCell ref="C438:C439"/>
    <mergeCell ref="H75:I75"/>
    <mergeCell ref="AS640:BB640"/>
    <mergeCell ref="K242:M242"/>
    <mergeCell ref="AW247:AX247"/>
    <mergeCell ref="C569:C570"/>
    <mergeCell ref="M520:V520"/>
    <mergeCell ref="AM557:AN557"/>
    <mergeCell ref="T55:W55"/>
    <mergeCell ref="X488:AA488"/>
    <mergeCell ref="AM129:AO129"/>
    <mergeCell ref="M470:M471"/>
    <mergeCell ref="Z369:AB369"/>
    <mergeCell ref="A252:B253"/>
    <mergeCell ref="C566:O566"/>
    <mergeCell ref="P354:P355"/>
    <mergeCell ref="A634:AH634"/>
    <mergeCell ref="H235:I235"/>
    <mergeCell ref="AK455:AK456"/>
    <mergeCell ref="L519:L520"/>
    <mergeCell ref="AQ327:AT327"/>
    <mergeCell ref="AT447:AT448"/>
    <mergeCell ref="AT211:AU212"/>
    <mergeCell ref="AM487:AN488"/>
    <mergeCell ref="Q404:Q405"/>
    <mergeCell ref="L330:L331"/>
    <mergeCell ref="D447:G447"/>
    <mergeCell ref="Z612:AJ612"/>
    <mergeCell ref="AA365:AC365"/>
    <mergeCell ref="AQ9:AT9"/>
    <mergeCell ref="AB36:AD36"/>
    <mergeCell ref="AK252:AL253"/>
    <mergeCell ref="AR173:BA173"/>
    <mergeCell ref="E470:E471"/>
    <mergeCell ref="AA338:AA339"/>
    <mergeCell ref="U499:V499"/>
    <mergeCell ref="C121:D121"/>
    <mergeCell ref="AB67:AD67"/>
    <mergeCell ref="AB523:AC524"/>
    <mergeCell ref="Y476:Y477"/>
    <mergeCell ref="D576:H576"/>
    <mergeCell ref="U379:X379"/>
    <mergeCell ref="AU569:AW570"/>
    <mergeCell ref="Q220:Q221"/>
    <mergeCell ref="B142:D142"/>
    <mergeCell ref="AH232:AH233"/>
    <mergeCell ref="Y575:Z576"/>
    <mergeCell ref="M512:V512"/>
    <mergeCell ref="A99:AX99"/>
    <mergeCell ref="X142:AH142"/>
    <mergeCell ref="AM330:AM331"/>
    <mergeCell ref="AV354:AW354"/>
    <mergeCell ref="AM447:AM448"/>
    <mergeCell ref="V192:X192"/>
    <mergeCell ref="O511:R511"/>
    <mergeCell ref="Y351:AA351"/>
    <mergeCell ref="AH532:AH533"/>
    <mergeCell ref="T404:T405"/>
    <mergeCell ref="Z151:AA152"/>
    <mergeCell ref="AG461:AJ461"/>
    <mergeCell ref="L508:O509"/>
    <mergeCell ref="AS647:BB647"/>
    <mergeCell ref="AD506:AE506"/>
    <mergeCell ref="AD84:AF84"/>
    <mergeCell ref="BC275:BC276"/>
    <mergeCell ref="AF269:AJ269"/>
    <mergeCell ref="AS342:BB342"/>
    <mergeCell ref="AD505:AE505"/>
    <mergeCell ref="AN232:AO233"/>
    <mergeCell ref="AO335:AP336"/>
    <mergeCell ref="M639:N639"/>
    <mergeCell ref="F394:J394"/>
    <mergeCell ref="M439:V439"/>
    <mergeCell ref="U601:V601"/>
    <mergeCell ref="O438:R438"/>
    <mergeCell ref="A261:B262"/>
    <mergeCell ref="D151:G152"/>
    <mergeCell ref="D352:K352"/>
    <mergeCell ref="D338:G338"/>
    <mergeCell ref="L444:O445"/>
    <mergeCell ref="D351:K351"/>
    <mergeCell ref="Q385:X385"/>
    <mergeCell ref="AQ603:AZ604"/>
    <mergeCell ref="AJ252:AJ253"/>
    <mergeCell ref="U174:W174"/>
    <mergeCell ref="R566:S567"/>
    <mergeCell ref="AO327:AP328"/>
    <mergeCell ref="J519:K520"/>
    <mergeCell ref="X365:Y365"/>
    <mergeCell ref="AK338:AL339"/>
    <mergeCell ref="F405:J405"/>
    <mergeCell ref="AD526:AF526"/>
    <mergeCell ref="AD220:AE220"/>
    <mergeCell ref="AG645:AH645"/>
    <mergeCell ref="AK447:AL448"/>
    <mergeCell ref="R590:T591"/>
    <mergeCell ref="BC247:BC248"/>
    <mergeCell ref="AC312:AD313"/>
    <mergeCell ref="AN512:AO512"/>
    <mergeCell ref="AN616:AP617"/>
    <mergeCell ref="Z271:AI271"/>
    <mergeCell ref="O427:R427"/>
    <mergeCell ref="AI133:AL133"/>
    <mergeCell ref="D325:G325"/>
    <mergeCell ref="Q396:Q397"/>
    <mergeCell ref="AI135:AL135"/>
    <mergeCell ref="AG495:AG496"/>
    <mergeCell ref="Y418:Z419"/>
    <mergeCell ref="AP421:AR421"/>
    <mergeCell ref="N481:P482"/>
    <mergeCell ref="AI261:AI262"/>
    <mergeCell ref="D248:U248"/>
    <mergeCell ref="AJ351:AJ352"/>
    <mergeCell ref="AH374:AK374"/>
    <mergeCell ref="AI627:AK627"/>
    <mergeCell ref="AR171:BA171"/>
    <mergeCell ref="P526:P527"/>
    <mergeCell ref="AR511:AS512"/>
    <mergeCell ref="BC321:BC322"/>
    <mergeCell ref="C321:N321"/>
    <mergeCell ref="AD247:AF248"/>
    <mergeCell ref="AC207:AD207"/>
    <mergeCell ref="T280:U281"/>
    <mergeCell ref="AB573:AE573"/>
    <mergeCell ref="C427:C428"/>
    <mergeCell ref="AQ22:AT22"/>
    <mergeCell ref="D569:H569"/>
    <mergeCell ref="Y514:AA514"/>
    <mergeCell ref="Z280:Z281"/>
    <mergeCell ref="AC499:AF499"/>
    <mergeCell ref="AP530:AY530"/>
    <mergeCell ref="AD441:AF441"/>
    <mergeCell ref="AQ45:AS45"/>
    <mergeCell ref="AA432:AC432"/>
    <mergeCell ref="AJ182:AL182"/>
    <mergeCell ref="AD537:AF538"/>
    <mergeCell ref="M580:N581"/>
    <mergeCell ref="P435:Q436"/>
    <mergeCell ref="D252:E252"/>
    <mergeCell ref="K545:K546"/>
    <mergeCell ref="M161:S162"/>
    <mergeCell ref="R583:U583"/>
    <mergeCell ref="AS232:AS233"/>
    <mergeCell ref="D580:I581"/>
    <mergeCell ref="C336:N336"/>
    <mergeCell ref="C421:S421"/>
    <mergeCell ref="AC394:AF394"/>
    <mergeCell ref="AE421:AG421"/>
    <mergeCell ref="Z341:AB341"/>
    <mergeCell ref="AI532:AJ533"/>
    <mergeCell ref="L347:L348"/>
    <mergeCell ref="AN325:AO325"/>
    <mergeCell ref="W312:X313"/>
    <mergeCell ref="AV583:AW583"/>
    <mergeCell ref="D206:D207"/>
    <mergeCell ref="AF338:AH339"/>
    <mergeCell ref="O257:Q257"/>
    <mergeCell ref="A22:B22"/>
    <mergeCell ref="V280:V281"/>
    <mergeCell ref="AD514:AE514"/>
    <mergeCell ref="AE365:AG365"/>
    <mergeCell ref="U341:W341"/>
    <mergeCell ref="A600:A601"/>
    <mergeCell ref="M419:V419"/>
    <mergeCell ref="AH551:AL551"/>
    <mergeCell ref="U491:V491"/>
    <mergeCell ref="AD252:AE253"/>
    <mergeCell ref="A9:B9"/>
    <mergeCell ref="AP90:AY90"/>
    <mergeCell ref="V371:V372"/>
    <mergeCell ref="D384:I384"/>
    <mergeCell ref="AN569:AO569"/>
    <mergeCell ref="AI644:AJ644"/>
    <mergeCell ref="A11:B11"/>
    <mergeCell ref="AB330:AE331"/>
    <mergeCell ref="AA45:AC45"/>
    <mergeCell ref="AB324:AE325"/>
    <mergeCell ref="P250:Q250"/>
    <mergeCell ref="AL226:AP226"/>
    <mergeCell ref="U488:V488"/>
    <mergeCell ref="AF309:AG310"/>
    <mergeCell ref="AL354:AN355"/>
    <mergeCell ref="AW321:AX322"/>
    <mergeCell ref="AO351:AO352"/>
    <mergeCell ref="U487:Y487"/>
    <mergeCell ref="W352:AI352"/>
    <mergeCell ref="F140:H140"/>
    <mergeCell ref="C532:D533"/>
    <mergeCell ref="AQ20:AT20"/>
    <mergeCell ref="AD646:AF646"/>
    <mergeCell ref="X580:Y581"/>
    <mergeCell ref="E136:AH136"/>
    <mergeCell ref="P184:Q184"/>
    <mergeCell ref="S45:T45"/>
    <mergeCell ref="A97:B97"/>
    <mergeCell ref="AV456:AW456"/>
    <mergeCell ref="AG360:AJ360"/>
    <mergeCell ref="D584:K584"/>
    <mergeCell ref="AD648:AF648"/>
    <mergeCell ref="AF418:AH419"/>
    <mergeCell ref="AV275:AV276"/>
    <mergeCell ref="AD341:AE341"/>
    <mergeCell ref="AT511:AT512"/>
    <mergeCell ref="AD647:AF647"/>
    <mergeCell ref="AN220:AN221"/>
    <mergeCell ref="AT519:AT520"/>
    <mergeCell ref="R623:V623"/>
    <mergeCell ref="U321:W321"/>
    <mergeCell ref="P644:Q644"/>
    <mergeCell ref="N309:O310"/>
    <mergeCell ref="AS566:AS567"/>
    <mergeCell ref="J481:J482"/>
    <mergeCell ref="AW262:AZ262"/>
    <mergeCell ref="L545:M546"/>
    <mergeCell ref="O242:Q242"/>
    <mergeCell ref="AS261:AS262"/>
    <mergeCell ref="AL422:AN422"/>
    <mergeCell ref="D527:K527"/>
    <mergeCell ref="AA545:AF545"/>
    <mergeCell ref="AH75:AQ75"/>
    <mergeCell ref="M362:O363"/>
    <mergeCell ref="AQ23:AT23"/>
    <mergeCell ref="AC322:AE322"/>
    <mergeCell ref="M351:R352"/>
    <mergeCell ref="U546:V546"/>
    <mergeCell ref="C261:C262"/>
    <mergeCell ref="H240:I240"/>
    <mergeCell ref="AD636:AF636"/>
    <mergeCell ref="U617:AE617"/>
    <mergeCell ref="A129:C129"/>
    <mergeCell ref="AV247:AV248"/>
    <mergeCell ref="Q545:Q546"/>
    <mergeCell ref="O71:Q71"/>
    <mergeCell ref="A131:C131"/>
    <mergeCell ref="AG636:AH636"/>
    <mergeCell ref="X402:AA402"/>
    <mergeCell ref="AQ396:AZ397"/>
    <mergeCell ref="AG515:AI515"/>
    <mergeCell ref="K600:K601"/>
    <mergeCell ref="P490:P491"/>
    <mergeCell ref="C516:G516"/>
    <mergeCell ref="C211:C212"/>
    <mergeCell ref="R455:U455"/>
    <mergeCell ref="AM302:AP302"/>
    <mergeCell ref="Q463:R464"/>
    <mergeCell ref="AA53:AB53"/>
    <mergeCell ref="S371:U372"/>
    <mergeCell ref="AK233:AM233"/>
    <mergeCell ref="F222:K222"/>
    <mergeCell ref="AM542:AN543"/>
    <mergeCell ref="AZ156:BC157"/>
    <mergeCell ref="AT232:AT233"/>
    <mergeCell ref="C487:E488"/>
    <mergeCell ref="X25:Z25"/>
    <mergeCell ref="S206:S207"/>
    <mergeCell ref="C616:C617"/>
    <mergeCell ref="AI634:AP634"/>
    <mergeCell ref="T603:T604"/>
    <mergeCell ref="AM404:AN405"/>
    <mergeCell ref="A639:I639"/>
    <mergeCell ref="L152:P152"/>
    <mergeCell ref="K146:K147"/>
    <mergeCell ref="C220:C221"/>
    <mergeCell ref="AE226:AH226"/>
    <mergeCell ref="A151:B152"/>
    <mergeCell ref="AH264:AL264"/>
    <mergeCell ref="D616:E617"/>
    <mergeCell ref="A300:B300"/>
    <mergeCell ref="Q584:AB584"/>
    <mergeCell ref="AB211:AC211"/>
    <mergeCell ref="F121:H121"/>
    <mergeCell ref="C416:G416"/>
    <mergeCell ref="AO220:AS220"/>
    <mergeCell ref="AA238:AC238"/>
    <mergeCell ref="W629:AG629"/>
    <mergeCell ref="J415:K416"/>
    <mergeCell ref="A452:B453"/>
    <mergeCell ref="AB519:AE520"/>
    <mergeCell ref="AH404:AJ405"/>
    <mergeCell ref="Y505:AA505"/>
    <mergeCell ref="G242:I242"/>
    <mergeCell ref="D211:D212"/>
    <mergeCell ref="E295:Y296"/>
    <mergeCell ref="AA418:AA419"/>
    <mergeCell ref="AC604:AF604"/>
    <mergeCell ref="N112:P112"/>
    <mergeCell ref="C422:R422"/>
    <mergeCell ref="AM206:AM207"/>
    <mergeCell ref="X470:Z470"/>
    <mergeCell ref="C151:C152"/>
    <mergeCell ref="AY335:BB336"/>
    <mergeCell ref="F57:G57"/>
    <mergeCell ref="AG514:AH514"/>
    <mergeCell ref="AY327:BB328"/>
    <mergeCell ref="T330:V330"/>
    <mergeCell ref="A133:C133"/>
    <mergeCell ref="Z526:AA526"/>
    <mergeCell ref="O75:Q75"/>
    <mergeCell ref="D477:I477"/>
    <mergeCell ref="D452:I453"/>
    <mergeCell ref="AL404:AL405"/>
    <mergeCell ref="B495:B496"/>
    <mergeCell ref="AT261:AT262"/>
    <mergeCell ref="Q266:R266"/>
    <mergeCell ref="AX447:BB448"/>
    <mergeCell ref="AI354:AJ355"/>
    <mergeCell ref="Q362:R363"/>
    <mergeCell ref="Y324:Z325"/>
    <mergeCell ref="AC476:AC477"/>
    <mergeCell ref="A67:B67"/>
    <mergeCell ref="AN448:AO448"/>
    <mergeCell ref="D331:G331"/>
    <mergeCell ref="AK248:AM248"/>
    <mergeCell ref="AZ237:AZ238"/>
    <mergeCell ref="AS470:BB471"/>
    <mergeCell ref="AI252:AI253"/>
    <mergeCell ref="AH365:AK365"/>
    <mergeCell ref="AE45:AG45"/>
    <mergeCell ref="AL495:AL496"/>
    <mergeCell ref="S266:S267"/>
    <mergeCell ref="Q247:R247"/>
    <mergeCell ref="K235:M235"/>
    <mergeCell ref="AH108:AL108"/>
    <mergeCell ref="AS351:AS352"/>
    <mergeCell ref="AF324:AH325"/>
    <mergeCell ref="D253:M253"/>
    <mergeCell ref="AR569:AS570"/>
    <mergeCell ref="P309:P310"/>
    <mergeCell ref="A31:B31"/>
    <mergeCell ref="W146:Z147"/>
    <mergeCell ref="AE532:AE533"/>
    <mergeCell ref="BE266:BE267"/>
    <mergeCell ref="AQ14:AT14"/>
    <mergeCell ref="AH27:AQ27"/>
    <mergeCell ref="C252:C253"/>
    <mergeCell ref="L146:L147"/>
    <mergeCell ref="AK442:AM442"/>
    <mergeCell ref="C393:E394"/>
    <mergeCell ref="Q527:AB527"/>
    <mergeCell ref="F487:J487"/>
    <mergeCell ref="AI225:AJ226"/>
    <mergeCell ref="A130:C130"/>
    <mergeCell ref="X471:AF471"/>
    <mergeCell ref="F488:J488"/>
    <mergeCell ref="N266:N267"/>
    <mergeCell ref="S184:U184"/>
    <mergeCell ref="A505:B506"/>
    <mergeCell ref="A384:C385"/>
    <mergeCell ref="A132:C132"/>
    <mergeCell ref="AK53:AN53"/>
    <mergeCell ref="AX427:BB428"/>
    <mergeCell ref="P455:P456"/>
    <mergeCell ref="P516:Q517"/>
    <mergeCell ref="A134:C134"/>
    <mergeCell ref="T519:V519"/>
    <mergeCell ref="AI433:AJ433"/>
    <mergeCell ref="Q476:S476"/>
    <mergeCell ref="J347:K348"/>
    <mergeCell ref="AK206:AL207"/>
    <mergeCell ref="AM418:AM419"/>
    <mergeCell ref="AM134:AO134"/>
    <mergeCell ref="AO611:AR612"/>
    <mergeCell ref="T490:T491"/>
    <mergeCell ref="D238:M238"/>
    <mergeCell ref="P142:W142"/>
    <mergeCell ref="V247:V248"/>
    <mergeCell ref="W275:Y275"/>
    <mergeCell ref="AH498:AJ499"/>
    <mergeCell ref="W247:Y247"/>
    <mergeCell ref="U212:W212"/>
    <mergeCell ref="AX569:BB570"/>
    <mergeCell ref="C335:N335"/>
    <mergeCell ref="AH553:AL553"/>
    <mergeCell ref="I278:J278"/>
    <mergeCell ref="AQ412:AS412"/>
    <mergeCell ref="AL312:AM313"/>
    <mergeCell ref="T240:U240"/>
    <mergeCell ref="Q379:S379"/>
    <mergeCell ref="U146:U147"/>
    <mergeCell ref="Q327:R328"/>
    <mergeCell ref="AY220:AY221"/>
    <mergeCell ref="K73:M73"/>
    <mergeCell ref="AO211:AQ211"/>
    <mergeCell ref="AL603:AM604"/>
    <mergeCell ref="AH102:AL102"/>
    <mergeCell ref="A476:C477"/>
    <mergeCell ref="A294:B294"/>
    <mergeCell ref="A374:B374"/>
    <mergeCell ref="AK569:AL570"/>
    <mergeCell ref="BA275:BA276"/>
    <mergeCell ref="AF616:AF617"/>
    <mergeCell ref="R242:X242"/>
    <mergeCell ref="AR252:AR253"/>
    <mergeCell ref="T396:T397"/>
    <mergeCell ref="R178:T178"/>
    <mergeCell ref="T572:U572"/>
    <mergeCell ref="K498:K499"/>
    <mergeCell ref="Z321:AB321"/>
    <mergeCell ref="L463:L464"/>
    <mergeCell ref="AN255:AO255"/>
    <mergeCell ref="D537:I537"/>
    <mergeCell ref="N379:P380"/>
    <mergeCell ref="AB511:AE512"/>
    <mergeCell ref="P600:P601"/>
    <mergeCell ref="C515:P515"/>
    <mergeCell ref="J575:K576"/>
    <mergeCell ref="X278:AA278"/>
    <mergeCell ref="A495:A496"/>
    <mergeCell ref="AX338:BB339"/>
    <mergeCell ref="AK280:AL281"/>
    <mergeCell ref="AH442:AI442"/>
    <mergeCell ref="C463:D464"/>
    <mergeCell ref="AN339:AO339"/>
    <mergeCell ref="M644:N644"/>
    <mergeCell ref="L362:L363"/>
    <mergeCell ref="Q600:Q601"/>
    <mergeCell ref="A393:A394"/>
    <mergeCell ref="A401:A402"/>
    <mergeCell ref="AH603:AJ604"/>
    <mergeCell ref="X220:AC221"/>
    <mergeCell ref="AG530:AJ530"/>
    <mergeCell ref="AG537:AJ538"/>
    <mergeCell ref="AM401:AN402"/>
    <mergeCell ref="K603:K604"/>
    <mergeCell ref="B487:B488"/>
    <mergeCell ref="F590:K590"/>
    <mergeCell ref="A396:A397"/>
    <mergeCell ref="M428:V428"/>
    <mergeCell ref="AB338:AE339"/>
    <mergeCell ref="BA247:BA248"/>
    <mergeCell ref="AO532:AX533"/>
    <mergeCell ref="D220:P220"/>
    <mergeCell ref="AJ237:AJ238"/>
    <mergeCell ref="A291:B291"/>
    <mergeCell ref="AQ252:AQ253"/>
    <mergeCell ref="Y266:Y267"/>
    <mergeCell ref="W566:Y566"/>
    <mergeCell ref="F397:J397"/>
    <mergeCell ref="AP280:AP281"/>
    <mergeCell ref="AN570:AO570"/>
    <mergeCell ref="C362:D363"/>
    <mergeCell ref="AA330:AA331"/>
    <mergeCell ref="S278:T278"/>
    <mergeCell ref="A292:B292"/>
    <mergeCell ref="R644:AH644"/>
    <mergeCell ref="V45:X45"/>
    <mergeCell ref="AK266:AL267"/>
    <mergeCell ref="AS247:AS248"/>
    <mergeCell ref="AU438:AW439"/>
    <mergeCell ref="AD280:AE281"/>
    <mergeCell ref="AG635:AH635"/>
    <mergeCell ref="R271:X271"/>
    <mergeCell ref="L438:L439"/>
    <mergeCell ref="A232:B233"/>
    <mergeCell ref="P603:P604"/>
    <mergeCell ref="AG637:AH637"/>
    <mergeCell ref="K97:L97"/>
    <mergeCell ref="A225:B226"/>
    <mergeCell ref="AV455:AW455"/>
    <mergeCell ref="A532:B533"/>
    <mergeCell ref="AH305:AL305"/>
    <mergeCell ref="V220:W221"/>
    <mergeCell ref="D439:G439"/>
    <mergeCell ref="S122:X122"/>
    <mergeCell ref="P508:Q509"/>
    <mergeCell ref="O227:Q227"/>
    <mergeCell ref="AA261:AB262"/>
    <mergeCell ref="C442:R442"/>
    <mergeCell ref="R572:S573"/>
    <mergeCell ref="AJ523:AJ524"/>
    <mergeCell ref="AD481:AF482"/>
    <mergeCell ref="N595:P596"/>
    <mergeCell ref="X491:AA491"/>
    <mergeCell ref="K124:N124"/>
    <mergeCell ref="AH105:AL105"/>
    <mergeCell ref="AE67:AG67"/>
    <mergeCell ref="E125:H125"/>
    <mergeCell ref="J112:L112"/>
    <mergeCell ref="AU418:AW419"/>
    <mergeCell ref="F470:L470"/>
    <mergeCell ref="Z611:AB611"/>
    <mergeCell ref="AH109:AL109"/>
    <mergeCell ref="A144:AI144"/>
    <mergeCell ref="AW335:AX336"/>
    <mergeCell ref="AH293:AL293"/>
    <mergeCell ref="AC309:AD310"/>
    <mergeCell ref="Y481:Y482"/>
    <mergeCell ref="Y447:Z448"/>
    <mergeCell ref="K75:M75"/>
    <mergeCell ref="J379:J380"/>
    <mergeCell ref="BB275:BB276"/>
    <mergeCell ref="AK237:AL238"/>
    <mergeCell ref="AH294:AL294"/>
    <mergeCell ref="AF312:AG313"/>
    <mergeCell ref="AF347:AH348"/>
    <mergeCell ref="AW233:AZ233"/>
    <mergeCell ref="BB247:BB248"/>
    <mergeCell ref="AT351:AT352"/>
    <mergeCell ref="AD369:AF369"/>
    <mergeCell ref="AB580:AC581"/>
    <mergeCell ref="AL393:AL394"/>
    <mergeCell ref="U496:V496"/>
    <mergeCell ref="AJ255:AM255"/>
    <mergeCell ref="Y237:Y238"/>
    <mergeCell ref="F393:J393"/>
    <mergeCell ref="A255:B255"/>
    <mergeCell ref="AK498:AK499"/>
    <mergeCell ref="T112:W112"/>
    <mergeCell ref="L575:L576"/>
    <mergeCell ref="AV644:AY644"/>
    <mergeCell ref="AF572:AG572"/>
    <mergeCell ref="L371:L372"/>
    <mergeCell ref="D348:G348"/>
    <mergeCell ref="A39:B39"/>
    <mergeCell ref="D347:G347"/>
    <mergeCell ref="AA347:AA348"/>
    <mergeCell ref="Z379:AB380"/>
    <mergeCell ref="K344:N345"/>
    <mergeCell ref="AR123:BA123"/>
    <mergeCell ref="D354:K354"/>
    <mergeCell ref="AI275:AI276"/>
    <mergeCell ref="T211:T212"/>
    <mergeCell ref="AB470:AC470"/>
    <mergeCell ref="AB40:AF40"/>
    <mergeCell ref="A280:B281"/>
    <mergeCell ref="AV374:BE374"/>
    <mergeCell ref="AJ421:AK421"/>
    <mergeCell ref="AG542:AG543"/>
    <mergeCell ref="Z247:Z248"/>
    <mergeCell ref="A580:B581"/>
    <mergeCell ref="AC379:AC380"/>
    <mergeCell ref="AT575:AT576"/>
    <mergeCell ref="S313:T313"/>
    <mergeCell ref="C123:D123"/>
    <mergeCell ref="B393:B394"/>
    <mergeCell ref="AP374:AS374"/>
    <mergeCell ref="AZ644:BB644"/>
    <mergeCell ref="D583:K583"/>
    <mergeCell ref="AM365:AO365"/>
    <mergeCell ref="L603:M604"/>
    <mergeCell ref="Z309:AB310"/>
    <mergeCell ref="AZ77:BC77"/>
    <mergeCell ref="AQ487:AZ488"/>
    <mergeCell ref="U542:Y542"/>
    <mergeCell ref="F471:L471"/>
    <mergeCell ref="A487:A488"/>
    <mergeCell ref="V178:X178"/>
    <mergeCell ref="AA156:AD156"/>
    <mergeCell ref="AR418:AS419"/>
    <mergeCell ref="P444:Q445"/>
    <mergeCell ref="D97:E97"/>
    <mergeCell ref="BB261:BB262"/>
    <mergeCell ref="C413:S413"/>
    <mergeCell ref="AM495:AN496"/>
    <mergeCell ref="AD166:AG166"/>
    <mergeCell ref="T600:T601"/>
    <mergeCell ref="C404:E405"/>
    <mergeCell ref="AL542:AL543"/>
    <mergeCell ref="AH295:AL295"/>
    <mergeCell ref="J569:K570"/>
    <mergeCell ref="AC336:AE336"/>
    <mergeCell ref="U402:V402"/>
    <mergeCell ref="Y573:Z573"/>
    <mergeCell ref="AM490:AN491"/>
    <mergeCell ref="A523:B524"/>
    <mergeCell ref="A330:B331"/>
    <mergeCell ref="AQ514:AR514"/>
    <mergeCell ref="O418:R418"/>
    <mergeCell ref="AQ312:AR313"/>
    <mergeCell ref="A418:B419"/>
    <mergeCell ref="L351:L352"/>
    <mergeCell ref="AI136:AL136"/>
    <mergeCell ref="AF250:AJ250"/>
    <mergeCell ref="A14:B14"/>
    <mergeCell ref="AC328:AE328"/>
    <mergeCell ref="AG401:AG402"/>
    <mergeCell ref="W580:W581"/>
    <mergeCell ref="AV639:AY639"/>
    <mergeCell ref="W583:X583"/>
    <mergeCell ref="E556:W557"/>
    <mergeCell ref="X432:Y432"/>
    <mergeCell ref="AQ328:AT328"/>
    <mergeCell ref="Y347:Z348"/>
    <mergeCell ref="AD237:AE238"/>
    <mergeCell ref="T545:T546"/>
    <mergeCell ref="D264:G264"/>
    <mergeCell ref="AK225:AK226"/>
    <mergeCell ref="J427:K428"/>
    <mergeCell ref="AL384:AU385"/>
    <mergeCell ref="AD266:AE267"/>
    <mergeCell ref="J516:K517"/>
    <mergeCell ref="T418:V418"/>
    <mergeCell ref="AK505:AN505"/>
    <mergeCell ref="J595:J596"/>
    <mergeCell ref="AM413:AO413"/>
    <mergeCell ref="AG498:AG499"/>
    <mergeCell ref="V591:AD591"/>
    <mergeCell ref="AR182:AT182"/>
    <mergeCell ref="F542:J542"/>
    <mergeCell ref="Z537:AB538"/>
    <mergeCell ref="D481:I481"/>
    <mergeCell ref="M225:Q225"/>
    <mergeCell ref="AT247:AT248"/>
    <mergeCell ref="K401:K402"/>
    <mergeCell ref="AG487:AG488"/>
    <mergeCell ref="X27:Z27"/>
    <mergeCell ref="AN312:AN313"/>
    <mergeCell ref="AQ225:AR226"/>
    <mergeCell ref="A421:B422"/>
    <mergeCell ref="AO354:AR355"/>
    <mergeCell ref="N146:R146"/>
    <mergeCell ref="AJ240:AM240"/>
    <mergeCell ref="C517:G517"/>
    <mergeCell ref="T351:U352"/>
    <mergeCell ref="S250:T250"/>
    <mergeCell ref="BC261:BC262"/>
    <mergeCell ref="A299:B299"/>
    <mergeCell ref="A293:B293"/>
    <mergeCell ref="N142:O142"/>
    <mergeCell ref="M122:Q122"/>
    <mergeCell ref="D339:G339"/>
    <mergeCell ref="W526:X526"/>
    <mergeCell ref="AJ413:AK413"/>
    <mergeCell ref="AG379:AJ380"/>
    <mergeCell ref="A424:B425"/>
    <mergeCell ref="Q490:Q491"/>
    <mergeCell ref="AO309:AP310"/>
    <mergeCell ref="S123:V123"/>
    <mergeCell ref="AN419:AO419"/>
    <mergeCell ref="Q341:R342"/>
    <mergeCell ref="AV362:BE363"/>
    <mergeCell ref="AU232:AU233"/>
    <mergeCell ref="AW441:AX441"/>
    <mergeCell ref="E211:L211"/>
    <mergeCell ref="AI312:AJ313"/>
    <mergeCell ref="Q240:R240"/>
    <mergeCell ref="F123:H123"/>
    <mergeCell ref="BD232:BE232"/>
    <mergeCell ref="F499:J499"/>
    <mergeCell ref="AQ505:AR505"/>
    <mergeCell ref="A637:AC637"/>
    <mergeCell ref="D255:G255"/>
    <mergeCell ref="L495:M496"/>
    <mergeCell ref="AA281:AC281"/>
    <mergeCell ref="AM347:AM348"/>
    <mergeCell ref="AA495:AF495"/>
    <mergeCell ref="AL590:AN591"/>
    <mergeCell ref="H261:I261"/>
    <mergeCell ref="J447:K448"/>
    <mergeCell ref="A638:AC638"/>
    <mergeCell ref="AI640:AP640"/>
    <mergeCell ref="AF511:AH512"/>
    <mergeCell ref="AE470:AF470"/>
    <mergeCell ref="V237:V238"/>
    <mergeCell ref="A298:B298"/>
    <mergeCell ref="A542:A543"/>
    <mergeCell ref="AM545:AN546"/>
    <mergeCell ref="B542:B543"/>
    <mergeCell ref="AH554:AL554"/>
    <mergeCell ref="F600:J600"/>
    <mergeCell ref="X371:AA371"/>
    <mergeCell ref="U604:V604"/>
    <mergeCell ref="BD262:BE262"/>
    <mergeCell ref="Z583:AA583"/>
    <mergeCell ref="AD635:AF635"/>
    <mergeCell ref="AD637:AF637"/>
    <mergeCell ref="AQ616:AR617"/>
    <mergeCell ref="A635:AC635"/>
    <mergeCell ref="T575:V575"/>
    <mergeCell ref="A6:B6"/>
    <mergeCell ref="U327:W327"/>
    <mergeCell ref="AT427:AT428"/>
    <mergeCell ref="AI637:AP637"/>
    <mergeCell ref="AH490:AJ491"/>
    <mergeCell ref="AK487:AK488"/>
    <mergeCell ref="V266:V267"/>
    <mergeCell ref="Y611:Y612"/>
    <mergeCell ref="C424:G424"/>
    <mergeCell ref="AD379:AF380"/>
    <mergeCell ref="K151:K152"/>
    <mergeCell ref="W237:X238"/>
    <mergeCell ref="C523:C524"/>
    <mergeCell ref="R461:T461"/>
    <mergeCell ref="AD583:AF583"/>
    <mergeCell ref="AS206:AT207"/>
    <mergeCell ref="C122:D122"/>
    <mergeCell ref="W441:X441"/>
    <mergeCell ref="W266:X267"/>
    <mergeCell ref="F124:H124"/>
    <mergeCell ref="C425:G425"/>
    <mergeCell ref="AT438:AT439"/>
    <mergeCell ref="AT569:AT570"/>
    <mergeCell ref="N237:N238"/>
    <mergeCell ref="Y330:Z331"/>
    <mergeCell ref="P27:R27"/>
    <mergeCell ref="AH556:AL556"/>
    <mergeCell ref="AQ280:AQ281"/>
    <mergeCell ref="AK418:AL419"/>
    <mergeCell ref="Z481:AB482"/>
    <mergeCell ref="D511:G511"/>
    <mergeCell ref="AC275:AC276"/>
    <mergeCell ref="AT338:AT339"/>
    <mergeCell ref="AM135:AO135"/>
    <mergeCell ref="AH67:AQ67"/>
    <mergeCell ref="L278:N278"/>
    <mergeCell ref="A404:A405"/>
    <mergeCell ref="J65:M65"/>
    <mergeCell ref="T511:V511"/>
    <mergeCell ref="V432:W433"/>
    <mergeCell ref="BA232:BA233"/>
    <mergeCell ref="O623:Q623"/>
    <mergeCell ref="L123:O123"/>
    <mergeCell ref="AC250:AD250"/>
    <mergeCell ref="Y280:Y281"/>
    <mergeCell ref="AE16:AF16"/>
    <mergeCell ref="T207:V207"/>
    <mergeCell ref="A616:B617"/>
    <mergeCell ref="AK88:AM88"/>
    <mergeCell ref="AB438:AE439"/>
    <mergeCell ref="Y309:Y310"/>
    <mergeCell ref="AU261:AU262"/>
    <mergeCell ref="AA511:AA512"/>
    <mergeCell ref="C514:P514"/>
    <mergeCell ref="AL562:AN562"/>
    <mergeCell ref="F142:G142"/>
    <mergeCell ref="U393:Y393"/>
    <mergeCell ref="C445:G445"/>
    <mergeCell ref="AA566:AC566"/>
    <mergeCell ref="AA572:AC572"/>
    <mergeCell ref="AD611:AF611"/>
    <mergeCell ref="F604:J604"/>
    <mergeCell ref="C432:S432"/>
    <mergeCell ref="AD275:AF276"/>
    <mergeCell ref="Y511:Z512"/>
    <mergeCell ref="S225:X226"/>
    <mergeCell ref="F498:J498"/>
    <mergeCell ref="C447:C448"/>
    <mergeCell ref="AD640:AF640"/>
    <mergeCell ref="AD580:AD581"/>
    <mergeCell ref="D596:I596"/>
    <mergeCell ref="AP252:AP253"/>
    <mergeCell ref="J438:K439"/>
    <mergeCell ref="AN324:AO324"/>
    <mergeCell ref="O569:R569"/>
    <mergeCell ref="A135:C135"/>
    <mergeCell ref="AO583:AR584"/>
    <mergeCell ref="AH590:AH591"/>
    <mergeCell ref="AD335:AE335"/>
    <mergeCell ref="K595:M596"/>
    <mergeCell ref="Y379:Y380"/>
    <mergeCell ref="AI280:AI281"/>
    <mergeCell ref="T447:V447"/>
    <mergeCell ref="AN572:AO573"/>
    <mergeCell ref="E293:Y294"/>
    <mergeCell ref="AC481:AC482"/>
    <mergeCell ref="K495:K496"/>
    <mergeCell ref="R530:T530"/>
    <mergeCell ref="W455:X455"/>
    <mergeCell ref="F603:J603"/>
    <mergeCell ref="AQ600:AZ601"/>
    <mergeCell ref="A557:B557"/>
    <mergeCell ref="AS638:BB638"/>
    <mergeCell ref="AM555:AN555"/>
    <mergeCell ref="D438:G438"/>
    <mergeCell ref="AW275:AX275"/>
    <mergeCell ref="AS646:BB646"/>
    <mergeCell ref="J644:K644"/>
    <mergeCell ref="Z532:AA532"/>
    <mergeCell ref="R611:R612"/>
    <mergeCell ref="AB146:AD147"/>
    <mergeCell ref="D355:K355"/>
    <mergeCell ref="J67:M67"/>
    <mergeCell ref="AX418:BB419"/>
    <mergeCell ref="AA324:AA325"/>
    <mergeCell ref="M532:O533"/>
    <mergeCell ref="C415:G415"/>
    <mergeCell ref="AM438:AM439"/>
    <mergeCell ref="R354:U354"/>
    <mergeCell ref="Q335:R336"/>
    <mergeCell ref="V252:V253"/>
    <mergeCell ref="AE146:AE147"/>
    <mergeCell ref="AA404:AF404"/>
    <mergeCell ref="AD530:AF530"/>
    <mergeCell ref="Q206:R207"/>
    <mergeCell ref="T427:V427"/>
    <mergeCell ref="AJ280:AJ281"/>
    <mergeCell ref="P532:Q533"/>
    <mergeCell ref="AF330:AH331"/>
    <mergeCell ref="AJ580:AJ581"/>
    <mergeCell ref="E228:K228"/>
    <mergeCell ref="R468:T468"/>
    <mergeCell ref="U198:V198"/>
    <mergeCell ref="AK401:AK402"/>
    <mergeCell ref="AL498:AL499"/>
    <mergeCell ref="T566:U566"/>
    <mergeCell ref="AK393:AK394"/>
    <mergeCell ref="C505:P505"/>
    <mergeCell ref="A643:AH643"/>
    <mergeCell ref="D280:E280"/>
    <mergeCell ref="A552:B552"/>
    <mergeCell ref="V530:X530"/>
    <mergeCell ref="N97:O97"/>
    <mergeCell ref="AK309:AK310"/>
    <mergeCell ref="AM338:AM339"/>
    <mergeCell ref="V532:X532"/>
    <mergeCell ref="AM550:AN550"/>
    <mergeCell ref="AL401:AL402"/>
    <mergeCell ref="L516:O517"/>
    <mergeCell ref="AM552:AN552"/>
    <mergeCell ref="R532:T533"/>
    <mergeCell ref="AE190:AF190"/>
    <mergeCell ref="AM238:AO238"/>
    <mergeCell ref="F401:J401"/>
    <mergeCell ref="Y537:Y538"/>
    <mergeCell ref="R121:S121"/>
    <mergeCell ref="O523:O524"/>
    <mergeCell ref="A548:AN548"/>
    <mergeCell ref="AI441:AJ441"/>
    <mergeCell ref="I252:J252"/>
    <mergeCell ref="O447:R447"/>
    <mergeCell ref="F396:J396"/>
    <mergeCell ref="R309:R310"/>
    <mergeCell ref="P545:P546"/>
    <mergeCell ref="Z237:Z238"/>
    <mergeCell ref="AK330:AL331"/>
    <mergeCell ref="AK324:AL325"/>
    <mergeCell ref="B404:B405"/>
    <mergeCell ref="AG321:AI321"/>
    <mergeCell ref="U235:W235"/>
    <mergeCell ref="A1:BE2"/>
    <mergeCell ref="AT441:AU441"/>
    <mergeCell ref="P124:S124"/>
    <mergeCell ref="AL611:AM612"/>
    <mergeCell ref="AH110:AL110"/>
    <mergeCell ref="AM304:AP304"/>
    <mergeCell ref="A631:AO631"/>
    <mergeCell ref="Q365:R365"/>
    <mergeCell ref="Z266:Z267"/>
    <mergeCell ref="V588:X588"/>
    <mergeCell ref="C542:E543"/>
    <mergeCell ref="AG404:AG405"/>
    <mergeCell ref="M261:N261"/>
    <mergeCell ref="V590:X590"/>
    <mergeCell ref="AS639:AU639"/>
    <mergeCell ref="S463:U464"/>
    <mergeCell ref="L569:L570"/>
    <mergeCell ref="AO463:AX464"/>
    <mergeCell ref="V461:X461"/>
    <mergeCell ref="A481:C482"/>
    <mergeCell ref="G271:I271"/>
    <mergeCell ref="AO441:AQ441"/>
    <mergeCell ref="A347:B348"/>
    <mergeCell ref="C418:C419"/>
    <mergeCell ref="AH304:AL304"/>
    <mergeCell ref="W121:X121"/>
    <mergeCell ref="AG275:AG276"/>
    <mergeCell ref="AH306:AL306"/>
    <mergeCell ref="A96:B96"/>
    <mergeCell ref="C125:D125"/>
    <mergeCell ref="A79:AD79"/>
    <mergeCell ref="AD90:AF90"/>
    <mergeCell ref="BD233:BE233"/>
    <mergeCell ref="AN347:AO347"/>
    <mergeCell ref="S237:S238"/>
    <mergeCell ref="W240:X240"/>
    <mergeCell ref="U27:W27"/>
    <mergeCell ref="AK312:AK313"/>
    <mergeCell ref="E130:AH130"/>
    <mergeCell ref="V362:V363"/>
    <mergeCell ref="C498:E499"/>
    <mergeCell ref="K393:K394"/>
    <mergeCell ref="AP566:AR567"/>
    <mergeCell ref="AS635:BB635"/>
    <mergeCell ref="E132:AH132"/>
    <mergeCell ref="AP468:AY468"/>
    <mergeCell ref="A247:B248"/>
    <mergeCell ref="AG255:AH255"/>
    <mergeCell ref="F591:K591"/>
    <mergeCell ref="AN520:AO520"/>
    <mergeCell ref="A312:K313"/>
    <mergeCell ref="W572:Y572"/>
    <mergeCell ref="AL309:AM310"/>
    <mergeCell ref="P278:Q278"/>
    <mergeCell ref="L427:L428"/>
    <mergeCell ref="AB34:AD34"/>
    <mergeCell ref="AA393:AF393"/>
    <mergeCell ref="E275:F275"/>
    <mergeCell ref="AV584:AW584"/>
    <mergeCell ref="BC335:BC336"/>
    <mergeCell ref="E223:K223"/>
    <mergeCell ref="AA247:AB248"/>
    <mergeCell ref="C124:D124"/>
    <mergeCell ref="T438:V438"/>
    <mergeCell ref="AD638:AF638"/>
    <mergeCell ref="S97:Y97"/>
    <mergeCell ref="AK321:AL321"/>
    <mergeCell ref="R487:S488"/>
    <mergeCell ref="T401:T402"/>
    <mergeCell ref="D575:H575"/>
    <mergeCell ref="AD515:AE515"/>
    <mergeCell ref="AG638:AH638"/>
    <mergeCell ref="AV261:AV262"/>
    <mergeCell ref="AF362:AG362"/>
    <mergeCell ref="Q542:Q543"/>
    <mergeCell ref="AG640:AH640"/>
    <mergeCell ref="AG369:AJ369"/>
    <mergeCell ref="AD360:AF360"/>
    <mergeCell ref="AW248:AZ248"/>
    <mergeCell ref="O228:Q228"/>
    <mergeCell ref="AD351:AF351"/>
    <mergeCell ref="W470:W471"/>
    <mergeCell ref="AT514:AU514"/>
    <mergeCell ref="AN603:AO604"/>
    <mergeCell ref="AI590:AK591"/>
    <mergeCell ref="E261:F261"/>
    <mergeCell ref="S362:U363"/>
    <mergeCell ref="AH611:AJ611"/>
    <mergeCell ref="AU338:AW339"/>
    <mergeCell ref="AL433:AN433"/>
    <mergeCell ref="AG490:AG491"/>
    <mergeCell ref="J612:N612"/>
    <mergeCell ref="AZ639:BB639"/>
    <mergeCell ref="AT324:AT325"/>
    <mergeCell ref="T569:V569"/>
    <mergeCell ref="P401:P402"/>
    <mergeCell ref="AQ13:AT13"/>
    <mergeCell ref="L393:M394"/>
    <mergeCell ref="AM305:AP305"/>
    <mergeCell ref="K58:M58"/>
    <mergeCell ref="AQ15:AT15"/>
    <mergeCell ref="B396:B397"/>
    <mergeCell ref="AC463:AE464"/>
    <mergeCell ref="M27:O27"/>
    <mergeCell ref="J418:K419"/>
    <mergeCell ref="V202:W202"/>
    <mergeCell ref="AK542:AK543"/>
    <mergeCell ref="P580:R581"/>
    <mergeCell ref="O344:O345"/>
    <mergeCell ref="A606:AO606"/>
    <mergeCell ref="AN275:AO276"/>
    <mergeCell ref="AG481:AJ482"/>
    <mergeCell ref="A603:A604"/>
    <mergeCell ref="AI562:AJ562"/>
    <mergeCell ref="Z335:AB335"/>
    <mergeCell ref="AJ452:AJ453"/>
    <mergeCell ref="AH545:AJ546"/>
    <mergeCell ref="R285:X285"/>
    <mergeCell ref="AP588:AY588"/>
    <mergeCell ref="F495:J495"/>
    <mergeCell ref="W452:W453"/>
    <mergeCell ref="Z360:AB360"/>
    <mergeCell ref="L447:L448"/>
    <mergeCell ref="I51:M51"/>
    <mergeCell ref="AV412:AW412"/>
    <mergeCell ref="AW261:AX261"/>
    <mergeCell ref="C433:S433"/>
    <mergeCell ref="F496:J496"/>
    <mergeCell ref="AG647:AH647"/>
    <mergeCell ref="AH600:AJ601"/>
    <mergeCell ref="Z530:AB530"/>
    <mergeCell ref="D269:G269"/>
    <mergeCell ref="D427:G427"/>
    <mergeCell ref="AP432:AR432"/>
    <mergeCell ref="V351:V352"/>
    <mergeCell ref="P523:R524"/>
    <mergeCell ref="Z354:AA354"/>
    <mergeCell ref="R393:S394"/>
    <mergeCell ref="L532:L533"/>
    <mergeCell ref="T616:T617"/>
    <mergeCell ref="U495:Y495"/>
    <mergeCell ref="C509:G509"/>
    <mergeCell ref="C452:C453"/>
    <mergeCell ref="F545:J545"/>
    <mergeCell ref="M226:Q226"/>
    <mergeCell ref="AC537:AC538"/>
    <mergeCell ref="T365:V365"/>
    <mergeCell ref="D482:I482"/>
    <mergeCell ref="AR338:AS339"/>
    <mergeCell ref="AH470:AH471"/>
    <mergeCell ref="S514:T515"/>
    <mergeCell ref="AO455:AR456"/>
    <mergeCell ref="AB452:AC453"/>
    <mergeCell ref="AI247:AI248"/>
    <mergeCell ref="R629:V629"/>
    <mergeCell ref="AJ371:AL372"/>
    <mergeCell ref="V275:V276"/>
    <mergeCell ref="C345:F345"/>
    <mergeCell ref="D379:I379"/>
    <mergeCell ref="C354:C355"/>
    <mergeCell ref="AQ18:AT18"/>
    <mergeCell ref="AQ322:AT322"/>
    <mergeCell ref="U537:X537"/>
    <mergeCell ref="A490:A491"/>
    <mergeCell ref="AC342:AE342"/>
    <mergeCell ref="AD168:AG168"/>
    <mergeCell ref="AQ17:AT17"/>
    <mergeCell ref="D283:G283"/>
    <mergeCell ref="N252:N253"/>
    <mergeCell ref="AG505:AH505"/>
    <mergeCell ref="K271:M271"/>
    <mergeCell ref="X604:AA604"/>
    <mergeCell ref="AM498:AN499"/>
    <mergeCell ref="U595:X595"/>
    <mergeCell ref="AN309:AN310"/>
    <mergeCell ref="A514:B515"/>
    <mergeCell ref="AH298:AL298"/>
    <mergeCell ref="R220:U220"/>
    <mergeCell ref="L487:M488"/>
    <mergeCell ref="J384:J385"/>
    <mergeCell ref="AA487:AF487"/>
    <mergeCell ref="A211:B212"/>
    <mergeCell ref="C580:C581"/>
    <mergeCell ref="AC362:AD362"/>
    <mergeCell ref="AI566:AJ566"/>
    <mergeCell ref="A511:B512"/>
    <mergeCell ref="AE590:AE591"/>
    <mergeCell ref="A441:B442"/>
    <mergeCell ref="A435:B436"/>
    <mergeCell ref="AS190:AU190"/>
    <mergeCell ref="V146:V147"/>
    <mergeCell ref="D67:E67"/>
    <mergeCell ref="A13:B13"/>
    <mergeCell ref="S252:S253"/>
    <mergeCell ref="AH557:AL557"/>
    <mergeCell ref="A354:B355"/>
    <mergeCell ref="N476:P477"/>
    <mergeCell ref="A15:B15"/>
    <mergeCell ref="M325:V325"/>
    <mergeCell ref="AB57:AE57"/>
    <mergeCell ref="A51:B51"/>
    <mergeCell ref="C324:C325"/>
    <mergeCell ref="AK283:AL283"/>
    <mergeCell ref="AE523:AI524"/>
    <mergeCell ref="AQ6:AT6"/>
    <mergeCell ref="AA232:AB233"/>
    <mergeCell ref="AG396:AG397"/>
    <mergeCell ref="AC202:AE202"/>
    <mergeCell ref="AI639:AJ639"/>
    <mergeCell ref="Z595:AB596"/>
    <mergeCell ref="AN439:AO439"/>
    <mergeCell ref="J142:L142"/>
    <mergeCell ref="AQ495:AZ496"/>
    <mergeCell ref="O338:R338"/>
    <mergeCell ref="AI470:AI471"/>
    <mergeCell ref="AZ351:AZ352"/>
    <mergeCell ref="Q261:R261"/>
    <mergeCell ref="AK404:AK405"/>
    <mergeCell ref="AK526:AK527"/>
    <mergeCell ref="A338:B339"/>
    <mergeCell ref="AQ16:AT16"/>
    <mergeCell ref="AD321:AE321"/>
    <mergeCell ref="AQ490:AZ491"/>
    <mergeCell ref="U545:Y545"/>
    <mergeCell ref="AE13:AF13"/>
    <mergeCell ref="E532:E533"/>
    <mergeCell ref="AB569:AE570"/>
    <mergeCell ref="M616:M617"/>
    <mergeCell ref="R600:S601"/>
    <mergeCell ref="AU330:AW331"/>
    <mergeCell ref="D233:U233"/>
    <mergeCell ref="A644:I644"/>
    <mergeCell ref="L86:M86"/>
    <mergeCell ref="W232:Y232"/>
    <mergeCell ref="AC371:AD371"/>
    <mergeCell ref="K542:K543"/>
    <mergeCell ref="N455:O456"/>
    <mergeCell ref="W261:Y261"/>
    <mergeCell ref="A432:B433"/>
    <mergeCell ref="F96:H96"/>
    <mergeCell ref="AF532:AG533"/>
    <mergeCell ref="I264:J264"/>
    <mergeCell ref="AB31:AF31"/>
    <mergeCell ref="AA206:AB206"/>
    <mergeCell ref="AQ371:AT372"/>
    <mergeCell ref="J476:J477"/>
    <mergeCell ref="AM267:AO267"/>
    <mergeCell ref="C611:C612"/>
    <mergeCell ref="AK211:AM212"/>
    <mergeCell ref="AB39:AF39"/>
    <mergeCell ref="AR347:AS348"/>
    <mergeCell ref="M570:V570"/>
    <mergeCell ref="T338:V338"/>
    <mergeCell ref="AA542:AF542"/>
    <mergeCell ref="B545:B546"/>
    <mergeCell ref="A20:B20"/>
    <mergeCell ref="AI45:AK45"/>
    <mergeCell ref="A182:B182"/>
    <mergeCell ref="AH104:AL104"/>
    <mergeCell ref="A296:B296"/>
    <mergeCell ref="Q97:R97"/>
    <mergeCell ref="AH106:AL106"/>
    <mergeCell ref="AG384:AJ385"/>
    <mergeCell ref="C396:E397"/>
    <mergeCell ref="E590:E591"/>
    <mergeCell ref="S283:T283"/>
    <mergeCell ref="AL490:AL491"/>
    <mergeCell ref="D240:F240"/>
    <mergeCell ref="E297:Y298"/>
    <mergeCell ref="AY412:AZ412"/>
    <mergeCell ref="AX575:BB576"/>
    <mergeCell ref="U401:Y401"/>
    <mergeCell ref="AO590:AX591"/>
    <mergeCell ref="X264:AA264"/>
    <mergeCell ref="P393:P394"/>
    <mergeCell ref="Q237:R237"/>
    <mergeCell ref="AG463:AI464"/>
    <mergeCell ref="T125:V125"/>
    <mergeCell ref="F463:K463"/>
    <mergeCell ref="AN207:AP207"/>
    <mergeCell ref="N384:P385"/>
    <mergeCell ref="W463:X463"/>
    <mergeCell ref="AQ309:AR310"/>
    <mergeCell ref="AD452:AD453"/>
    <mergeCell ref="A164:AG164"/>
    <mergeCell ref="AL476:AU477"/>
    <mergeCell ref="AQ335:AT335"/>
    <mergeCell ref="A551:B551"/>
    <mergeCell ref="AI645:AP645"/>
    <mergeCell ref="A590:B591"/>
    <mergeCell ref="AF427:AH428"/>
    <mergeCell ref="AF146:AH147"/>
    <mergeCell ref="AA374:AC374"/>
    <mergeCell ref="BB232:BB233"/>
    <mergeCell ref="AI309:AJ310"/>
    <mergeCell ref="N470:P471"/>
    <mergeCell ref="AG545:AG546"/>
    <mergeCell ref="L401:M402"/>
    <mergeCell ref="AK490:AK491"/>
    <mergeCell ref="AO639:AP639"/>
    <mergeCell ref="BA261:BA262"/>
    <mergeCell ref="A295:B295"/>
    <mergeCell ref="AE198:AG198"/>
    <mergeCell ref="AM470:AP471"/>
    <mergeCell ref="AC397:AF397"/>
    <mergeCell ref="AN371:AP372"/>
    <mergeCell ref="Z275:Z276"/>
    <mergeCell ref="AO526:AR527"/>
    <mergeCell ref="Q312:Q313"/>
    <mergeCell ref="Q596:X596"/>
    <mergeCell ref="I344:J345"/>
    <mergeCell ref="P452:R453"/>
    <mergeCell ref="AI422:AJ422"/>
    <mergeCell ref="Z461:AB461"/>
    <mergeCell ref="Y216:Z216"/>
    <mergeCell ref="AK190:AM190"/>
    <mergeCell ref="A640:AC640"/>
    <mergeCell ref="L498:M499"/>
    <mergeCell ref="AH275:AH276"/>
    <mergeCell ref="AC247:AC248"/>
    <mergeCell ref="K125:L125"/>
    <mergeCell ref="AC532:AD532"/>
    <mergeCell ref="AJ432:AK432"/>
    <mergeCell ref="Z476:AB477"/>
    <mergeCell ref="AS343:BB344"/>
    <mergeCell ref="C603:E604"/>
    <mergeCell ref="R542:S543"/>
    <mergeCell ref="AK354:AK355"/>
    <mergeCell ref="C573:O573"/>
    <mergeCell ref="AT220:AU221"/>
    <mergeCell ref="I237:J237"/>
    <mergeCell ref="C572:O572"/>
    <mergeCell ref="A371:B372"/>
    <mergeCell ref="AP237:AP238"/>
    <mergeCell ref="K404:K405"/>
    <mergeCell ref="C47:G47"/>
    <mergeCell ref="AI583:AJ584"/>
    <mergeCell ref="U481:X481"/>
    <mergeCell ref="AP266:AP267"/>
    <mergeCell ref="AR330:AS331"/>
    <mergeCell ref="AQ362:AT363"/>
    <mergeCell ref="AW327:AX328"/>
    <mergeCell ref="AH555:AL555"/>
    <mergeCell ref="I280:J280"/>
    <mergeCell ref="E212:L212"/>
    <mergeCell ref="AP84:AY84"/>
    <mergeCell ref="H151:H152"/>
    <mergeCell ref="I255:J255"/>
    <mergeCell ref="C435:G435"/>
    <mergeCell ref="AX421:AY421"/>
    <mergeCell ref="B401:B402"/>
    <mergeCell ref="N312:O313"/>
    <mergeCell ref="Y57:Z57"/>
    <mergeCell ref="W363:AH363"/>
    <mergeCell ref="AK396:AK397"/>
    <mergeCell ref="AJ463:AM464"/>
    <mergeCell ref="AG202:AI202"/>
    <mergeCell ref="AH296:AL296"/>
    <mergeCell ref="BC232:BC233"/>
    <mergeCell ref="E129:AH129"/>
    <mergeCell ref="D520:G520"/>
    <mergeCell ref="A516:B517"/>
    <mergeCell ref="AD595:AF596"/>
    <mergeCell ref="AA421:AC421"/>
    <mergeCell ref="W151:Y152"/>
    <mergeCell ref="E131:AH131"/>
    <mergeCell ref="AG600:AG601"/>
    <mergeCell ref="Y212:Z212"/>
    <mergeCell ref="G285:I285"/>
    <mergeCell ref="N116:P116"/>
    <mergeCell ref="C341:N341"/>
    <mergeCell ref="O519:R519"/>
    <mergeCell ref="Y519:Z520"/>
    <mergeCell ref="AI211:AJ212"/>
    <mergeCell ref="AN330:AO330"/>
    <mergeCell ref="AA575:AA576"/>
    <mergeCell ref="AR280:AR281"/>
    <mergeCell ref="F362:K362"/>
    <mergeCell ref="D455:K455"/>
    <mergeCell ref="A562:B562"/>
    <mergeCell ref="F491:J491"/>
    <mergeCell ref="F161:F162"/>
    <mergeCell ref="AB427:AE428"/>
    <mergeCell ref="A537:C538"/>
    <mergeCell ref="N178:P178"/>
    <mergeCell ref="H247:I247"/>
    <mergeCell ref="A266:B267"/>
    <mergeCell ref="D476:I476"/>
    <mergeCell ref="A566:B567"/>
    <mergeCell ref="AH221:AK221"/>
    <mergeCell ref="D627:E627"/>
    <mergeCell ref="M448:V448"/>
    <mergeCell ref="F118:H118"/>
    <mergeCell ref="AN211:AN212"/>
    <mergeCell ref="AB447:AE448"/>
    <mergeCell ref="F546:J546"/>
    <mergeCell ref="T523:V524"/>
    <mergeCell ref="Y438:Z439"/>
    <mergeCell ref="BA237:BA238"/>
    <mergeCell ref="AU421:AV421"/>
    <mergeCell ref="A321:B322"/>
    <mergeCell ref="Z463:AA463"/>
    <mergeCell ref="AH396:AJ397"/>
    <mergeCell ref="C328:N328"/>
    <mergeCell ref="W523:W524"/>
    <mergeCell ref="AJ470:AL471"/>
    <mergeCell ref="AL526:AN527"/>
    <mergeCell ref="AL220:AM221"/>
    <mergeCell ref="U384:X384"/>
    <mergeCell ref="AC590:AD590"/>
    <mergeCell ref="X543:AA543"/>
    <mergeCell ref="J118:K118"/>
    <mergeCell ref="AQ266:AQ267"/>
    <mergeCell ref="M590:O591"/>
    <mergeCell ref="I151:J152"/>
    <mergeCell ref="AX611:BA612"/>
    <mergeCell ref="AK611:AK612"/>
    <mergeCell ref="AS636:BB636"/>
    <mergeCell ref="Z285:AI285"/>
    <mergeCell ref="AG506:AI506"/>
    <mergeCell ref="AD461:AF461"/>
    <mergeCell ref="AM553:AN553"/>
    <mergeCell ref="AN519:AO519"/>
    <mergeCell ref="R225:R226"/>
    <mergeCell ref="AG476:AJ477"/>
    <mergeCell ref="AI237:AI238"/>
    <mergeCell ref="AL396:AL397"/>
    <mergeCell ref="W354:X354"/>
    <mergeCell ref="E247:F247"/>
    <mergeCell ref="O271:Q271"/>
    <mergeCell ref="AO190:AP190"/>
    <mergeCell ref="AI266:AI267"/>
    <mergeCell ref="C490:E491"/>
    <mergeCell ref="R404:S405"/>
    <mergeCell ref="AI232:AI233"/>
    <mergeCell ref="T374:V374"/>
    <mergeCell ref="AD212:AE212"/>
    <mergeCell ref="AM306:AP306"/>
    <mergeCell ref="Y427:Z428"/>
    <mergeCell ref="F616:F617"/>
    <mergeCell ref="X621:Z621"/>
    <mergeCell ref="F611:F612"/>
    <mergeCell ref="Z468:AB468"/>
    <mergeCell ref="F363:K363"/>
    <mergeCell ref="AP461:AY461"/>
    <mergeCell ref="AN611:AN612"/>
    <mergeCell ref="AM616:AM617"/>
    <mergeCell ref="AV211:AX212"/>
    <mergeCell ref="A16:B16"/>
    <mergeCell ref="E299:Z300"/>
    <mergeCell ref="AK519:AL520"/>
    <mergeCell ref="L424:O425"/>
    <mergeCell ref="A18:B18"/>
    <mergeCell ref="L418:L419"/>
    <mergeCell ref="AJ266:AJ267"/>
    <mergeCell ref="C545:E546"/>
    <mergeCell ref="C237:C238"/>
    <mergeCell ref="Q537:S537"/>
    <mergeCell ref="F601:J601"/>
    <mergeCell ref="O198:P198"/>
    <mergeCell ref="V463:V464"/>
    <mergeCell ref="X250:Y250"/>
    <mergeCell ref="AJ261:AJ262"/>
    <mergeCell ref="D538:I538"/>
    <mergeCell ref="AS644:AU644"/>
    <mergeCell ref="T252:U253"/>
    <mergeCell ref="W280:X281"/>
    <mergeCell ref="O206:P207"/>
    <mergeCell ref="R360:T360"/>
    <mergeCell ref="P542:P543"/>
    <mergeCell ref="AB567:AE567"/>
    <mergeCell ref="AN600:AO601"/>
    <mergeCell ref="U514:W514"/>
    <mergeCell ref="O202:Q202"/>
    <mergeCell ref="AF519:AH520"/>
    <mergeCell ref="D250:G250"/>
    <mergeCell ref="T393:T394"/>
    <mergeCell ref="AM45:AO45"/>
    <mergeCell ref="AD170:AG170"/>
    <mergeCell ref="AQ542:AZ543"/>
    <mergeCell ref="AS645:BB645"/>
    <mergeCell ref="AF566:AG566"/>
    <mergeCell ref="P495:P496"/>
    <mergeCell ref="AS572:AS573"/>
    <mergeCell ref="K396:K397"/>
    <mergeCell ref="AD476:AF477"/>
    <mergeCell ref="M63:R63"/>
    <mergeCell ref="X362:AA362"/>
    <mergeCell ref="AH126:AQ126"/>
    <mergeCell ref="A32:B32"/>
    <mergeCell ref="N616:O617"/>
    <mergeCell ref="AB38:AF38"/>
    <mergeCell ref="AO221:AS221"/>
    <mergeCell ref="AO312:AP313"/>
    <mergeCell ref="F227:K227"/>
    <mergeCell ref="D262:U262"/>
    <mergeCell ref="AA401:AF401"/>
    <mergeCell ref="M523:N524"/>
    <mergeCell ref="AD221:AE221"/>
    <mergeCell ref="AB33:AF33"/>
    <mergeCell ref="X207:Y207"/>
    <mergeCell ref="AU519:AW520"/>
    <mergeCell ref="Y252:Y253"/>
    <mergeCell ref="C338:C339"/>
    <mergeCell ref="AF438:AH439"/>
    <mergeCell ref="AV355:AW355"/>
    <mergeCell ref="Q487:Q488"/>
    <mergeCell ref="AC491:AF491"/>
    <mergeCell ref="AA519:AA520"/>
    <mergeCell ref="Q495:Q496"/>
    <mergeCell ref="K476:M477"/>
    <mergeCell ref="AN247:AO248"/>
    <mergeCell ref="U121:V121"/>
    <mergeCell ref="Y226:AA226"/>
    <mergeCell ref="AA569:AA570"/>
    <mergeCell ref="AK347:AL348"/>
    <mergeCell ref="AI129:AL129"/>
    <mergeCell ref="AX511:BB512"/>
    <mergeCell ref="AM324:AM325"/>
    <mergeCell ref="AE580:AI581"/>
    <mergeCell ref="D276:U276"/>
    <mergeCell ref="X125:Z125"/>
    <mergeCell ref="AD354:AF354"/>
    <mergeCell ref="AI131:AL131"/>
    <mergeCell ref="L338:L339"/>
    <mergeCell ref="AP572:AR573"/>
    <mergeCell ref="J161:J162"/>
    <mergeCell ref="M25:O25"/>
    <mergeCell ref="AI643:AP643"/>
    <mergeCell ref="AF412:AH412"/>
    <mergeCell ref="U335:W335"/>
    <mergeCell ref="AR324:AS325"/>
    <mergeCell ref="AD468:AF468"/>
    <mergeCell ref="U476:X476"/>
    <mergeCell ref="E133:AH133"/>
    <mergeCell ref="C344:F344"/>
    <mergeCell ref="AV526:AW526"/>
    <mergeCell ref="AX347:BB348"/>
    <mergeCell ref="D595:I595"/>
    <mergeCell ref="AH247:AH248"/>
    <mergeCell ref="T151:U152"/>
    <mergeCell ref="C412:S412"/>
    <mergeCell ref="AA184:AC184"/>
    <mergeCell ref="R588:T588"/>
    <mergeCell ref="AH290:AL290"/>
    <mergeCell ref="R495:S496"/>
    <mergeCell ref="U532:U533"/>
    <mergeCell ref="AK262:AM262"/>
    <mergeCell ref="K384:M385"/>
    <mergeCell ref="AK412:AL412"/>
    <mergeCell ref="B603:B604"/>
    <mergeCell ref="AD455:AF455"/>
    <mergeCell ref="AQ336:AT336"/>
    <mergeCell ref="AX330:BB331"/>
    <mergeCell ref="X405:AA405"/>
    <mergeCell ref="R490:S491"/>
    <mergeCell ref="K379:M380"/>
    <mergeCell ref="Y225:AA225"/>
    <mergeCell ref="AK600:AK601"/>
    <mergeCell ref="AF220:AG221"/>
    <mergeCell ref="K285:M285"/>
    <mergeCell ref="A412:B413"/>
    <mergeCell ref="J435:K436"/>
    <mergeCell ref="C508:G508"/>
    <mergeCell ref="AI371:AI372"/>
    <mergeCell ref="A553:B553"/>
    <mergeCell ref="A220:B221"/>
    <mergeCell ref="AG468:AJ468"/>
    <mergeCell ref="A583:B584"/>
    <mergeCell ref="AW232:AX232"/>
    <mergeCell ref="AU447:AW448"/>
    <mergeCell ref="F490:J490"/>
    <mergeCell ref="AG341:AI341"/>
    <mergeCell ref="AA275:AB276"/>
    <mergeCell ref="AH289:AL289"/>
    <mergeCell ref="U404:Y404"/>
    <mergeCell ref="AI646:AP646"/>
    <mergeCell ref="P114:R114"/>
    <mergeCell ref="L283:N283"/>
    <mergeCell ref="P264:Q264"/>
    <mergeCell ref="X496:AA496"/>
    <mergeCell ref="A444:B445"/>
    <mergeCell ref="J338:K339"/>
    <mergeCell ref="AI648:AP648"/>
    <mergeCell ref="AS275:AS276"/>
    <mergeCell ref="W623:AG623"/>
    <mergeCell ref="W252:X253"/>
    <mergeCell ref="AL639:AM639"/>
    <mergeCell ref="C225:C226"/>
    <mergeCell ref="D621:E621"/>
    <mergeCell ref="AM281:AO281"/>
    <mergeCell ref="D380:I380"/>
    <mergeCell ref="AH487:AJ488"/>
    <mergeCell ref="K161:L162"/>
    <mergeCell ref="AE225:AH225"/>
    <mergeCell ref="E206:L206"/>
    <mergeCell ref="C436:G436"/>
    <mergeCell ref="C347:C348"/>
    <mergeCell ref="M371:O372"/>
    <mergeCell ref="A470:B471"/>
    <mergeCell ref="V151:V152"/>
    <mergeCell ref="C444:G444"/>
    <mergeCell ref="D225:K225"/>
    <mergeCell ref="AC261:AC262"/>
    <mergeCell ref="AQ321:AT321"/>
    <mergeCell ref="A455:B456"/>
    <mergeCell ref="C526:C527"/>
    <mergeCell ref="P283:Q283"/>
    <mergeCell ref="AE7:AF7"/>
    <mergeCell ref="C575:C576"/>
    <mergeCell ref="AM396:AN397"/>
    <mergeCell ref="U397:V397"/>
    <mergeCell ref="AM519:AM520"/>
    <mergeCell ref="R401:S402"/>
    <mergeCell ref="U616:W616"/>
    <mergeCell ref="AD645:AF645"/>
    <mergeCell ref="AQ404:AZ405"/>
    <mergeCell ref="AU324:AW325"/>
    <mergeCell ref="V232:V233"/>
    <mergeCell ref="G161:I162"/>
    <mergeCell ref="L255:N255"/>
    <mergeCell ref="L71:M71"/>
    <mergeCell ref="A309:K310"/>
    <mergeCell ref="L324:L325"/>
    <mergeCell ref="G616:L616"/>
    <mergeCell ref="Y567:Z567"/>
    <mergeCell ref="AA447:AA448"/>
    <mergeCell ref="R396:S397"/>
    <mergeCell ref="D330:G330"/>
    <mergeCell ref="AC543:AF543"/>
    <mergeCell ref="G611:H612"/>
    <mergeCell ref="U490:Y490"/>
    <mergeCell ref="AL202:AN202"/>
    <mergeCell ref="L250:N250"/>
    <mergeCell ref="Y562:Z562"/>
    <mergeCell ref="A7:B7"/>
    <mergeCell ref="X84:Z84"/>
    <mergeCell ref="R257:X257"/>
    <mergeCell ref="M339:V339"/>
    <mergeCell ref="AC616:AE616"/>
    <mergeCell ref="H71:J71"/>
    <mergeCell ref="Q280:R280"/>
    <mergeCell ref="AH542:AJ543"/>
    <mergeCell ref="O67:Q67"/>
    <mergeCell ref="AG603:AG604"/>
    <mergeCell ref="J424:K425"/>
    <mergeCell ref="X90:Z90"/>
    <mergeCell ref="D227:D228"/>
    <mergeCell ref="B490:B491"/>
    <mergeCell ref="R526:U526"/>
    <mergeCell ref="D428:G428"/>
    <mergeCell ref="BD261:BE261"/>
    <mergeCell ref="AI572:AJ572"/>
    <mergeCell ref="AH291:AL291"/>
    <mergeCell ref="F371:K371"/>
    <mergeCell ref="AC402:AF402"/>
    <mergeCell ref="AI362:AI363"/>
    <mergeCell ref="Q275:R275"/>
    <mergeCell ref="X269:AA269"/>
    <mergeCell ref="D222:D223"/>
    <mergeCell ref="L490:M491"/>
    <mergeCell ref="Q371:R372"/>
    <mergeCell ref="A519:B520"/>
    <mergeCell ref="C275:C276"/>
    <mergeCell ref="AL583:AN584"/>
    <mergeCell ref="AH292:AL292"/>
    <mergeCell ref="F372:K372"/>
    <mergeCell ref="J174:M174"/>
    <mergeCell ref="L264:N264"/>
    <mergeCell ref="AA490:AF490"/>
    <mergeCell ref="C583:C584"/>
    <mergeCell ref="Q156:S156"/>
    <mergeCell ref="BD275:BE275"/>
    <mergeCell ref="A94:AX94"/>
    <mergeCell ref="Q384:S384"/>
    <mergeCell ref="T498:T499"/>
    <mergeCell ref="X374:Y374"/>
    <mergeCell ref="Q211:S212"/>
    <mergeCell ref="T126:V126"/>
    <mergeCell ref="V188:X188"/>
    <mergeCell ref="S269:T269"/>
    <mergeCell ref="C322:N322"/>
    <mergeCell ref="AG121:AH121"/>
    <mergeCell ref="AK532:AM533"/>
    <mergeCell ref="AH278:AL278"/>
    <mergeCell ref="Z590:AA590"/>
    <mergeCell ref="P255:Q255"/>
    <mergeCell ref="AB75:AD75"/>
    <mergeCell ref="D385:I385"/>
    <mergeCell ref="G82:I82"/>
    <mergeCell ref="W372:AH372"/>
    <mergeCell ref="K487:K488"/>
    <mergeCell ref="AN566:AO567"/>
    <mergeCell ref="AQ498:AZ499"/>
    <mergeCell ref="O347:R347"/>
    <mergeCell ref="A498:A499"/>
    <mergeCell ref="AK276:AM276"/>
    <mergeCell ref="A341:B342"/>
    <mergeCell ref="AG327:AI327"/>
    <mergeCell ref="AH302:AL302"/>
    <mergeCell ref="M348:V348"/>
    <mergeCell ref="AD167:AG167"/>
    <mergeCell ref="V360:X360"/>
    <mergeCell ref="T542:T543"/>
    <mergeCell ref="Q25:S25"/>
    <mergeCell ref="V255:W255"/>
    <mergeCell ref="A275:B276"/>
    <mergeCell ref="AT418:AT419"/>
    <mergeCell ref="AE34:AF34"/>
    <mergeCell ref="L511:L512"/>
    <mergeCell ref="M576:V576"/>
    <mergeCell ref="AF621:AH621"/>
    <mergeCell ref="O575:R575"/>
    <mergeCell ref="F402:J402"/>
    <mergeCell ref="N583:O584"/>
    <mergeCell ref="AE36:AF36"/>
    <mergeCell ref="AE11:AF11"/>
    <mergeCell ref="A575:B576"/>
    <mergeCell ref="AC121:AE121"/>
    <mergeCell ref="D519:G519"/>
    <mergeCell ref="P88:Q88"/>
    <mergeCell ref="T495:T496"/>
    <mergeCell ref="AK511:AL512"/>
    <mergeCell ref="U441:V442"/>
    <mergeCell ref="G67:H67"/>
    <mergeCell ref="R616:S617"/>
    <mergeCell ref="AG232:AG233"/>
    <mergeCell ref="V261:V262"/>
    <mergeCell ref="C330:C331"/>
    <mergeCell ref="AE216:AH216"/>
    <mergeCell ref="Q59:S59"/>
    <mergeCell ref="I283:J283"/>
    <mergeCell ref="A65:B65"/>
    <mergeCell ref="AR60:BA60"/>
    <mergeCell ref="C506:P506"/>
    <mergeCell ref="AD169:AG169"/>
    <mergeCell ref="AB418:AE419"/>
    <mergeCell ref="AY321:BB322"/>
    <mergeCell ref="A555:B555"/>
    <mergeCell ref="U603:Y603"/>
    <mergeCell ref="AS637:BB637"/>
    <mergeCell ref="AQ393:AZ394"/>
    <mergeCell ref="A136:C136"/>
    <mergeCell ref="C470:D471"/>
    <mergeCell ref="AR575:AS576"/>
    <mergeCell ref="L222:N223"/>
    <mergeCell ref="C184:D184"/>
    <mergeCell ref="AM371:AM372"/>
    <mergeCell ref="AQ401:AZ402"/>
    <mergeCell ref="H232:I232"/>
    <mergeCell ref="V116:Y116"/>
    <mergeCell ref="AE452:AI453"/>
    <mergeCell ref="X601:AA601"/>
    <mergeCell ref="AA438:AA439"/>
    <mergeCell ref="M463:O464"/>
    <mergeCell ref="AI635:AP635"/>
    <mergeCell ref="P216:Q216"/>
    <mergeCell ref="AU511:AW512"/>
    <mergeCell ref="A365:B365"/>
    <mergeCell ref="AE374:AG374"/>
    <mergeCell ref="Z178:AB178"/>
    <mergeCell ref="AW611:AW612"/>
    <mergeCell ref="P590:Q591"/>
    <mergeCell ref="J511:K512"/>
    <mergeCell ref="AK545:AK546"/>
    <mergeCell ref="AF371:AG371"/>
    <mergeCell ref="A508:B509"/>
    <mergeCell ref="AA427:AA428"/>
  </mergeCells>
  <conditionalFormatting sqref="U161:AD162">
    <cfRule type="containsText" dxfId="134" priority="17" operator="containsText" text="uygun değildir">
      <formula>NOT(ISERROR(SEARCH("uygun değildir",U161)))</formula>
    </cfRule>
  </conditionalFormatting>
  <conditionalFormatting sqref="X142:AH142">
    <cfRule type="containsText" dxfId="133" priority="14" operator="containsText" text="UYGUNDUR">
      <formula>NOT(ISERROR(SEARCH("UYGUNDUR",X142)))</formula>
    </cfRule>
    <cfRule type="containsText" dxfId="132" priority="15" operator="containsText" text="uygun değildir">
      <formula>NOT(ISERROR(SEARCH("uygun değildir",X142)))</formula>
    </cfRule>
  </conditionalFormatting>
  <conditionalFormatting sqref="Z97:AI97">
    <cfRule type="containsText" dxfId="131" priority="8" operator="containsText" text="UYGUNDUR">
      <formula>NOT(ISERROR(SEARCH("UYGUNDUR",Z97)))</formula>
    </cfRule>
    <cfRule type="containsText" dxfId="130" priority="9" operator="containsText" text="uygun değildir">
      <formula>NOT(ISERROR(SEARCH("uygun değildir",Z97)))</formula>
    </cfRule>
  </conditionalFormatting>
  <conditionalFormatting sqref="Z242:AI242">
    <cfRule type="containsText" dxfId="129" priority="18" operator="containsText" text="uygun değildir">
      <formula>NOT(ISERROR(SEARCH("uygun değildir",Z242)))</formula>
    </cfRule>
  </conditionalFormatting>
  <conditionalFormatting sqref="Z257:AI257">
    <cfRule type="containsText" dxfId="128" priority="19" operator="containsText" text="uygun değildir">
      <formula>NOT(ISERROR(SEARCH("uygun değildir",Z257)))</formula>
    </cfRule>
  </conditionalFormatting>
  <conditionalFormatting sqref="Z271:AI271">
    <cfRule type="containsText" dxfId="127" priority="20" operator="containsText" text="uygun değildir">
      <formula>NOT(ISERROR(SEARCH("uygun değildir",Z271)))</formula>
    </cfRule>
  </conditionalFormatting>
  <conditionalFormatting sqref="Z285:AI285">
    <cfRule type="containsText" dxfId="126" priority="21" operator="containsText" text="uygun değildir">
      <formula>NOT(ISERROR(SEARCH("uygun değildir",Z285)))</formula>
    </cfRule>
  </conditionalFormatting>
  <conditionalFormatting sqref="AH67">
    <cfRule type="expression" dxfId="125" priority="2">
      <formula>$O$67&lt;$J$67</formula>
    </cfRule>
  </conditionalFormatting>
  <conditionalFormatting sqref="AH27:AQ27">
    <cfRule type="containsText" dxfId="124" priority="5" operator="containsText" text="UYGUNDUR">
      <formula>NOT(ISERROR(SEARCH("UYGUNDUR",AH27)))</formula>
    </cfRule>
    <cfRule type="containsText" dxfId="123" priority="6" operator="containsText" text="uygun değildir">
      <formula>NOT(ISERROR(SEARCH("uygun değildir",AH27)))</formula>
    </cfRule>
  </conditionalFormatting>
  <conditionalFormatting sqref="AH67:AQ67">
    <cfRule type="containsText" dxfId="122" priority="44" operator="containsText" text="UYGUNDUR">
      <formula>NOT(ISERROR(SEARCH("UYGUNDUR",AH67)))</formula>
    </cfRule>
  </conditionalFormatting>
  <conditionalFormatting sqref="AH75:AQ75">
    <cfRule type="containsText" dxfId="121" priority="45" operator="containsText" text="UYGUNDUR">
      <formula>NOT(ISERROR(SEARCH("UYGUNDUR",AH75)))</formula>
    </cfRule>
  </conditionalFormatting>
  <conditionalFormatting sqref="AH75:AQ77">
    <cfRule type="containsText" dxfId="120" priority="7" operator="containsText" text="uygun değildir">
      <formula>NOT(ISERROR(SEARCH("uygun değildir",AH75)))</formula>
    </cfRule>
  </conditionalFormatting>
  <conditionalFormatting sqref="AH125:AQ126">
    <cfRule type="containsText" dxfId="119" priority="10" operator="containsText" text="UYGUNDUR">
      <formula>NOT(ISERROR(SEARCH("UYGUNDUR",AH125)))</formula>
    </cfRule>
    <cfRule type="containsText" dxfId="118" priority="11" operator="containsText" text="uygun değildir">
      <formula>NOT(ISERROR(SEARCH("uygun değildir",AH125)))</formula>
    </cfRule>
  </conditionalFormatting>
  <conditionalFormatting sqref="AL379:AU380">
    <cfRule type="containsText" dxfId="117" priority="28" operator="containsText" text="uygun değildir">
      <formula>NOT(ISERROR(SEARCH("uygun değildir",AL379)))</formula>
    </cfRule>
  </conditionalFormatting>
  <conditionalFormatting sqref="AL384:AU388">
    <cfRule type="containsText" dxfId="116" priority="29" operator="containsText" text="uygun değildir">
      <formula>NOT(ISERROR(SEARCH("uygun değildir",AL384)))</formula>
    </cfRule>
  </conditionalFormatting>
  <conditionalFormatting sqref="AL476:AU477">
    <cfRule type="containsText" dxfId="115" priority="38" operator="containsText" text="uygun değildir">
      <formula>NOT(ISERROR(SEARCH("uygun değildir",AL476)))</formula>
    </cfRule>
  </conditionalFormatting>
  <conditionalFormatting sqref="AL481:AU482 AQ487:AZ488 AQ490:AZ491 AQ495:AZ496 AQ498:AZ499">
    <cfRule type="containsText" dxfId="114" priority="39" operator="containsText" text="uygun değildir">
      <formula>NOT(ISERROR(SEARCH("uygun değildir",AL481)))</formula>
    </cfRule>
  </conditionalFormatting>
  <conditionalFormatting sqref="AL537:AU538 AQ542:AZ543 AQ545:AZ546 AP588:AY588 AO590:AX591 AL595:AU596 AQ600:AZ601 AQ603:AZ604 AS635:BB638 AS640:BB640 AS645:BB649 AS650:AZ650 BB650">
    <cfRule type="containsText" dxfId="113" priority="41" operator="containsText" text="uygun değildir">
      <formula>NOT(ISERROR(SEARCH("uygun değildir",AL537)))</formula>
    </cfRule>
  </conditionalFormatting>
  <conditionalFormatting sqref="AL537:AU538 AQ542:AZ543 AQ545:AZ546 AP588:AY588 AO590:AX591 AL595:AU596 AQ600:AZ601 AQ603:AZ604 AS635:BB638 AS645:BB648 AP530:AY530 AO532:AX533 AL481:AU482 AQ487:AZ488 AQ490:AZ491 AQ495:AZ496 AQ498:AZ499 AL476:AU477 AS470:BB471 AP468:AY468 AO463:AX464 AP461:AY461 AQ404:AZ405 AQ401:AZ402 AQ396:AZ397 AQ393:AZ394 AL384:AU385 AL379:AU380">
    <cfRule type="containsText" dxfId="112" priority="49" operator="containsText" text="UYGUNDUR">
      <formula>NOT(ISERROR(SEARCH("UYGUNDUR",AL379)))</formula>
    </cfRule>
  </conditionalFormatting>
  <conditionalFormatting sqref="AM156:AV156">
    <cfRule type="containsText" dxfId="111" priority="16" operator="containsText" text="uygun değildir">
      <formula>NOT(ISERROR(SEARCH("uygun değildir",AM156)))</formula>
    </cfRule>
  </conditionalFormatting>
  <conditionalFormatting sqref="AO463:AX464">
    <cfRule type="containsText" dxfId="110" priority="35" operator="containsText" text="uygun değildir">
      <formula>NOT(ISERROR(SEARCH("uygun değildir",AO463)))</formula>
    </cfRule>
  </conditionalFormatting>
  <conditionalFormatting sqref="AP84">
    <cfRule type="expression" dxfId="109" priority="3">
      <formula>$AD$84&lt;$X$84</formula>
    </cfRule>
  </conditionalFormatting>
  <conditionalFormatting sqref="AP90">
    <cfRule type="expression" dxfId="108" priority="4">
      <formula>$X$90&lt;$AD$90</formula>
    </cfRule>
  </conditionalFormatting>
  <conditionalFormatting sqref="AP84:AY84">
    <cfRule type="containsText" dxfId="107" priority="46" operator="containsText" text="UYGUNDUR">
      <formula>NOT(ISERROR(SEARCH("UYGUNDUR",AP84)))</formula>
    </cfRule>
  </conditionalFormatting>
  <conditionalFormatting sqref="AP90:AY90">
    <cfRule type="containsText" dxfId="106" priority="47" operator="containsText" text="UYGUNDUR">
      <formula>NOT(ISERROR(SEARCH("UYGUNDUR",AP90)))</formula>
    </cfRule>
  </conditionalFormatting>
  <conditionalFormatting sqref="AP360:AY360">
    <cfRule type="containsText" dxfId="105" priority="22" operator="containsText" text="uygun değildir">
      <formula>NOT(ISERROR(SEARCH("uygun değildir",AP360)))</formula>
    </cfRule>
  </conditionalFormatting>
  <conditionalFormatting sqref="AP369:AY369">
    <cfRule type="containsText" dxfId="104" priority="25" operator="containsText" text="uygun değildir">
      <formula>NOT(ISERROR(SEARCH("uygun değildir",AP369)))</formula>
    </cfRule>
  </conditionalFormatting>
  <conditionalFormatting sqref="AP461:AY461">
    <cfRule type="containsText" dxfId="103" priority="34" operator="containsText" text="uygun değildir">
      <formula>NOT(ISERROR(SEARCH("uygun değildir",AP461)))</formula>
    </cfRule>
  </conditionalFormatting>
  <conditionalFormatting sqref="AP468:AY468">
    <cfRule type="containsText" dxfId="102" priority="36" operator="containsText" text="uygun değildir">
      <formula>NOT(ISERROR(SEARCH("uygun değildir",AP468)))</formula>
    </cfRule>
  </conditionalFormatting>
  <conditionalFormatting sqref="AP530:AY530 AO532:AX533">
    <cfRule type="containsText" dxfId="101" priority="40" operator="containsText" text="uygun değildir">
      <formula>NOT(ISERROR(SEARCH("uygun değildir",AO530)))</formula>
    </cfRule>
  </conditionalFormatting>
  <conditionalFormatting sqref="AQ393:AZ394">
    <cfRule type="containsText" dxfId="100" priority="30" operator="containsText" text="uygun değildir">
      <formula>NOT(ISERROR(SEARCH("uygun değildir",AQ393)))</formula>
    </cfRule>
  </conditionalFormatting>
  <conditionalFormatting sqref="AQ396:AZ397">
    <cfRule type="containsText" dxfId="99" priority="31" operator="containsText" text="uygun değildir">
      <formula>NOT(ISERROR(SEARCH("uygun değildir",AQ396)))</formula>
    </cfRule>
  </conditionalFormatting>
  <conditionalFormatting sqref="AQ401:AZ402">
    <cfRule type="containsText" dxfId="98" priority="32" operator="containsText" text="uygun değildir">
      <formula>NOT(ISERROR(SEARCH("uygun değildir",AQ401)))</formula>
    </cfRule>
  </conditionalFormatting>
  <conditionalFormatting sqref="AQ404:AZ405">
    <cfRule type="containsText" dxfId="97" priority="33" operator="containsText" text="uygun değildir">
      <formula>NOT(ISERROR(SEARCH("uygun değildir",AQ404)))</formula>
    </cfRule>
  </conditionalFormatting>
  <conditionalFormatting sqref="AS470:BB471">
    <cfRule type="containsText" dxfId="96" priority="37" operator="containsText" text="uygun değildir">
      <formula>NOT(ISERROR(SEARCH("uygun değildir",AS470)))</formula>
    </cfRule>
  </conditionalFormatting>
  <conditionalFormatting sqref="AS639:BB639">
    <cfRule type="containsText" dxfId="95" priority="42" operator="containsText" text="ud">
      <formula>NOT(ISERROR(SEARCH("ud",AS639)))</formula>
    </cfRule>
  </conditionalFormatting>
  <conditionalFormatting sqref="AS640:BB640">
    <cfRule type="containsText" dxfId="94" priority="50" operator="containsText" text="UYGUNDUR">
      <formula>NOT(ISERROR(SEARCH("UYGUNDUR",AS640)))</formula>
    </cfRule>
  </conditionalFormatting>
  <conditionalFormatting sqref="AS644:BB644 AS639:BB639">
    <cfRule type="containsText" dxfId="93" priority="51" operator="containsText" text="U">
      <formula>NOT(ISERROR(SEARCH("U",AS639)))</formula>
    </cfRule>
  </conditionalFormatting>
  <conditionalFormatting sqref="AS644:BB644">
    <cfRule type="containsText" dxfId="92" priority="43" operator="containsText" text="ud">
      <formula>NOT(ISERROR(SEARCH("ud",AS644)))</formula>
    </cfRule>
  </conditionalFormatting>
  <conditionalFormatting sqref="AV362:BE363">
    <cfRule type="containsText" dxfId="91" priority="23" operator="containsText" text="uygun değildir">
      <formula>NOT(ISERROR(SEARCH("uygun değildir",AV362)))</formula>
    </cfRule>
  </conditionalFormatting>
  <conditionalFormatting sqref="AV365:BE365">
    <cfRule type="containsText" dxfId="90" priority="24" operator="containsText" text="uygun değildir">
      <formula>NOT(ISERROR(SEARCH("uygun değildir",AV365)))</formula>
    </cfRule>
  </conditionalFormatting>
  <conditionalFormatting sqref="AV371:BE372">
    <cfRule type="containsText" dxfId="89" priority="26" operator="containsText" text="uygun değildir">
      <formula>NOT(ISERROR(SEARCH("uygun değildir",AV371)))</formula>
    </cfRule>
  </conditionalFormatting>
  <conditionalFormatting sqref="AV374:BE374 AV371:BE372 AP369:AY369 AV365:BE365 AV362:BE363 AP360:AY360 Z285:AI285 Z271:AI271 Z257:AI257 Z242:AI242 U161:AD162 AM156:AV156">
    <cfRule type="containsText" dxfId="88" priority="48" operator="containsText" text="UYGUNDUR">
      <formula>NOT(ISERROR(SEARCH("UYGUNDUR",U156)))</formula>
    </cfRule>
  </conditionalFormatting>
  <conditionalFormatting sqref="AV374:BE374">
    <cfRule type="containsText" dxfId="87" priority="27" operator="containsText" text="uygun değildir">
      <formula>NOT(ISERROR(SEARCH("uygun değildir",AV374)))</formula>
    </cfRule>
  </conditionalFormatting>
  <pageMargins left="0.23611111111111099" right="0" top="0.15763888888888899" bottom="0.35416666666666702" header="0.511811023622047" footer="0.511811023622047"/>
  <pageSetup paperSize="9" scale="85" orientation="portrait" horizontalDpi="300" verticalDpi="300"/>
  <rowBreaks count="8" manualBreakCount="8">
    <brk id="77" max="16383" man="1"/>
    <brk id="157" max="16383" man="1"/>
    <brk id="242" max="16383" man="1"/>
    <brk id="315" max="16383" man="1"/>
    <brk id="388" max="16383" man="1"/>
    <brk id="462" max="16383" man="1"/>
    <brk id="534" max="16383" man="1"/>
    <brk id="605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415"/>
  <sheetViews>
    <sheetView zoomScaleNormal="100" workbookViewId="0">
      <selection activeCell="AT13" sqref="AT13:AX13"/>
    </sheetView>
  </sheetViews>
  <sheetFormatPr defaultColWidth="14.42578125" defaultRowHeight="12.75"/>
  <cols>
    <col min="1" max="21" width="1.7109375" style="107" customWidth="1"/>
    <col min="22" max="22" width="2.140625" style="107" customWidth="1"/>
    <col min="23" max="23" width="4.85546875" style="107" customWidth="1"/>
    <col min="24" max="66" width="1.7109375" style="107" customWidth="1"/>
    <col min="67" max="68" width="1.28515625" style="107" customWidth="1"/>
  </cols>
  <sheetData>
    <row r="1" spans="1:68" ht="18.75" customHeight="1">
      <c r="A1" s="884" t="s">
        <v>781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  <c r="M1" s="885"/>
      <c r="N1" s="885"/>
      <c r="O1" s="885"/>
      <c r="P1" s="885"/>
      <c r="Q1" s="885"/>
      <c r="R1" s="885"/>
      <c r="S1" s="885"/>
      <c r="T1" s="885"/>
      <c r="U1" s="885"/>
      <c r="V1" s="885"/>
      <c r="W1" s="885"/>
      <c r="X1" s="885"/>
      <c r="Y1" s="885"/>
      <c r="Z1" s="885"/>
      <c r="AA1" s="885"/>
      <c r="AB1" s="885"/>
      <c r="AC1" s="885"/>
      <c r="AD1" s="885"/>
      <c r="AE1" s="885"/>
      <c r="AF1" s="885"/>
      <c r="AG1" s="885"/>
      <c r="AH1" s="885"/>
      <c r="AI1" s="885"/>
      <c r="AJ1" s="885"/>
      <c r="AK1" s="885"/>
      <c r="AL1" s="885"/>
      <c r="AM1" s="885"/>
      <c r="AN1" s="885"/>
      <c r="AO1" s="885"/>
      <c r="AP1" s="885"/>
      <c r="AQ1" s="885"/>
      <c r="AR1" s="885"/>
      <c r="AS1" s="885"/>
      <c r="AT1" s="885"/>
      <c r="AU1" s="885"/>
      <c r="AV1" s="885"/>
      <c r="AW1" s="885"/>
      <c r="AX1" s="885"/>
      <c r="AY1" s="885"/>
      <c r="AZ1" s="885"/>
      <c r="BA1" s="885"/>
      <c r="BB1" s="885"/>
      <c r="BC1" s="885"/>
      <c r="BD1" s="885"/>
      <c r="BE1" s="885"/>
      <c r="BF1" s="885"/>
      <c r="BG1" s="885"/>
      <c r="BH1" s="885"/>
      <c r="BI1" s="885"/>
      <c r="BJ1" s="885"/>
      <c r="BK1" s="885"/>
      <c r="BL1" s="885"/>
      <c r="BM1" s="885"/>
      <c r="BN1" s="886"/>
      <c r="BO1" s="109"/>
      <c r="BP1" s="109"/>
    </row>
    <row r="2" spans="1:68" ht="6" customHeight="1">
      <c r="A2" s="250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109"/>
      <c r="P2" s="109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119"/>
      <c r="AP2" s="119"/>
      <c r="AQ2" s="119"/>
      <c r="AR2" s="119"/>
      <c r="AS2" s="119"/>
      <c r="AT2" s="119"/>
      <c r="AU2" s="119"/>
      <c r="AV2" s="119"/>
      <c r="AW2" s="119"/>
      <c r="AX2" s="109"/>
      <c r="AY2" s="251"/>
      <c r="AZ2" s="251"/>
      <c r="BA2" s="251"/>
      <c r="BB2" s="251"/>
      <c r="BC2" s="251"/>
      <c r="BD2" s="251"/>
      <c r="BE2" s="251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</row>
    <row r="3" spans="1:68" ht="15" customHeight="1">
      <c r="A3" s="109"/>
      <c r="B3" s="882" t="s">
        <v>782</v>
      </c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  <c r="Y3" s="710"/>
      <c r="Z3" s="710"/>
      <c r="AA3" s="710"/>
      <c r="AB3" s="710"/>
      <c r="AC3" s="710"/>
      <c r="AD3" s="710"/>
      <c r="AE3" s="710"/>
      <c r="AF3" s="710"/>
      <c r="AG3" s="710"/>
      <c r="AH3" s="710"/>
      <c r="AI3" s="710"/>
      <c r="AJ3" s="710"/>
      <c r="AK3" s="710"/>
      <c r="AL3" s="710"/>
      <c r="AM3" s="710"/>
      <c r="AN3" s="710"/>
      <c r="AO3" s="710"/>
      <c r="AP3" s="710"/>
      <c r="AQ3" s="710"/>
      <c r="AR3" s="710"/>
      <c r="AS3" s="710"/>
      <c r="AT3" s="710"/>
      <c r="AU3" s="710"/>
      <c r="AV3" s="710"/>
      <c r="AW3" s="710"/>
      <c r="AX3" s="710"/>
      <c r="AY3" s="710"/>
      <c r="AZ3" s="710"/>
      <c r="BA3" s="710"/>
      <c r="BB3" s="710"/>
      <c r="BC3" s="710"/>
      <c r="BD3" s="710"/>
      <c r="BE3" s="710"/>
      <c r="BF3" s="710"/>
      <c r="BG3" s="710"/>
      <c r="BH3" s="710"/>
      <c r="BI3" s="710"/>
      <c r="BJ3" s="710"/>
      <c r="BK3" s="710"/>
      <c r="BL3" s="710"/>
      <c r="BM3" s="583"/>
      <c r="BN3" s="109"/>
      <c r="BO3" s="109"/>
      <c r="BP3" s="109"/>
    </row>
    <row r="4" spans="1:68" ht="16.5" customHeight="1">
      <c r="A4" s="109"/>
      <c r="B4" s="845" t="s">
        <v>783</v>
      </c>
      <c r="C4" s="637"/>
      <c r="D4" s="637"/>
      <c r="E4" s="690"/>
      <c r="F4" s="845" t="s">
        <v>784</v>
      </c>
      <c r="G4" s="637"/>
      <c r="H4" s="637"/>
      <c r="I4" s="690"/>
      <c r="J4" s="850" t="s">
        <v>785</v>
      </c>
      <c r="K4" s="637"/>
      <c r="L4" s="637"/>
      <c r="M4" s="690"/>
      <c r="N4" s="850" t="s">
        <v>786</v>
      </c>
      <c r="O4" s="637"/>
      <c r="P4" s="637"/>
      <c r="Q4" s="690"/>
      <c r="R4" s="845" t="s">
        <v>787</v>
      </c>
      <c r="S4" s="637"/>
      <c r="T4" s="690"/>
      <c r="U4" s="845" t="s">
        <v>785</v>
      </c>
      <c r="V4" s="637"/>
      <c r="W4" s="637"/>
      <c r="X4" s="637"/>
      <c r="Y4" s="637"/>
      <c r="Z4" s="690"/>
      <c r="AA4" s="845" t="s">
        <v>788</v>
      </c>
      <c r="AB4" s="637"/>
      <c r="AC4" s="637"/>
      <c r="AD4" s="637"/>
      <c r="AE4" s="637"/>
      <c r="AF4" s="637"/>
      <c r="AG4" s="637"/>
      <c r="AH4" s="637"/>
      <c r="AI4" s="637"/>
      <c r="AJ4" s="637"/>
      <c r="AK4" s="637"/>
      <c r="AL4" s="637"/>
      <c r="AM4" s="637"/>
      <c r="AN4" s="637"/>
      <c r="AO4" s="690"/>
      <c r="AP4" s="850" t="s">
        <v>789</v>
      </c>
      <c r="AQ4" s="637"/>
      <c r="AR4" s="637"/>
      <c r="AS4" s="690"/>
      <c r="AT4" s="850" t="s">
        <v>790</v>
      </c>
      <c r="AU4" s="637"/>
      <c r="AV4" s="637"/>
      <c r="AW4" s="637"/>
      <c r="AX4" s="690"/>
      <c r="AY4" s="850" t="s">
        <v>791</v>
      </c>
      <c r="AZ4" s="637"/>
      <c r="BA4" s="637"/>
      <c r="BB4" s="637"/>
      <c r="BC4" s="637"/>
      <c r="BD4" s="637"/>
      <c r="BE4" s="637"/>
      <c r="BF4" s="637"/>
      <c r="BG4" s="637"/>
      <c r="BH4" s="637"/>
      <c r="BI4" s="637"/>
      <c r="BJ4" s="637"/>
      <c r="BK4" s="637"/>
      <c r="BL4" s="637"/>
      <c r="BM4" s="690"/>
      <c r="BN4" s="109"/>
      <c r="BO4" s="109"/>
      <c r="BP4" s="109"/>
    </row>
    <row r="5" spans="1:68" ht="16.5" customHeight="1">
      <c r="A5" s="109"/>
      <c r="B5" s="719"/>
      <c r="C5" s="707"/>
      <c r="D5" s="707"/>
      <c r="E5" s="804"/>
      <c r="F5" s="719"/>
      <c r="G5" s="707"/>
      <c r="H5" s="707"/>
      <c r="I5" s="804"/>
      <c r="J5" s="719"/>
      <c r="K5" s="707"/>
      <c r="L5" s="707"/>
      <c r="M5" s="804"/>
      <c r="N5" s="719"/>
      <c r="O5" s="707"/>
      <c r="P5" s="707"/>
      <c r="Q5" s="804"/>
      <c r="R5" s="719"/>
      <c r="S5" s="707"/>
      <c r="T5" s="804"/>
      <c r="U5" s="726"/>
      <c r="V5" s="724"/>
      <c r="W5" s="724"/>
      <c r="X5" s="724"/>
      <c r="Y5" s="724"/>
      <c r="Z5" s="727"/>
      <c r="AA5" s="726"/>
      <c r="AB5" s="724"/>
      <c r="AC5" s="724"/>
      <c r="AD5" s="724"/>
      <c r="AE5" s="724"/>
      <c r="AF5" s="724"/>
      <c r="AG5" s="724"/>
      <c r="AH5" s="724"/>
      <c r="AI5" s="724"/>
      <c r="AJ5" s="724"/>
      <c r="AK5" s="724"/>
      <c r="AL5" s="724"/>
      <c r="AM5" s="724"/>
      <c r="AN5" s="724"/>
      <c r="AO5" s="727"/>
      <c r="AP5" s="719"/>
      <c r="AQ5" s="707"/>
      <c r="AR5" s="707"/>
      <c r="AS5" s="804"/>
      <c r="AT5" s="719"/>
      <c r="AU5" s="707"/>
      <c r="AV5" s="707"/>
      <c r="AW5" s="707"/>
      <c r="AX5" s="804"/>
      <c r="AY5" s="719"/>
      <c r="AZ5" s="707"/>
      <c r="BA5" s="707"/>
      <c r="BB5" s="707"/>
      <c r="BC5" s="707"/>
      <c r="BD5" s="707"/>
      <c r="BE5" s="707"/>
      <c r="BF5" s="707"/>
      <c r="BG5" s="707"/>
      <c r="BH5" s="707"/>
      <c r="BI5" s="707"/>
      <c r="BJ5" s="707"/>
      <c r="BK5" s="707"/>
      <c r="BL5" s="707"/>
      <c r="BM5" s="804"/>
      <c r="BN5" s="109"/>
      <c r="BO5" s="109"/>
      <c r="BP5" s="109"/>
    </row>
    <row r="6" spans="1:68" ht="16.5" customHeight="1">
      <c r="A6" s="109"/>
      <c r="B6" s="726"/>
      <c r="C6" s="724"/>
      <c r="D6" s="724"/>
      <c r="E6" s="727"/>
      <c r="F6" s="726"/>
      <c r="G6" s="724"/>
      <c r="H6" s="724"/>
      <c r="I6" s="727"/>
      <c r="J6" s="726"/>
      <c r="K6" s="724"/>
      <c r="L6" s="724"/>
      <c r="M6" s="727"/>
      <c r="N6" s="726"/>
      <c r="O6" s="724"/>
      <c r="P6" s="724"/>
      <c r="Q6" s="727"/>
      <c r="R6" s="726"/>
      <c r="S6" s="724"/>
      <c r="T6" s="727"/>
      <c r="U6" s="845" t="s">
        <v>792</v>
      </c>
      <c r="V6" s="710"/>
      <c r="W6" s="583"/>
      <c r="X6" s="845" t="s">
        <v>397</v>
      </c>
      <c r="Y6" s="710"/>
      <c r="Z6" s="583"/>
      <c r="AA6" s="850" t="s">
        <v>793</v>
      </c>
      <c r="AB6" s="710"/>
      <c r="AC6" s="710"/>
      <c r="AD6" s="710"/>
      <c r="AE6" s="583"/>
      <c r="AF6" s="850" t="s">
        <v>794</v>
      </c>
      <c r="AG6" s="710"/>
      <c r="AH6" s="710"/>
      <c r="AI6" s="710"/>
      <c r="AJ6" s="583"/>
      <c r="AK6" s="850" t="s">
        <v>795</v>
      </c>
      <c r="AL6" s="710"/>
      <c r="AM6" s="710"/>
      <c r="AN6" s="710"/>
      <c r="AO6" s="583"/>
      <c r="AP6" s="726"/>
      <c r="AQ6" s="724"/>
      <c r="AR6" s="724"/>
      <c r="AS6" s="727"/>
      <c r="AT6" s="726"/>
      <c r="AU6" s="724"/>
      <c r="AV6" s="724"/>
      <c r="AW6" s="724"/>
      <c r="AX6" s="727"/>
      <c r="AY6" s="726"/>
      <c r="AZ6" s="724"/>
      <c r="BA6" s="724"/>
      <c r="BB6" s="724"/>
      <c r="BC6" s="724"/>
      <c r="BD6" s="724"/>
      <c r="BE6" s="724"/>
      <c r="BF6" s="724"/>
      <c r="BG6" s="724"/>
      <c r="BH6" s="724"/>
      <c r="BI6" s="724"/>
      <c r="BJ6" s="724"/>
      <c r="BK6" s="724"/>
      <c r="BL6" s="724"/>
      <c r="BM6" s="727"/>
      <c r="BN6" s="109"/>
      <c r="BO6" s="109"/>
      <c r="BP6" s="109"/>
    </row>
    <row r="7" spans="1:68" ht="15" customHeight="1">
      <c r="A7" s="109"/>
      <c r="B7" s="872" t="s">
        <v>796</v>
      </c>
      <c r="C7" s="637"/>
      <c r="D7" s="637"/>
      <c r="E7" s="690"/>
      <c r="F7" s="890">
        <f>AT14</f>
        <v>7208.7058823529424</v>
      </c>
      <c r="G7" s="637"/>
      <c r="H7" s="637"/>
      <c r="I7" s="690"/>
      <c r="J7" s="872" t="s">
        <v>797</v>
      </c>
      <c r="K7" s="637"/>
      <c r="L7" s="637"/>
      <c r="M7" s="690"/>
      <c r="N7" s="845" t="s">
        <v>798</v>
      </c>
      <c r="O7" s="637"/>
      <c r="P7" s="637"/>
      <c r="Q7" s="690"/>
      <c r="R7" s="849">
        <v>1</v>
      </c>
      <c r="S7" s="710"/>
      <c r="T7" s="583"/>
      <c r="U7" s="841" t="s">
        <v>261</v>
      </c>
      <c r="V7" s="710"/>
      <c r="W7" s="583"/>
      <c r="X7" s="841">
        <v>25</v>
      </c>
      <c r="Y7" s="710"/>
      <c r="Z7" s="583"/>
      <c r="AA7" s="843"/>
      <c r="AB7" s="710"/>
      <c r="AC7" s="710"/>
      <c r="AD7" s="710"/>
      <c r="AE7" s="583"/>
      <c r="AF7" s="843">
        <v>1</v>
      </c>
      <c r="AG7" s="710"/>
      <c r="AH7" s="710"/>
      <c r="AI7" s="710"/>
      <c r="AJ7" s="583"/>
      <c r="AK7" s="843"/>
      <c r="AL7" s="710"/>
      <c r="AM7" s="710"/>
      <c r="AN7" s="710"/>
      <c r="AO7" s="583"/>
      <c r="AP7" s="841" t="s">
        <v>799</v>
      </c>
      <c r="AQ7" s="710"/>
      <c r="AR7" s="710"/>
      <c r="AS7" s="583"/>
      <c r="AT7" s="853">
        <f>W36*1000</f>
        <v>5764.7058823529424</v>
      </c>
      <c r="AU7" s="710"/>
      <c r="AV7" s="710"/>
      <c r="AW7" s="710"/>
      <c r="AX7" s="583"/>
      <c r="AY7" s="849" t="s">
        <v>800</v>
      </c>
      <c r="AZ7" s="710"/>
      <c r="BA7" s="710"/>
      <c r="BB7" s="710"/>
      <c r="BC7" s="710"/>
      <c r="BD7" s="710"/>
      <c r="BE7" s="710"/>
      <c r="BF7" s="710"/>
      <c r="BG7" s="710"/>
      <c r="BH7" s="710"/>
      <c r="BI7" s="710"/>
      <c r="BJ7" s="710"/>
      <c r="BK7" s="710"/>
      <c r="BL7" s="710"/>
      <c r="BM7" s="583"/>
      <c r="BN7" s="109"/>
      <c r="BO7" s="109"/>
      <c r="BP7" s="109"/>
    </row>
    <row r="8" spans="1:68" ht="15" customHeight="1">
      <c r="A8" s="115"/>
      <c r="B8" s="719"/>
      <c r="C8" s="707"/>
      <c r="D8" s="707"/>
      <c r="E8" s="804"/>
      <c r="F8" s="719"/>
      <c r="G8" s="707"/>
      <c r="H8" s="707"/>
      <c r="I8" s="804"/>
      <c r="J8" s="719"/>
      <c r="K8" s="707"/>
      <c r="L8" s="707"/>
      <c r="M8" s="804"/>
      <c r="N8" s="719"/>
      <c r="O8" s="707"/>
      <c r="P8" s="707"/>
      <c r="Q8" s="804"/>
      <c r="R8" s="849">
        <v>2</v>
      </c>
      <c r="S8" s="637"/>
      <c r="T8" s="690"/>
      <c r="U8" s="841" t="s">
        <v>261</v>
      </c>
      <c r="V8" s="637"/>
      <c r="W8" s="690"/>
      <c r="X8" s="841">
        <v>16</v>
      </c>
      <c r="Y8" s="637"/>
      <c r="Z8" s="690"/>
      <c r="AA8" s="843"/>
      <c r="AB8" s="710"/>
      <c r="AC8" s="710"/>
      <c r="AD8" s="710"/>
      <c r="AE8" s="583"/>
      <c r="AF8" s="843"/>
      <c r="AG8" s="710"/>
      <c r="AH8" s="710"/>
      <c r="AI8" s="710"/>
      <c r="AJ8" s="583"/>
      <c r="AK8" s="843">
        <v>1</v>
      </c>
      <c r="AL8" s="710"/>
      <c r="AM8" s="710"/>
      <c r="AN8" s="710"/>
      <c r="AO8" s="583"/>
      <c r="AP8" s="841" t="s">
        <v>801</v>
      </c>
      <c r="AQ8" s="710"/>
      <c r="AR8" s="710"/>
      <c r="AS8" s="583"/>
      <c r="AT8" s="849">
        <f>AK8*300</f>
        <v>300</v>
      </c>
      <c r="AU8" s="710"/>
      <c r="AV8" s="710"/>
      <c r="AW8" s="710"/>
      <c r="AX8" s="583"/>
      <c r="AY8" s="849" t="s">
        <v>802</v>
      </c>
      <c r="AZ8" s="710"/>
      <c r="BA8" s="710"/>
      <c r="BB8" s="710"/>
      <c r="BC8" s="710"/>
      <c r="BD8" s="710"/>
      <c r="BE8" s="710"/>
      <c r="BF8" s="710"/>
      <c r="BG8" s="710"/>
      <c r="BH8" s="710"/>
      <c r="BI8" s="710"/>
      <c r="BJ8" s="710"/>
      <c r="BK8" s="710"/>
      <c r="BL8" s="710"/>
      <c r="BM8" s="583"/>
      <c r="BN8" s="113"/>
      <c r="BO8" s="113"/>
      <c r="BP8" s="113"/>
    </row>
    <row r="9" spans="1:68" ht="15" customHeight="1">
      <c r="A9" s="115"/>
      <c r="B9" s="719"/>
      <c r="C9" s="707"/>
      <c r="D9" s="707"/>
      <c r="E9" s="804"/>
      <c r="F9" s="719"/>
      <c r="G9" s="707"/>
      <c r="H9" s="707"/>
      <c r="I9" s="804"/>
      <c r="J9" s="719"/>
      <c r="K9" s="707"/>
      <c r="L9" s="707"/>
      <c r="M9" s="804"/>
      <c r="N9" s="719"/>
      <c r="O9" s="707"/>
      <c r="P9" s="707"/>
      <c r="Q9" s="804"/>
      <c r="R9" s="719"/>
      <c r="S9" s="707"/>
      <c r="T9" s="804"/>
      <c r="U9" s="719"/>
      <c r="V9" s="707"/>
      <c r="W9" s="804"/>
      <c r="X9" s="719"/>
      <c r="Y9" s="707"/>
      <c r="Z9" s="804"/>
      <c r="AA9" s="843"/>
      <c r="AB9" s="710"/>
      <c r="AC9" s="710"/>
      <c r="AD9" s="710"/>
      <c r="AE9" s="583"/>
      <c r="AF9" s="843"/>
      <c r="AG9" s="710"/>
      <c r="AH9" s="710"/>
      <c r="AI9" s="710"/>
      <c r="AJ9" s="583"/>
      <c r="AK9" s="843">
        <v>1</v>
      </c>
      <c r="AL9" s="710"/>
      <c r="AM9" s="710"/>
      <c r="AN9" s="710"/>
      <c r="AO9" s="583"/>
      <c r="AP9" s="841" t="s">
        <v>801</v>
      </c>
      <c r="AQ9" s="710"/>
      <c r="AR9" s="710"/>
      <c r="AS9" s="583"/>
      <c r="AT9" s="849">
        <f>AK9*300</f>
        <v>300</v>
      </c>
      <c r="AU9" s="710"/>
      <c r="AV9" s="710"/>
      <c r="AW9" s="710"/>
      <c r="AX9" s="583"/>
      <c r="AY9" s="849" t="s">
        <v>803</v>
      </c>
      <c r="AZ9" s="710"/>
      <c r="BA9" s="710"/>
      <c r="BB9" s="710"/>
      <c r="BC9" s="710"/>
      <c r="BD9" s="710"/>
      <c r="BE9" s="710"/>
      <c r="BF9" s="710"/>
      <c r="BG9" s="710"/>
      <c r="BH9" s="710"/>
      <c r="BI9" s="710"/>
      <c r="BJ9" s="710"/>
      <c r="BK9" s="710"/>
      <c r="BL9" s="710"/>
      <c r="BM9" s="583"/>
      <c r="BN9" s="113"/>
      <c r="BO9" s="113"/>
      <c r="BP9" s="113"/>
    </row>
    <row r="10" spans="1:68" ht="15" customHeight="1">
      <c r="A10" s="115"/>
      <c r="B10" s="719"/>
      <c r="C10" s="707"/>
      <c r="D10" s="707"/>
      <c r="E10" s="804"/>
      <c r="F10" s="719"/>
      <c r="G10" s="707"/>
      <c r="H10" s="707"/>
      <c r="I10" s="804"/>
      <c r="J10" s="719"/>
      <c r="K10" s="707"/>
      <c r="L10" s="707"/>
      <c r="M10" s="804"/>
      <c r="N10" s="719"/>
      <c r="O10" s="707"/>
      <c r="P10" s="707"/>
      <c r="Q10" s="804"/>
      <c r="R10" s="726"/>
      <c r="S10" s="724"/>
      <c r="T10" s="727"/>
      <c r="U10" s="726"/>
      <c r="V10" s="724"/>
      <c r="W10" s="727"/>
      <c r="X10" s="726"/>
      <c r="Y10" s="724"/>
      <c r="Z10" s="727"/>
      <c r="AA10" s="843"/>
      <c r="AB10" s="710"/>
      <c r="AC10" s="710"/>
      <c r="AD10" s="710"/>
      <c r="AE10" s="583"/>
      <c r="AF10" s="843"/>
      <c r="AG10" s="710"/>
      <c r="AH10" s="710"/>
      <c r="AI10" s="710"/>
      <c r="AJ10" s="583"/>
      <c r="AK10" s="843">
        <v>2</v>
      </c>
      <c r="AL10" s="710"/>
      <c r="AM10" s="710"/>
      <c r="AN10" s="710"/>
      <c r="AO10" s="583"/>
      <c r="AP10" s="841" t="s">
        <v>801</v>
      </c>
      <c r="AQ10" s="710"/>
      <c r="AR10" s="710"/>
      <c r="AS10" s="583"/>
      <c r="AT10" s="849">
        <f>AK10*300</f>
        <v>600</v>
      </c>
      <c r="AU10" s="710"/>
      <c r="AV10" s="710"/>
      <c r="AW10" s="710"/>
      <c r="AX10" s="583"/>
      <c r="AY10" s="849" t="s">
        <v>804</v>
      </c>
      <c r="AZ10" s="710"/>
      <c r="BA10" s="710"/>
      <c r="BB10" s="710"/>
      <c r="BC10" s="710"/>
      <c r="BD10" s="710"/>
      <c r="BE10" s="710"/>
      <c r="BF10" s="710"/>
      <c r="BG10" s="710"/>
      <c r="BH10" s="710"/>
      <c r="BI10" s="710"/>
      <c r="BJ10" s="710"/>
      <c r="BK10" s="710"/>
      <c r="BL10" s="710"/>
      <c r="BM10" s="583"/>
      <c r="BN10" s="113"/>
      <c r="BO10" s="113"/>
      <c r="BP10" s="113"/>
    </row>
    <row r="11" spans="1:68" ht="15" customHeight="1">
      <c r="A11" s="115"/>
      <c r="B11" s="719"/>
      <c r="C11" s="707"/>
      <c r="D11" s="707"/>
      <c r="E11" s="804"/>
      <c r="F11" s="719"/>
      <c r="G11" s="707"/>
      <c r="H11" s="707"/>
      <c r="I11" s="804"/>
      <c r="J11" s="719"/>
      <c r="K11" s="707"/>
      <c r="L11" s="707"/>
      <c r="M11" s="804"/>
      <c r="N11" s="719"/>
      <c r="O11" s="707"/>
      <c r="P11" s="707"/>
      <c r="Q11" s="804"/>
      <c r="R11" s="849">
        <v>3</v>
      </c>
      <c r="S11" s="710"/>
      <c r="T11" s="583"/>
      <c r="U11" s="841" t="s">
        <v>261</v>
      </c>
      <c r="V11" s="710"/>
      <c r="W11" s="583"/>
      <c r="X11" s="841">
        <v>10</v>
      </c>
      <c r="Y11" s="710"/>
      <c r="Z11" s="583"/>
      <c r="AA11" s="870">
        <f>M170</f>
        <v>7</v>
      </c>
      <c r="AB11" s="710"/>
      <c r="AC11" s="710"/>
      <c r="AD11" s="710"/>
      <c r="AE11" s="583"/>
      <c r="AF11" s="843"/>
      <c r="AG11" s="710"/>
      <c r="AH11" s="710"/>
      <c r="AI11" s="710"/>
      <c r="AJ11" s="583"/>
      <c r="AK11" s="843"/>
      <c r="AL11" s="710"/>
      <c r="AM11" s="710"/>
      <c r="AN11" s="710"/>
      <c r="AO11" s="583"/>
      <c r="AP11" s="841" t="s">
        <v>805</v>
      </c>
      <c r="AQ11" s="710"/>
      <c r="AR11" s="710"/>
      <c r="AS11" s="583"/>
      <c r="AT11" s="849">
        <f>AA11*R170</f>
        <v>84</v>
      </c>
      <c r="AU11" s="710"/>
      <c r="AV11" s="710"/>
      <c r="AW11" s="710"/>
      <c r="AX11" s="583"/>
      <c r="AY11" s="849" t="s">
        <v>806</v>
      </c>
      <c r="AZ11" s="710"/>
      <c r="BA11" s="710"/>
      <c r="BB11" s="710"/>
      <c r="BC11" s="710"/>
      <c r="BD11" s="710"/>
      <c r="BE11" s="710"/>
      <c r="BF11" s="710"/>
      <c r="BG11" s="710"/>
      <c r="BH11" s="710"/>
      <c r="BI11" s="710"/>
      <c r="BJ11" s="710"/>
      <c r="BK11" s="710"/>
      <c r="BL11" s="710"/>
      <c r="BM11" s="583"/>
      <c r="BN11" s="113"/>
      <c r="BO11" s="113"/>
      <c r="BP11" s="113"/>
    </row>
    <row r="12" spans="1:68" ht="15" customHeight="1">
      <c r="A12" s="115"/>
      <c r="B12" s="719"/>
      <c r="C12" s="707"/>
      <c r="D12" s="707"/>
      <c r="E12" s="804"/>
      <c r="F12" s="719"/>
      <c r="G12" s="707"/>
      <c r="H12" s="707"/>
      <c r="I12" s="804"/>
      <c r="J12" s="719"/>
      <c r="K12" s="707"/>
      <c r="L12" s="707"/>
      <c r="M12" s="804"/>
      <c r="N12" s="719"/>
      <c r="O12" s="707"/>
      <c r="P12" s="707"/>
      <c r="Q12" s="804"/>
      <c r="R12" s="849">
        <v>4</v>
      </c>
      <c r="S12" s="710"/>
      <c r="T12" s="583"/>
      <c r="U12" s="841" t="s">
        <v>261</v>
      </c>
      <c r="V12" s="710"/>
      <c r="W12" s="583"/>
      <c r="X12" s="841">
        <v>10</v>
      </c>
      <c r="Y12" s="710"/>
      <c r="Z12" s="583"/>
      <c r="AA12" s="870">
        <f>M211</f>
        <v>3</v>
      </c>
      <c r="AB12" s="710"/>
      <c r="AC12" s="710"/>
      <c r="AD12" s="710"/>
      <c r="AE12" s="583"/>
      <c r="AF12" s="843"/>
      <c r="AG12" s="710"/>
      <c r="AH12" s="710"/>
      <c r="AI12" s="710"/>
      <c r="AJ12" s="583"/>
      <c r="AK12" s="843"/>
      <c r="AL12" s="710"/>
      <c r="AM12" s="710"/>
      <c r="AN12" s="710"/>
      <c r="AO12" s="583"/>
      <c r="AP12" s="841" t="s">
        <v>805</v>
      </c>
      <c r="AQ12" s="710"/>
      <c r="AR12" s="710"/>
      <c r="AS12" s="583"/>
      <c r="AT12" s="849">
        <f>AA12*R211</f>
        <v>120</v>
      </c>
      <c r="AU12" s="710"/>
      <c r="AV12" s="710"/>
      <c r="AW12" s="710"/>
      <c r="AX12" s="583"/>
      <c r="AY12" s="849" t="s">
        <v>807</v>
      </c>
      <c r="AZ12" s="710"/>
      <c r="BA12" s="710"/>
      <c r="BB12" s="710"/>
      <c r="BC12" s="710"/>
      <c r="BD12" s="710"/>
      <c r="BE12" s="710"/>
      <c r="BF12" s="710"/>
      <c r="BG12" s="710"/>
      <c r="BH12" s="710"/>
      <c r="BI12" s="710"/>
      <c r="BJ12" s="710"/>
      <c r="BK12" s="710"/>
      <c r="BL12" s="710"/>
      <c r="BM12" s="583"/>
      <c r="BN12" s="113"/>
      <c r="BO12" s="113"/>
      <c r="BP12" s="113"/>
    </row>
    <row r="13" spans="1:68" ht="15" customHeight="1">
      <c r="A13" s="115"/>
      <c r="B13" s="719"/>
      <c r="C13" s="707"/>
      <c r="D13" s="707"/>
      <c r="E13" s="804"/>
      <c r="F13" s="719"/>
      <c r="G13" s="707"/>
      <c r="H13" s="707"/>
      <c r="I13" s="804"/>
      <c r="J13" s="719"/>
      <c r="K13" s="707"/>
      <c r="L13" s="707"/>
      <c r="M13" s="804"/>
      <c r="N13" s="719"/>
      <c r="O13" s="707"/>
      <c r="P13" s="707"/>
      <c r="Q13" s="804"/>
      <c r="R13" s="851">
        <v>5</v>
      </c>
      <c r="S13" s="637"/>
      <c r="T13" s="690"/>
      <c r="U13" s="854" t="s">
        <v>261</v>
      </c>
      <c r="V13" s="637"/>
      <c r="W13" s="690"/>
      <c r="X13" s="854">
        <v>10</v>
      </c>
      <c r="Y13" s="637"/>
      <c r="Z13" s="690"/>
      <c r="AA13" s="843">
        <v>1</v>
      </c>
      <c r="AB13" s="710"/>
      <c r="AC13" s="710"/>
      <c r="AD13" s="710"/>
      <c r="AE13" s="583"/>
      <c r="AF13" s="843"/>
      <c r="AG13" s="710"/>
      <c r="AH13" s="710"/>
      <c r="AI13" s="710"/>
      <c r="AJ13" s="583"/>
      <c r="AK13" s="843"/>
      <c r="AL13" s="710"/>
      <c r="AM13" s="710"/>
      <c r="AN13" s="710"/>
      <c r="AO13" s="583"/>
      <c r="AP13" s="841" t="s">
        <v>805</v>
      </c>
      <c r="AQ13" s="710"/>
      <c r="AR13" s="710"/>
      <c r="AS13" s="583"/>
      <c r="AT13" s="849">
        <f>AA13*40</f>
        <v>40</v>
      </c>
      <c r="AU13" s="710"/>
      <c r="AV13" s="710"/>
      <c r="AW13" s="710"/>
      <c r="AX13" s="583"/>
      <c r="AY13" s="849" t="s">
        <v>808</v>
      </c>
      <c r="AZ13" s="710"/>
      <c r="BA13" s="710"/>
      <c r="BB13" s="710"/>
      <c r="BC13" s="710"/>
      <c r="BD13" s="710"/>
      <c r="BE13" s="710"/>
      <c r="BF13" s="710"/>
      <c r="BG13" s="710"/>
      <c r="BH13" s="710"/>
      <c r="BI13" s="710"/>
      <c r="BJ13" s="710"/>
      <c r="BK13" s="710"/>
      <c r="BL13" s="710"/>
      <c r="BM13" s="583"/>
      <c r="BN13" s="113"/>
      <c r="BO13" s="113"/>
      <c r="BP13" s="113"/>
    </row>
    <row r="14" spans="1:68" ht="15" customHeight="1">
      <c r="A14" s="115"/>
      <c r="B14" s="726"/>
      <c r="C14" s="724"/>
      <c r="D14" s="724"/>
      <c r="E14" s="727"/>
      <c r="F14" s="726"/>
      <c r="G14" s="724"/>
      <c r="H14" s="724"/>
      <c r="I14" s="727"/>
      <c r="J14" s="726"/>
      <c r="K14" s="724"/>
      <c r="L14" s="724"/>
      <c r="M14" s="727"/>
      <c r="N14" s="726"/>
      <c r="O14" s="724"/>
      <c r="P14" s="724"/>
      <c r="Q14" s="727"/>
      <c r="R14" s="872" t="s">
        <v>317</v>
      </c>
      <c r="S14" s="710"/>
      <c r="T14" s="583"/>
      <c r="U14" s="845" t="s">
        <v>317</v>
      </c>
      <c r="V14" s="710"/>
      <c r="W14" s="583"/>
      <c r="X14" s="845" t="s">
        <v>317</v>
      </c>
      <c r="Y14" s="710"/>
      <c r="Z14" s="583"/>
      <c r="AA14" s="850">
        <f>SUM(AA7:AE13)</f>
        <v>11</v>
      </c>
      <c r="AB14" s="710"/>
      <c r="AC14" s="710"/>
      <c r="AD14" s="710"/>
      <c r="AE14" s="583"/>
      <c r="AF14" s="850">
        <f>SUM(AF7:AJ13)</f>
        <v>1</v>
      </c>
      <c r="AG14" s="710"/>
      <c r="AH14" s="710"/>
      <c r="AI14" s="710"/>
      <c r="AJ14" s="583"/>
      <c r="AK14" s="850">
        <f>SUM(AK7:AO13)</f>
        <v>4</v>
      </c>
      <c r="AL14" s="710"/>
      <c r="AM14" s="710"/>
      <c r="AN14" s="710"/>
      <c r="AO14" s="583"/>
      <c r="AP14" s="845" t="s">
        <v>317</v>
      </c>
      <c r="AQ14" s="710"/>
      <c r="AR14" s="710"/>
      <c r="AS14" s="583"/>
      <c r="AT14" s="890">
        <f>SUM(AT7:AX13)</f>
        <v>7208.7058823529424</v>
      </c>
      <c r="AU14" s="710"/>
      <c r="AV14" s="710"/>
      <c r="AW14" s="710"/>
      <c r="AX14" s="583"/>
      <c r="AY14" s="872" t="s">
        <v>809</v>
      </c>
      <c r="AZ14" s="710"/>
      <c r="BA14" s="710"/>
      <c r="BB14" s="710"/>
      <c r="BC14" s="710"/>
      <c r="BD14" s="710"/>
      <c r="BE14" s="710"/>
      <c r="BF14" s="710"/>
      <c r="BG14" s="710"/>
      <c r="BH14" s="710"/>
      <c r="BI14" s="710"/>
      <c r="BJ14" s="710"/>
      <c r="BK14" s="710"/>
      <c r="BL14" s="710"/>
      <c r="BM14" s="583"/>
      <c r="BN14" s="113"/>
      <c r="BO14" s="113"/>
      <c r="BP14" s="113"/>
    </row>
    <row r="15" spans="1:68" ht="6" customHeight="1">
      <c r="A15" s="250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109"/>
      <c r="P15" s="109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119"/>
      <c r="AP15" s="119"/>
      <c r="AQ15" s="119"/>
      <c r="AR15" s="119"/>
      <c r="AS15" s="119"/>
      <c r="AT15" s="119"/>
      <c r="AU15" s="119"/>
      <c r="AV15" s="119"/>
      <c r="AW15" s="119"/>
      <c r="AX15" s="109"/>
      <c r="AY15" s="251"/>
      <c r="AZ15" s="251"/>
      <c r="BA15" s="251"/>
      <c r="BB15" s="251"/>
      <c r="BC15" s="251"/>
      <c r="BD15" s="251"/>
      <c r="BE15" s="251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</row>
    <row r="16" spans="1:68" ht="15.75" customHeight="1">
      <c r="A16" s="895" t="s">
        <v>810</v>
      </c>
      <c r="B16" s="707"/>
      <c r="C16" s="707"/>
      <c r="D16" s="707"/>
      <c r="E16" s="707"/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07"/>
      <c r="T16" s="707"/>
      <c r="U16" s="707"/>
      <c r="V16" s="707"/>
      <c r="W16" s="707"/>
      <c r="X16" s="707"/>
      <c r="Y16" s="707"/>
      <c r="Z16" s="707"/>
      <c r="AA16" s="707"/>
      <c r="AB16" s="707"/>
      <c r="AC16" s="707"/>
      <c r="AD16" s="707"/>
      <c r="AE16" s="707"/>
      <c r="AF16" s="707"/>
      <c r="AG16" s="707"/>
      <c r="AH16" s="707"/>
      <c r="AI16" s="707"/>
      <c r="AJ16" s="707"/>
      <c r="AK16" s="707"/>
      <c r="AL16" s="707"/>
      <c r="AM16" s="707"/>
      <c r="AN16" s="707"/>
      <c r="AO16" s="707"/>
      <c r="AP16" s="707"/>
      <c r="AQ16" s="707"/>
      <c r="AR16" s="707"/>
      <c r="AS16" s="707"/>
      <c r="AT16" s="707"/>
      <c r="AU16" s="707"/>
      <c r="AV16" s="707"/>
      <c r="AW16" s="707"/>
      <c r="AX16" s="707"/>
      <c r="AY16" s="707"/>
      <c r="AZ16" s="707"/>
      <c r="BA16" s="707"/>
      <c r="BB16" s="707"/>
      <c r="BC16" s="707"/>
      <c r="BD16" s="707"/>
      <c r="BE16" s="707"/>
      <c r="BF16" s="707"/>
      <c r="BG16" s="707"/>
      <c r="BH16" s="707"/>
      <c r="BI16" s="707"/>
      <c r="BJ16" s="707"/>
      <c r="BK16" s="707"/>
      <c r="BL16" s="707"/>
      <c r="BM16" s="707"/>
      <c r="BN16" s="707"/>
      <c r="BO16" s="109"/>
      <c r="BP16" s="109"/>
    </row>
    <row r="17" spans="1:68" ht="6" customHeight="1">
      <c r="A17" s="250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109"/>
      <c r="P17" s="109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119"/>
      <c r="AP17" s="119"/>
      <c r="AQ17" s="119"/>
      <c r="AR17" s="119"/>
      <c r="AS17" s="119"/>
      <c r="AT17" s="119"/>
      <c r="AU17" s="119"/>
      <c r="AV17" s="119"/>
      <c r="AW17" s="119"/>
      <c r="AX17" s="109"/>
      <c r="AY17" s="251"/>
      <c r="AZ17" s="251"/>
      <c r="BA17" s="251"/>
      <c r="BB17" s="251"/>
      <c r="BC17" s="251"/>
      <c r="BD17" s="251"/>
      <c r="BE17" s="251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</row>
    <row r="18" spans="1:68" ht="12.75" customHeight="1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738" t="s">
        <v>811</v>
      </c>
      <c r="P18" s="724"/>
      <c r="Q18" s="146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721" t="s">
        <v>796</v>
      </c>
      <c r="AG18" s="707"/>
      <c r="AH18" s="162" t="s">
        <v>262</v>
      </c>
      <c r="AI18" s="734">
        <f>W31</f>
        <v>7.208705882352942</v>
      </c>
      <c r="AJ18" s="707"/>
      <c r="AK18" s="707"/>
      <c r="AL18" s="144" t="s">
        <v>377</v>
      </c>
      <c r="AM18" s="146"/>
      <c r="AN18" s="151"/>
      <c r="AO18" s="109"/>
      <c r="AP18" s="109"/>
      <c r="AQ18" s="109"/>
      <c r="AR18" s="109"/>
      <c r="AS18" s="109"/>
      <c r="AT18" s="109"/>
      <c r="AU18" s="728" t="s">
        <v>336</v>
      </c>
      <c r="AV18" s="707"/>
      <c r="AW18" s="162" t="s">
        <v>262</v>
      </c>
      <c r="AX18" s="734">
        <f>W30</f>
        <v>4.9000000000000004</v>
      </c>
      <c r="AY18" s="707"/>
      <c r="AZ18" s="707"/>
      <c r="BA18" s="144" t="s">
        <v>377</v>
      </c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</row>
    <row r="19" spans="1:68" ht="12.75" customHeight="1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844"/>
      <c r="P19" s="844"/>
      <c r="Q19" s="109"/>
      <c r="R19" s="109"/>
      <c r="S19" s="109"/>
      <c r="T19" s="113"/>
      <c r="U19" s="113"/>
      <c r="V19" s="113"/>
      <c r="W19" s="113"/>
      <c r="X19" s="113"/>
      <c r="Y19" s="113"/>
      <c r="Z19" s="113"/>
      <c r="AA19" s="109"/>
      <c r="AB19" s="113"/>
      <c r="AC19" s="113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46"/>
      <c r="AV19" s="252"/>
      <c r="AW19" s="252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</row>
    <row r="20" spans="1:68" ht="12.75" customHeight="1">
      <c r="A20" s="253"/>
      <c r="B20" s="253"/>
      <c r="C20" s="253"/>
      <c r="D20" s="253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868"/>
      <c r="P20" s="868"/>
      <c r="Q20" s="109"/>
      <c r="R20" s="109"/>
      <c r="S20" s="721">
        <v>4</v>
      </c>
      <c r="T20" s="707"/>
      <c r="U20" s="151" t="s">
        <v>357</v>
      </c>
      <c r="V20" s="781">
        <f>W33</f>
        <v>6</v>
      </c>
      <c r="W20" s="707"/>
      <c r="X20" s="721" t="s">
        <v>399</v>
      </c>
      <c r="Y20" s="707"/>
      <c r="Z20" s="707"/>
      <c r="AA20" s="144" t="s">
        <v>812</v>
      </c>
      <c r="AB20" s="128"/>
      <c r="AC20" s="128"/>
      <c r="AD20" s="109"/>
      <c r="AE20" s="109"/>
      <c r="AF20" s="867"/>
      <c r="AG20" s="861"/>
      <c r="AH20" s="109"/>
      <c r="AI20" s="721">
        <v>4</v>
      </c>
      <c r="AJ20" s="707"/>
      <c r="AK20" s="151" t="s">
        <v>357</v>
      </c>
      <c r="AL20" s="781">
        <f>W34</f>
        <v>4</v>
      </c>
      <c r="AM20" s="707"/>
      <c r="AN20" s="721" t="s">
        <v>399</v>
      </c>
      <c r="AO20" s="707"/>
      <c r="AP20" s="707"/>
      <c r="AQ20" s="144" t="s">
        <v>813</v>
      </c>
      <c r="AR20" s="128"/>
      <c r="AS20" s="113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</row>
    <row r="21" spans="1:68" ht="7.5" customHeight="1">
      <c r="A21" s="880" t="s">
        <v>814</v>
      </c>
      <c r="B21" s="707"/>
      <c r="C21" s="707"/>
      <c r="D21" s="707"/>
      <c r="E21" s="254"/>
      <c r="F21" s="867"/>
      <c r="G21" s="254"/>
      <c r="H21" s="254"/>
      <c r="I21" s="254"/>
      <c r="J21" s="254"/>
      <c r="K21" s="254"/>
      <c r="L21" s="254"/>
      <c r="M21" s="254"/>
      <c r="N21" s="254"/>
      <c r="O21" s="868"/>
      <c r="P21" s="868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868"/>
      <c r="AG21" s="719"/>
      <c r="AH21" s="255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</row>
    <row r="22" spans="1:68" ht="7.5" customHeight="1">
      <c r="A22" s="707"/>
      <c r="B22" s="707"/>
      <c r="C22" s="707"/>
      <c r="D22" s="707"/>
      <c r="E22" s="109"/>
      <c r="F22" s="869"/>
      <c r="G22" s="109"/>
      <c r="H22" s="109"/>
      <c r="I22" s="109"/>
      <c r="J22" s="109"/>
      <c r="K22" s="109"/>
      <c r="L22" s="109"/>
      <c r="M22" s="109"/>
      <c r="N22" s="109"/>
      <c r="O22" s="868"/>
      <c r="P22" s="868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868"/>
      <c r="AG22" s="71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09"/>
      <c r="BO22" s="109"/>
      <c r="BP22" s="109"/>
    </row>
    <row r="23" spans="1:68" ht="12.75" customHeight="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868"/>
      <c r="P23" s="868"/>
      <c r="Q23" s="109"/>
      <c r="R23" s="109"/>
      <c r="S23" s="109"/>
      <c r="T23" s="816" t="s">
        <v>815</v>
      </c>
      <c r="U23" s="707"/>
      <c r="V23" s="128" t="s">
        <v>262</v>
      </c>
      <c r="W23" s="764">
        <f>W26</f>
        <v>33.85</v>
      </c>
      <c r="X23" s="707"/>
      <c r="Y23" s="707"/>
      <c r="Z23" s="707"/>
      <c r="AA23" s="816" t="s">
        <v>298</v>
      </c>
      <c r="AB23" s="707"/>
      <c r="AC23" s="109"/>
      <c r="AD23" s="109"/>
      <c r="AE23" s="109"/>
      <c r="AF23" s="869"/>
      <c r="AG23" s="719"/>
      <c r="AH23" s="109"/>
      <c r="AI23" s="109"/>
      <c r="AJ23" s="816" t="s">
        <v>816</v>
      </c>
      <c r="AK23" s="707"/>
      <c r="AL23" s="128" t="s">
        <v>262</v>
      </c>
      <c r="AM23" s="764">
        <f>W27</f>
        <v>5</v>
      </c>
      <c r="AN23" s="707"/>
      <c r="AO23" s="707"/>
      <c r="AP23" s="707"/>
      <c r="AQ23" s="816" t="s">
        <v>298</v>
      </c>
      <c r="AR23" s="707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09"/>
      <c r="BO23" s="109"/>
      <c r="BP23" s="109"/>
    </row>
    <row r="24" spans="1:68" ht="12.75" customHeight="1">
      <c r="A24" s="250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109"/>
      <c r="M24" s="109"/>
      <c r="N24" s="109"/>
      <c r="O24" s="869"/>
      <c r="P24" s="869"/>
      <c r="Q24" s="250"/>
      <c r="R24" s="250"/>
      <c r="S24" s="250"/>
      <c r="T24" s="109"/>
      <c r="U24" s="109"/>
      <c r="V24" s="109"/>
      <c r="W24" s="109"/>
      <c r="X24" s="109"/>
      <c r="Y24" s="109"/>
      <c r="Z24" s="109"/>
      <c r="AA24" s="109"/>
      <c r="AB24" s="109"/>
      <c r="AC24" s="250"/>
      <c r="AD24" s="250"/>
      <c r="AE24" s="250"/>
      <c r="AF24" s="250"/>
      <c r="AG24" s="250"/>
      <c r="AH24" s="250"/>
      <c r="AI24" s="250"/>
      <c r="AJ24" s="109"/>
      <c r="AK24" s="109"/>
      <c r="AL24" s="109"/>
      <c r="AM24" s="109"/>
      <c r="AN24" s="109"/>
      <c r="AO24" s="109"/>
      <c r="AP24" s="109"/>
      <c r="AQ24" s="109"/>
      <c r="AR24" s="109"/>
      <c r="AS24" s="119"/>
      <c r="AT24" s="119"/>
      <c r="AU24" s="119"/>
      <c r="AV24" s="119"/>
      <c r="AW24" s="119"/>
      <c r="AX24" s="119"/>
      <c r="AY24" s="119"/>
      <c r="AZ24" s="109"/>
      <c r="BA24" s="251"/>
      <c r="BB24" s="251"/>
      <c r="BC24" s="251"/>
      <c r="BD24" s="251"/>
      <c r="BE24" s="251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</row>
    <row r="25" spans="1:68" ht="9.75" customHeight="1">
      <c r="A25" s="720"/>
      <c r="B25" s="707"/>
      <c r="C25" s="256"/>
      <c r="D25" s="112"/>
      <c r="E25" s="112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28"/>
      <c r="AH25" s="128"/>
      <c r="AI25" s="128"/>
      <c r="AJ25" s="128"/>
      <c r="AK25" s="128"/>
      <c r="AL25" s="115"/>
      <c r="AM25" s="115"/>
      <c r="AN25" s="115"/>
      <c r="AO25" s="120"/>
      <c r="AP25" s="120"/>
      <c r="AQ25" s="112"/>
      <c r="AR25" s="257"/>
      <c r="AS25" s="257"/>
      <c r="AT25" s="257"/>
      <c r="AU25" s="257"/>
      <c r="AV25" s="257"/>
      <c r="AW25" s="257"/>
      <c r="AX25" s="257"/>
      <c r="AY25" s="257"/>
      <c r="AZ25" s="257"/>
      <c r="BA25" s="257"/>
      <c r="BB25" s="112"/>
      <c r="BC25" s="112"/>
      <c r="BD25" s="112"/>
      <c r="BE25" s="112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</row>
    <row r="26" spans="1:68" ht="12.75" customHeight="1">
      <c r="A26" s="816" t="s">
        <v>815</v>
      </c>
      <c r="B26" s="707"/>
      <c r="C26" s="133" t="s">
        <v>308</v>
      </c>
      <c r="D26" s="128" t="s">
        <v>817</v>
      </c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857">
        <f>('Veri Girişi'!C63+('Veri Girişi'!F114+'Veri Girişi'!B132)/1000)+7.5</f>
        <v>33.85</v>
      </c>
      <c r="X26" s="710"/>
      <c r="Y26" s="710"/>
      <c r="Z26" s="710"/>
      <c r="AA26" s="583"/>
      <c r="AB26" s="130" t="s">
        <v>365</v>
      </c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38"/>
      <c r="AR26" s="138"/>
      <c r="AS26" s="138"/>
      <c r="AT26" s="138"/>
      <c r="AU26" s="128"/>
      <c r="AV26" s="128"/>
      <c r="AW26" s="128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64"/>
      <c r="BP26" s="64"/>
    </row>
    <row r="27" spans="1:68" ht="12.75" customHeight="1">
      <c r="A27" s="816" t="s">
        <v>816</v>
      </c>
      <c r="B27" s="707"/>
      <c r="C27" s="133" t="s">
        <v>308</v>
      </c>
      <c r="D27" s="128" t="s">
        <v>818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857">
        <v>5</v>
      </c>
      <c r="X27" s="710"/>
      <c r="Y27" s="710"/>
      <c r="Z27" s="710"/>
      <c r="AA27" s="583"/>
      <c r="AB27" s="130" t="s">
        <v>365</v>
      </c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65"/>
      <c r="AR27" s="165"/>
      <c r="AS27" s="165"/>
      <c r="AT27" s="165"/>
      <c r="AU27" s="128"/>
      <c r="AV27" s="128"/>
      <c r="AW27" s="128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64"/>
      <c r="BP27" s="64"/>
    </row>
    <row r="28" spans="1:68" ht="12.75" customHeight="1">
      <c r="A28" s="816" t="s">
        <v>819</v>
      </c>
      <c r="B28" s="707"/>
      <c r="C28" s="133" t="s">
        <v>308</v>
      </c>
      <c r="D28" s="128" t="s">
        <v>820</v>
      </c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857">
        <v>400</v>
      </c>
      <c r="X28" s="710"/>
      <c r="Y28" s="710"/>
      <c r="Z28" s="710"/>
      <c r="AA28" s="583"/>
      <c r="AB28" s="130" t="s">
        <v>821</v>
      </c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38"/>
      <c r="AR28" s="138"/>
      <c r="AS28" s="138"/>
      <c r="AT28" s="138"/>
      <c r="AU28" s="128"/>
      <c r="AV28" s="128"/>
      <c r="AW28" s="128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64"/>
      <c r="BP28" s="64"/>
    </row>
    <row r="29" spans="1:68" ht="12.75" customHeight="1">
      <c r="A29" s="816" t="s">
        <v>822</v>
      </c>
      <c r="B29" s="707"/>
      <c r="C29" s="133" t="s">
        <v>308</v>
      </c>
      <c r="D29" s="128" t="s">
        <v>823</v>
      </c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857">
        <v>3</v>
      </c>
      <c r="X29" s="710"/>
      <c r="Y29" s="710"/>
      <c r="Z29" s="710"/>
      <c r="AA29" s="583"/>
      <c r="AB29" s="130" t="s">
        <v>328</v>
      </c>
      <c r="AC29" s="128"/>
      <c r="AD29" s="128"/>
      <c r="AE29" s="128"/>
      <c r="AF29" s="137"/>
      <c r="AG29" s="128"/>
      <c r="AH29" s="128"/>
      <c r="AI29" s="128"/>
      <c r="AJ29" s="128"/>
      <c r="AK29" s="128"/>
      <c r="AL29" s="128"/>
      <c r="AM29" s="128"/>
      <c r="AN29" s="128"/>
      <c r="AO29" s="128"/>
      <c r="AP29" s="138"/>
      <c r="AQ29" s="138"/>
      <c r="AR29" s="138"/>
      <c r="AS29" s="138"/>
      <c r="AT29" s="138"/>
      <c r="AU29" s="128"/>
      <c r="AV29" s="128"/>
      <c r="AW29" s="128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64"/>
      <c r="BP29" s="64"/>
    </row>
    <row r="30" spans="1:68" ht="12.75" customHeight="1">
      <c r="A30" s="728" t="s">
        <v>336</v>
      </c>
      <c r="B30" s="707"/>
      <c r="C30" s="128" t="s">
        <v>308</v>
      </c>
      <c r="D30" s="128" t="s">
        <v>824</v>
      </c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857">
        <f>'Veri Girişi'!F95</f>
        <v>4.9000000000000004</v>
      </c>
      <c r="X30" s="710"/>
      <c r="Y30" s="710"/>
      <c r="Z30" s="710"/>
      <c r="AA30" s="583"/>
      <c r="AB30" s="130" t="s">
        <v>377</v>
      </c>
      <c r="AC30" s="128"/>
      <c r="AD30" s="128"/>
      <c r="AE30" s="128"/>
      <c r="AF30" s="137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65"/>
      <c r="AR30" s="165"/>
      <c r="AS30" s="165"/>
      <c r="AT30" s="165"/>
      <c r="AU30" s="128"/>
      <c r="AV30" s="128"/>
      <c r="AW30" s="128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64"/>
      <c r="BP30" s="64"/>
    </row>
    <row r="31" spans="1:68" ht="13.5" customHeight="1">
      <c r="A31" s="728" t="s">
        <v>825</v>
      </c>
      <c r="B31" s="707"/>
      <c r="C31" s="128" t="s">
        <v>308</v>
      </c>
      <c r="D31" s="128" t="s">
        <v>826</v>
      </c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857">
        <f>AT14/1000</f>
        <v>7.208705882352942</v>
      </c>
      <c r="X31" s="710"/>
      <c r="Y31" s="710"/>
      <c r="Z31" s="710"/>
      <c r="AA31" s="583"/>
      <c r="AB31" s="130" t="s">
        <v>377</v>
      </c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64"/>
      <c r="BP31" s="64"/>
    </row>
    <row r="32" spans="1:68" ht="12.75" customHeight="1">
      <c r="A32" s="728" t="s">
        <v>827</v>
      </c>
      <c r="B32" s="707"/>
      <c r="C32" s="128" t="s">
        <v>308</v>
      </c>
      <c r="D32" s="128" t="s">
        <v>828</v>
      </c>
      <c r="E32" s="128"/>
      <c r="F32" s="128"/>
      <c r="G32" s="128"/>
      <c r="H32" s="128"/>
      <c r="I32" s="128"/>
      <c r="J32" s="128"/>
      <c r="K32" s="128"/>
      <c r="L32" s="128"/>
      <c r="M32" s="137"/>
      <c r="N32" s="137"/>
      <c r="O32" s="137"/>
      <c r="P32" s="128"/>
      <c r="Q32" s="154"/>
      <c r="R32" s="154"/>
      <c r="S32" s="154"/>
      <c r="T32" s="137"/>
      <c r="U32" s="128"/>
      <c r="V32" s="137"/>
      <c r="W32" s="857">
        <v>56</v>
      </c>
      <c r="X32" s="710"/>
      <c r="Y32" s="710"/>
      <c r="Z32" s="710"/>
      <c r="AA32" s="583"/>
      <c r="AB32" s="130" t="s">
        <v>829</v>
      </c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64"/>
      <c r="BP32" s="64"/>
    </row>
    <row r="33" spans="1:68" ht="12.75" customHeight="1">
      <c r="A33" s="728" t="s">
        <v>830</v>
      </c>
      <c r="B33" s="707"/>
      <c r="C33" s="128" t="s">
        <v>308</v>
      </c>
      <c r="D33" s="735" t="s">
        <v>831</v>
      </c>
      <c r="E33" s="707"/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07"/>
      <c r="T33" s="707"/>
      <c r="U33" s="707"/>
      <c r="V33" s="258"/>
      <c r="W33" s="806">
        <v>6</v>
      </c>
      <c r="X33" s="710"/>
      <c r="Y33" s="710"/>
      <c r="Z33" s="710"/>
      <c r="AA33" s="583"/>
      <c r="AB33" s="130" t="s">
        <v>832</v>
      </c>
      <c r="AC33" s="128"/>
      <c r="AD33" s="130"/>
      <c r="AE33" s="140"/>
      <c r="AF33" s="140"/>
      <c r="AG33" s="128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8"/>
      <c r="AT33" s="145"/>
      <c r="AU33" s="145"/>
      <c r="AV33" s="130"/>
      <c r="AW33" s="130"/>
      <c r="AX33" s="128"/>
      <c r="AY33" s="130"/>
      <c r="AZ33" s="130"/>
      <c r="BA33" s="130"/>
      <c r="BB33" s="130"/>
      <c r="BC33" s="130"/>
      <c r="BD33" s="130"/>
      <c r="BE33" s="130"/>
      <c r="BF33" s="128"/>
      <c r="BG33" s="128"/>
      <c r="BH33" s="128"/>
      <c r="BI33" s="128"/>
      <c r="BJ33" s="128"/>
      <c r="BK33" s="128"/>
      <c r="BL33" s="128"/>
      <c r="BM33" s="128"/>
      <c r="BN33" s="128"/>
      <c r="BO33" s="109"/>
      <c r="BP33" s="109"/>
    </row>
    <row r="34" spans="1:68" ht="12.75" customHeight="1">
      <c r="A34" s="130" t="s">
        <v>833</v>
      </c>
      <c r="B34" s="130"/>
      <c r="C34" s="128" t="s">
        <v>308</v>
      </c>
      <c r="D34" s="735" t="s">
        <v>834</v>
      </c>
      <c r="E34" s="707"/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7"/>
      <c r="T34" s="707"/>
      <c r="U34" s="707"/>
      <c r="V34" s="258"/>
      <c r="W34" s="806">
        <v>4</v>
      </c>
      <c r="X34" s="710"/>
      <c r="Y34" s="710"/>
      <c r="Z34" s="710"/>
      <c r="AA34" s="583"/>
      <c r="AB34" s="130" t="s">
        <v>832</v>
      </c>
      <c r="AC34" s="128"/>
      <c r="AD34" s="130"/>
      <c r="AE34" s="140"/>
      <c r="AF34" s="140"/>
      <c r="AG34" s="128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8"/>
      <c r="AT34" s="145"/>
      <c r="AU34" s="145"/>
      <c r="AV34" s="130"/>
      <c r="AW34" s="130"/>
      <c r="AX34" s="128"/>
      <c r="AY34" s="130"/>
      <c r="AZ34" s="130"/>
      <c r="BA34" s="130"/>
      <c r="BB34" s="130"/>
      <c r="BC34" s="130"/>
      <c r="BD34" s="130"/>
      <c r="BE34" s="130"/>
      <c r="BF34" s="128"/>
      <c r="BG34" s="128"/>
      <c r="BH34" s="128"/>
      <c r="BI34" s="128"/>
      <c r="BJ34" s="128"/>
      <c r="BK34" s="128"/>
      <c r="BL34" s="128"/>
      <c r="BM34" s="128"/>
      <c r="BN34" s="128"/>
      <c r="BO34" s="109"/>
      <c r="BP34" s="109"/>
    </row>
    <row r="35" spans="1:68" ht="6" customHeight="1">
      <c r="A35" s="130" t="s">
        <v>835</v>
      </c>
      <c r="B35" s="128"/>
      <c r="C35" s="128" t="s">
        <v>308</v>
      </c>
      <c r="D35" s="174" t="s">
        <v>836</v>
      </c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1">
        <v>0.85</v>
      </c>
      <c r="X35" s="144"/>
      <c r="Y35" s="144"/>
      <c r="Z35" s="144"/>
      <c r="AA35" s="144"/>
      <c r="AB35" s="130" t="s">
        <v>317</v>
      </c>
      <c r="AC35" s="162"/>
      <c r="AD35" s="162"/>
      <c r="AE35" s="162"/>
      <c r="AF35" s="162"/>
      <c r="AG35" s="144"/>
      <c r="AH35" s="144"/>
      <c r="AI35" s="144"/>
      <c r="AJ35" s="128"/>
      <c r="AK35" s="128"/>
      <c r="AL35" s="128"/>
      <c r="AM35" s="128"/>
      <c r="AN35" s="128"/>
      <c r="AO35" s="128"/>
      <c r="AP35" s="128"/>
      <c r="AQ35" s="128"/>
      <c r="AR35" s="144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33"/>
      <c r="BG35" s="133"/>
      <c r="BH35" s="133"/>
      <c r="BI35" s="133"/>
      <c r="BJ35" s="133"/>
      <c r="BK35" s="133"/>
      <c r="BL35" s="133"/>
      <c r="BM35" s="133"/>
      <c r="BN35" s="133"/>
      <c r="BO35" s="64"/>
      <c r="BP35" s="64"/>
    </row>
    <row r="36" spans="1:68" ht="6" customHeight="1">
      <c r="A36" s="130" t="s">
        <v>837</v>
      </c>
      <c r="B36" s="128"/>
      <c r="C36" s="128" t="s">
        <v>308</v>
      </c>
      <c r="D36" s="174" t="s">
        <v>838</v>
      </c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1">
        <f>W30/W35</f>
        <v>5.764705882352942</v>
      </c>
      <c r="X36" s="144"/>
      <c r="Y36" s="144"/>
      <c r="Z36" s="144"/>
      <c r="AA36" s="144"/>
      <c r="AB36" s="130" t="s">
        <v>377</v>
      </c>
      <c r="AC36" s="162"/>
      <c r="AD36" s="162"/>
      <c r="AE36" s="162"/>
      <c r="AF36" s="162"/>
      <c r="AG36" s="144"/>
      <c r="AH36" s="144"/>
      <c r="AI36" s="144"/>
      <c r="AJ36" s="128"/>
      <c r="AK36" s="128"/>
      <c r="AL36" s="128"/>
      <c r="AM36" s="128"/>
      <c r="AN36" s="128"/>
      <c r="AO36" s="128"/>
      <c r="AP36" s="128"/>
      <c r="AQ36" s="128"/>
      <c r="AR36" s="144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33"/>
      <c r="BG36" s="133"/>
      <c r="BH36" s="133"/>
      <c r="BI36" s="133"/>
      <c r="BJ36" s="133"/>
      <c r="BK36" s="133"/>
      <c r="BL36" s="133"/>
      <c r="BM36" s="133"/>
      <c r="BN36" s="133"/>
      <c r="BO36" s="64"/>
      <c r="BP36" s="64"/>
    </row>
    <row r="37" spans="1:68" ht="12.75" customHeight="1">
      <c r="A37" s="259" t="s">
        <v>839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6"/>
      <c r="Y37" s="146"/>
      <c r="Z37" s="128"/>
      <c r="AA37" s="146"/>
      <c r="AB37" s="162"/>
      <c r="AC37" s="162"/>
      <c r="AD37" s="162"/>
      <c r="AE37" s="162"/>
      <c r="AF37" s="162"/>
      <c r="AG37" s="144"/>
      <c r="AH37" s="144"/>
      <c r="AI37" s="144"/>
      <c r="AJ37" s="128"/>
      <c r="AK37" s="128"/>
      <c r="AL37" s="128"/>
      <c r="AM37" s="128"/>
      <c r="AN37" s="128"/>
      <c r="AO37" s="128"/>
      <c r="AP37" s="128"/>
      <c r="AQ37" s="128"/>
      <c r="AR37" s="144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/>
      <c r="BF37" s="133"/>
      <c r="BG37" s="133"/>
      <c r="BH37" s="133"/>
      <c r="BI37" s="133"/>
      <c r="BJ37" s="133"/>
      <c r="BK37" s="133"/>
      <c r="BL37" s="133"/>
      <c r="BM37" s="133"/>
      <c r="BN37" s="133"/>
      <c r="BO37" s="64"/>
      <c r="BP37" s="64"/>
    </row>
    <row r="38" spans="1:68" ht="6" customHeight="1">
      <c r="A38" s="250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109"/>
      <c r="P38" s="109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119"/>
      <c r="AP38" s="119"/>
      <c r="AQ38" s="119"/>
      <c r="AR38" s="129"/>
      <c r="AS38" s="129"/>
      <c r="AT38" s="129"/>
      <c r="AU38" s="260"/>
      <c r="AV38" s="260"/>
      <c r="AW38" s="260"/>
      <c r="AX38" s="260"/>
      <c r="AY38" s="260"/>
      <c r="AZ38" s="260"/>
      <c r="BA38" s="260"/>
      <c r="BB38" s="144"/>
      <c r="BC38" s="144"/>
      <c r="BD38" s="144"/>
      <c r="BE38" s="144"/>
      <c r="BF38" s="128"/>
      <c r="BG38" s="128"/>
      <c r="BH38" s="128"/>
      <c r="BI38" s="128"/>
      <c r="BJ38" s="128"/>
      <c r="BK38" s="128"/>
      <c r="BL38" s="128"/>
      <c r="BM38" s="128"/>
      <c r="BN38" s="128"/>
      <c r="BO38" s="113"/>
      <c r="BP38" s="113"/>
    </row>
    <row r="39" spans="1:68" ht="13.5" customHeight="1">
      <c r="A39" s="144"/>
      <c r="B39" s="144"/>
      <c r="C39" s="721" t="s">
        <v>840</v>
      </c>
      <c r="D39" s="730" t="s">
        <v>262</v>
      </c>
      <c r="E39" s="808" t="s">
        <v>841</v>
      </c>
      <c r="F39" s="724"/>
      <c r="G39" s="724"/>
      <c r="H39" s="724"/>
      <c r="I39" s="724"/>
      <c r="J39" s="724"/>
      <c r="K39" s="144"/>
      <c r="L39" s="144"/>
      <c r="M39" s="144"/>
      <c r="N39" s="721" t="s">
        <v>840</v>
      </c>
      <c r="O39" s="730" t="s">
        <v>262</v>
      </c>
      <c r="P39" s="875">
        <v>100</v>
      </c>
      <c r="Q39" s="724"/>
      <c r="R39" s="206" t="s">
        <v>357</v>
      </c>
      <c r="S39" s="879">
        <f>W26</f>
        <v>33.85</v>
      </c>
      <c r="T39" s="724"/>
      <c r="U39" s="724"/>
      <c r="V39" s="206" t="s">
        <v>357</v>
      </c>
      <c r="W39" s="847">
        <f>W31*1000</f>
        <v>7208.7058823529424</v>
      </c>
      <c r="X39" s="724"/>
      <c r="Y39" s="724"/>
      <c r="Z39" s="235"/>
      <c r="AA39" s="144"/>
      <c r="AB39" s="151"/>
      <c r="AC39" s="721" t="s">
        <v>840</v>
      </c>
      <c r="AD39" s="730" t="s">
        <v>262</v>
      </c>
      <c r="AE39" s="721">
        <f>P39*S39*W39/P40/T40/Y40</f>
        <v>0.45389638042717095</v>
      </c>
      <c r="AF39" s="707"/>
      <c r="AG39" s="707"/>
      <c r="AH39" s="144"/>
      <c r="AI39" s="144"/>
      <c r="AJ39" s="128"/>
      <c r="AK39" s="128"/>
      <c r="AL39" s="128"/>
      <c r="AM39" s="128"/>
      <c r="AN39" s="128"/>
      <c r="AO39" s="128"/>
      <c r="AP39" s="128"/>
      <c r="AQ39" s="128"/>
      <c r="AR39" s="144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33"/>
      <c r="BG39" s="133"/>
      <c r="BH39" s="133"/>
      <c r="BI39" s="133"/>
      <c r="BJ39" s="133"/>
      <c r="BK39" s="133"/>
      <c r="BL39" s="133"/>
      <c r="BM39" s="133"/>
      <c r="BN39" s="133"/>
      <c r="BO39" s="64"/>
      <c r="BP39" s="64"/>
    </row>
    <row r="40" spans="1:68" ht="14.25" customHeight="1">
      <c r="A40" s="144"/>
      <c r="B40" s="144"/>
      <c r="C40" s="707"/>
      <c r="D40" s="707"/>
      <c r="E40" s="779" t="s">
        <v>842</v>
      </c>
      <c r="F40" s="637"/>
      <c r="G40" s="637"/>
      <c r="H40" s="637"/>
      <c r="I40" s="637"/>
      <c r="J40" s="637"/>
      <c r="K40" s="144"/>
      <c r="L40" s="144"/>
      <c r="M40" s="144"/>
      <c r="N40" s="707"/>
      <c r="O40" s="707"/>
      <c r="P40" s="894">
        <f>W32</f>
        <v>56</v>
      </c>
      <c r="Q40" s="707"/>
      <c r="R40" s="707"/>
      <c r="S40" s="146" t="s">
        <v>357</v>
      </c>
      <c r="T40" s="856">
        <f>W28*W28</f>
        <v>160000</v>
      </c>
      <c r="U40" s="707"/>
      <c r="V40" s="707"/>
      <c r="W40" s="707"/>
      <c r="X40" s="146" t="s">
        <v>357</v>
      </c>
      <c r="Y40" s="876">
        <f>W33</f>
        <v>6</v>
      </c>
      <c r="Z40" s="707"/>
      <c r="AA40" s="144"/>
      <c r="AB40" s="144"/>
      <c r="AC40" s="707"/>
      <c r="AD40" s="707"/>
      <c r="AE40" s="707"/>
      <c r="AF40" s="707"/>
      <c r="AG40" s="707"/>
      <c r="AH40" s="144"/>
      <c r="AI40" s="144"/>
      <c r="AJ40" s="128"/>
      <c r="AK40" s="128"/>
      <c r="AL40" s="128"/>
      <c r="AM40" s="128"/>
      <c r="AN40" s="128"/>
      <c r="AO40" s="128"/>
      <c r="AP40" s="128"/>
      <c r="AQ40" s="128"/>
      <c r="AR40" s="144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33"/>
      <c r="BG40" s="133"/>
      <c r="BH40" s="133"/>
      <c r="BI40" s="133"/>
      <c r="BJ40" s="133"/>
      <c r="BK40" s="133"/>
      <c r="BL40" s="133"/>
      <c r="BM40" s="133"/>
      <c r="BN40" s="133"/>
      <c r="BO40" s="64"/>
      <c r="BP40" s="64"/>
    </row>
    <row r="41" spans="1:68" ht="6" customHeight="1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109"/>
      <c r="P41" s="109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119"/>
      <c r="AP41" s="119"/>
      <c r="AQ41" s="119"/>
      <c r="AR41" s="129"/>
      <c r="AS41" s="129"/>
      <c r="AT41" s="129"/>
      <c r="AU41" s="260"/>
      <c r="AV41" s="260"/>
      <c r="AW41" s="260"/>
      <c r="AX41" s="260"/>
      <c r="AY41" s="260"/>
      <c r="AZ41" s="260"/>
      <c r="BA41" s="260"/>
      <c r="BB41" s="144"/>
      <c r="BC41" s="144"/>
      <c r="BD41" s="144"/>
      <c r="BE41" s="144"/>
      <c r="BF41" s="128"/>
      <c r="BG41" s="128"/>
      <c r="BH41" s="128"/>
      <c r="BI41" s="128"/>
      <c r="BJ41" s="128"/>
      <c r="BK41" s="128"/>
      <c r="BL41" s="128"/>
      <c r="BM41" s="128"/>
      <c r="BN41" s="128"/>
      <c r="BO41" s="113"/>
      <c r="BP41" s="113"/>
    </row>
    <row r="42" spans="1:68" ht="12.75" customHeight="1">
      <c r="A42" s="154" t="s">
        <v>822</v>
      </c>
      <c r="B42" s="143" t="s">
        <v>383</v>
      </c>
      <c r="C42" s="730" t="s">
        <v>840</v>
      </c>
      <c r="D42" s="707"/>
      <c r="E42" s="160" t="s">
        <v>843</v>
      </c>
      <c r="F42" s="734">
        <f>W29</f>
        <v>3</v>
      </c>
      <c r="G42" s="707"/>
      <c r="H42" s="707"/>
      <c r="I42" s="143" t="s">
        <v>383</v>
      </c>
      <c r="J42" s="734">
        <f>AE39</f>
        <v>0.45389638042717095</v>
      </c>
      <c r="K42" s="707"/>
      <c r="L42" s="707"/>
      <c r="M42" s="144" t="s">
        <v>844</v>
      </c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734">
        <f>W33</f>
        <v>6</v>
      </c>
      <c r="AC42" s="707"/>
      <c r="AD42" s="707"/>
      <c r="AE42" s="130" t="s">
        <v>832</v>
      </c>
      <c r="AF42" s="162"/>
      <c r="AG42" s="144"/>
      <c r="AH42" s="831" t="str">
        <f>IF(F42&gt;=J42,"UYGUNDUR.","UYGUN DEĞİLDİR.")</f>
        <v>UYGUNDUR.</v>
      </c>
      <c r="AI42" s="710"/>
      <c r="AJ42" s="710"/>
      <c r="AK42" s="710"/>
      <c r="AL42" s="710"/>
      <c r="AM42" s="710"/>
      <c r="AN42" s="710"/>
      <c r="AO42" s="710"/>
      <c r="AP42" s="710"/>
      <c r="AQ42" s="583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28"/>
      <c r="BG42" s="128"/>
      <c r="BH42" s="128"/>
      <c r="BI42" s="128"/>
      <c r="BJ42" s="128"/>
      <c r="BK42" s="128"/>
      <c r="BL42" s="128"/>
      <c r="BM42" s="128"/>
      <c r="BN42" s="128"/>
      <c r="BO42" s="113"/>
      <c r="BP42" s="113"/>
    </row>
    <row r="43" spans="1:68" ht="6" customHeight="1">
      <c r="A43" s="250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109"/>
      <c r="P43" s="109"/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0"/>
      <c r="AN43" s="250"/>
      <c r="AO43" s="119"/>
      <c r="AP43" s="119"/>
      <c r="AQ43" s="119"/>
      <c r="AR43" s="129"/>
      <c r="AS43" s="129"/>
      <c r="AT43" s="129"/>
      <c r="AU43" s="260"/>
      <c r="AV43" s="260"/>
      <c r="AW43" s="260"/>
      <c r="AX43" s="260"/>
      <c r="AY43" s="260"/>
      <c r="AZ43" s="260"/>
      <c r="BA43" s="260"/>
      <c r="BB43" s="144"/>
      <c r="BC43" s="144"/>
      <c r="BD43" s="144"/>
      <c r="BE43" s="144"/>
      <c r="BF43" s="128"/>
      <c r="BG43" s="128"/>
      <c r="BH43" s="128"/>
      <c r="BI43" s="128"/>
      <c r="BJ43" s="128"/>
      <c r="BK43" s="128"/>
      <c r="BL43" s="128"/>
      <c r="BM43" s="128"/>
      <c r="BN43" s="128"/>
      <c r="BO43" s="113"/>
      <c r="BP43" s="113"/>
    </row>
    <row r="44" spans="1:68" ht="12.75" customHeight="1">
      <c r="A44" s="259" t="s">
        <v>845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7"/>
      <c r="T44" s="137"/>
      <c r="U44" s="128"/>
      <c r="V44" s="137"/>
      <c r="W44" s="137"/>
      <c r="X44" s="137"/>
      <c r="Y44" s="128"/>
      <c r="Z44" s="130"/>
      <c r="AA44" s="137"/>
      <c r="AB44" s="137"/>
      <c r="AC44" s="137"/>
      <c r="AD44" s="130"/>
      <c r="AE44" s="137"/>
      <c r="AF44" s="137"/>
      <c r="AG44" s="137"/>
      <c r="AH44" s="130"/>
      <c r="AI44" s="137"/>
      <c r="AJ44" s="137"/>
      <c r="AK44" s="137"/>
      <c r="AL44" s="130"/>
      <c r="AM44" s="137"/>
      <c r="AN44" s="137"/>
      <c r="AO44" s="137"/>
      <c r="AP44" s="130"/>
      <c r="AQ44" s="137"/>
      <c r="AR44" s="137"/>
      <c r="AS44" s="137"/>
      <c r="AT44" s="130"/>
      <c r="AU44" s="128"/>
      <c r="AV44" s="130"/>
      <c r="AW44" s="187"/>
      <c r="AX44" s="187"/>
      <c r="AY44" s="187"/>
      <c r="AZ44" s="187"/>
      <c r="BA44" s="187"/>
      <c r="BB44" s="187"/>
      <c r="BC44" s="196"/>
      <c r="BD44" s="130"/>
      <c r="BE44" s="130"/>
      <c r="BF44" s="128"/>
      <c r="BG44" s="128"/>
      <c r="BH44" s="128"/>
      <c r="BI44" s="128"/>
      <c r="BJ44" s="128"/>
      <c r="BK44" s="128"/>
      <c r="BL44" s="128"/>
      <c r="BM44" s="128"/>
      <c r="BN44" s="128"/>
      <c r="BO44" s="113"/>
      <c r="BP44" s="113"/>
    </row>
    <row r="45" spans="1:68" ht="6" customHeight="1">
      <c r="A45" s="250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109"/>
      <c r="P45" s="109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119"/>
      <c r="AP45" s="119"/>
      <c r="AQ45" s="119"/>
      <c r="AR45" s="129"/>
      <c r="AS45" s="129"/>
      <c r="AT45" s="129"/>
      <c r="AU45" s="260"/>
      <c r="AV45" s="260"/>
      <c r="AW45" s="260"/>
      <c r="AX45" s="260"/>
      <c r="AY45" s="260"/>
      <c r="AZ45" s="260"/>
      <c r="BA45" s="260"/>
      <c r="BB45" s="144"/>
      <c r="BC45" s="144"/>
      <c r="BD45" s="144"/>
      <c r="BE45" s="144"/>
      <c r="BF45" s="128"/>
      <c r="BG45" s="128"/>
      <c r="BH45" s="128"/>
      <c r="BI45" s="128"/>
      <c r="BJ45" s="128"/>
      <c r="BK45" s="128"/>
      <c r="BL45" s="128"/>
      <c r="BM45" s="128"/>
      <c r="BN45" s="128"/>
      <c r="BO45" s="113"/>
      <c r="BP45" s="113"/>
    </row>
    <row r="46" spans="1:68" ht="12.75" customHeight="1">
      <c r="A46" s="144"/>
      <c r="B46" s="144"/>
      <c r="C46" s="721" t="s">
        <v>846</v>
      </c>
      <c r="D46" s="730" t="s">
        <v>262</v>
      </c>
      <c r="E46" s="808" t="s">
        <v>847</v>
      </c>
      <c r="F46" s="724"/>
      <c r="G46" s="724"/>
      <c r="H46" s="724"/>
      <c r="I46" s="724"/>
      <c r="J46" s="724"/>
      <c r="K46" s="724"/>
      <c r="L46" s="144"/>
      <c r="M46" s="144"/>
      <c r="N46" s="721" t="s">
        <v>840</v>
      </c>
      <c r="O46" s="730" t="s">
        <v>262</v>
      </c>
      <c r="P46" s="875">
        <v>100</v>
      </c>
      <c r="Q46" s="724"/>
      <c r="R46" s="206" t="s">
        <v>357</v>
      </c>
      <c r="S46" s="879">
        <f>W27</f>
        <v>5</v>
      </c>
      <c r="T46" s="724"/>
      <c r="U46" s="724"/>
      <c r="V46" s="206" t="s">
        <v>357</v>
      </c>
      <c r="W46" s="847">
        <f>W36*1000</f>
        <v>5764.7058823529424</v>
      </c>
      <c r="X46" s="724"/>
      <c r="Y46" s="724"/>
      <c r="Z46" s="235"/>
      <c r="AA46" s="151"/>
      <c r="AB46" s="151"/>
      <c r="AC46" s="721" t="s">
        <v>846</v>
      </c>
      <c r="AD46" s="730" t="s">
        <v>262</v>
      </c>
      <c r="AE46" s="721">
        <f>P46*S46*W46/P47/T47/Y47</f>
        <v>8.0422794117647078E-2</v>
      </c>
      <c r="AF46" s="707"/>
      <c r="AG46" s="707"/>
      <c r="AH46" s="144"/>
      <c r="AI46" s="151"/>
      <c r="AJ46" s="151"/>
      <c r="AK46" s="151"/>
      <c r="AL46" s="128"/>
      <c r="AM46" s="144"/>
      <c r="AN46" s="131"/>
      <c r="AO46" s="131"/>
      <c r="AP46" s="131"/>
      <c r="AQ46" s="131"/>
      <c r="AR46" s="131"/>
      <c r="AS46" s="151"/>
      <c r="AT46" s="144"/>
      <c r="AU46" s="128"/>
      <c r="AV46" s="144"/>
      <c r="AW46" s="131"/>
      <c r="AX46" s="131"/>
      <c r="AY46" s="131"/>
      <c r="AZ46" s="131"/>
      <c r="BA46" s="131"/>
      <c r="BB46" s="131"/>
      <c r="BC46" s="164"/>
      <c r="BD46" s="144"/>
      <c r="BE46" s="144"/>
      <c r="BF46" s="128"/>
      <c r="BG46" s="128"/>
      <c r="BH46" s="128"/>
      <c r="BI46" s="128"/>
      <c r="BJ46" s="128"/>
      <c r="BK46" s="128"/>
      <c r="BL46" s="128"/>
      <c r="BM46" s="128"/>
      <c r="BN46" s="128"/>
      <c r="BO46" s="113"/>
      <c r="BP46" s="113"/>
    </row>
    <row r="47" spans="1:68" ht="14.25" customHeight="1">
      <c r="A47" s="144"/>
      <c r="B47" s="144"/>
      <c r="C47" s="707"/>
      <c r="D47" s="707"/>
      <c r="E47" s="737" t="s">
        <v>848</v>
      </c>
      <c r="F47" s="707"/>
      <c r="G47" s="707"/>
      <c r="H47" s="707"/>
      <c r="I47" s="707"/>
      <c r="J47" s="707"/>
      <c r="K47" s="707"/>
      <c r="L47" s="144"/>
      <c r="M47" s="144"/>
      <c r="N47" s="707"/>
      <c r="O47" s="707"/>
      <c r="P47" s="894">
        <f>W32</f>
        <v>56</v>
      </c>
      <c r="Q47" s="707"/>
      <c r="R47" s="707"/>
      <c r="S47" s="146" t="s">
        <v>357</v>
      </c>
      <c r="T47" s="856">
        <f>W28*W28</f>
        <v>160000</v>
      </c>
      <c r="U47" s="707"/>
      <c r="V47" s="707"/>
      <c r="W47" s="707"/>
      <c r="X47" s="146" t="s">
        <v>357</v>
      </c>
      <c r="Y47" s="876">
        <f>W34</f>
        <v>4</v>
      </c>
      <c r="Z47" s="707"/>
      <c r="AA47" s="144"/>
      <c r="AB47" s="144"/>
      <c r="AC47" s="707"/>
      <c r="AD47" s="707"/>
      <c r="AE47" s="707"/>
      <c r="AF47" s="707"/>
      <c r="AG47" s="707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  <c r="BE47" s="144"/>
      <c r="BF47" s="128"/>
      <c r="BG47" s="128"/>
      <c r="BH47" s="128"/>
      <c r="BI47" s="128"/>
      <c r="BJ47" s="128"/>
      <c r="BK47" s="128"/>
      <c r="BL47" s="128"/>
      <c r="BM47" s="128"/>
      <c r="BN47" s="128"/>
      <c r="BO47" s="113"/>
      <c r="BP47" s="113"/>
    </row>
    <row r="48" spans="1:68" ht="6" customHeight="1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109"/>
      <c r="P48" s="109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119"/>
      <c r="AP48" s="119"/>
      <c r="AQ48" s="119"/>
      <c r="AR48" s="129"/>
      <c r="AS48" s="129"/>
      <c r="AT48" s="129"/>
      <c r="AU48" s="260"/>
      <c r="AV48" s="260"/>
      <c r="AW48" s="260"/>
      <c r="AX48" s="260"/>
      <c r="AY48" s="260"/>
      <c r="AZ48" s="260"/>
      <c r="BA48" s="260"/>
      <c r="BB48" s="144"/>
      <c r="BC48" s="144"/>
      <c r="BD48" s="144"/>
      <c r="BE48" s="144"/>
      <c r="BF48" s="128"/>
      <c r="BG48" s="128"/>
      <c r="BH48" s="128"/>
      <c r="BI48" s="128"/>
      <c r="BJ48" s="128"/>
      <c r="BK48" s="128"/>
      <c r="BL48" s="128"/>
      <c r="BM48" s="128"/>
      <c r="BN48" s="128"/>
      <c r="BO48" s="113"/>
      <c r="BP48" s="113"/>
    </row>
    <row r="49" spans="1:68" ht="12.75" customHeight="1">
      <c r="A49" s="154" t="s">
        <v>822</v>
      </c>
      <c r="B49" s="143" t="s">
        <v>383</v>
      </c>
      <c r="C49" s="730" t="s">
        <v>840</v>
      </c>
      <c r="D49" s="707"/>
      <c r="E49" s="160" t="s">
        <v>843</v>
      </c>
      <c r="F49" s="734">
        <f>W29</f>
        <v>3</v>
      </c>
      <c r="G49" s="707"/>
      <c r="H49" s="707"/>
      <c r="I49" s="143" t="s">
        <v>383</v>
      </c>
      <c r="J49" s="734">
        <f>AE46</f>
        <v>8.0422794117647078E-2</v>
      </c>
      <c r="K49" s="707"/>
      <c r="L49" s="707"/>
      <c r="M49" s="144" t="s">
        <v>844</v>
      </c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734">
        <f>W34</f>
        <v>4</v>
      </c>
      <c r="AC49" s="707"/>
      <c r="AD49" s="707"/>
      <c r="AE49" s="130" t="s">
        <v>832</v>
      </c>
      <c r="AF49" s="162"/>
      <c r="AG49" s="144"/>
      <c r="AH49" s="831" t="str">
        <f>IF(F49&gt;=J49,"UYGUNDUR.","UYGUN DEĞİLDİR.")</f>
        <v>UYGUNDUR.</v>
      </c>
      <c r="AI49" s="710"/>
      <c r="AJ49" s="710"/>
      <c r="AK49" s="710"/>
      <c r="AL49" s="710"/>
      <c r="AM49" s="710"/>
      <c r="AN49" s="710"/>
      <c r="AO49" s="710"/>
      <c r="AP49" s="710"/>
      <c r="AQ49" s="583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28"/>
      <c r="BG49" s="128"/>
      <c r="BH49" s="128"/>
      <c r="BI49" s="128"/>
      <c r="BJ49" s="128"/>
      <c r="BK49" s="128"/>
      <c r="BL49" s="128"/>
      <c r="BM49" s="128"/>
      <c r="BN49" s="128"/>
      <c r="BO49" s="113"/>
      <c r="BP49" s="113"/>
    </row>
    <row r="50" spans="1:68" ht="6" customHeight="1">
      <c r="A50" s="250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109"/>
      <c r="P50" s="109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119"/>
      <c r="AP50" s="119"/>
      <c r="AQ50" s="119"/>
      <c r="AR50" s="129"/>
      <c r="AS50" s="129"/>
      <c r="AT50" s="129"/>
      <c r="AU50" s="260"/>
      <c r="AV50" s="260"/>
      <c r="AW50" s="260"/>
      <c r="AX50" s="260"/>
      <c r="AY50" s="260"/>
      <c r="AZ50" s="260"/>
      <c r="BA50" s="260"/>
      <c r="BB50" s="144"/>
      <c r="BC50" s="144"/>
      <c r="BD50" s="144"/>
      <c r="BE50" s="144"/>
      <c r="BF50" s="128"/>
      <c r="BG50" s="128"/>
      <c r="BH50" s="128"/>
      <c r="BI50" s="128"/>
      <c r="BJ50" s="128"/>
      <c r="BK50" s="128"/>
      <c r="BL50" s="128"/>
      <c r="BM50" s="128"/>
      <c r="BN50" s="128"/>
      <c r="BO50" s="113"/>
      <c r="BP50" s="113"/>
    </row>
    <row r="51" spans="1:68" ht="15.75" customHeight="1">
      <c r="A51" s="259" t="s">
        <v>849</v>
      </c>
      <c r="B51" s="144"/>
      <c r="C51" s="151"/>
      <c r="D51" s="144"/>
      <c r="E51" s="144"/>
      <c r="F51" s="144"/>
      <c r="G51" s="144"/>
      <c r="H51" s="151"/>
      <c r="I51" s="144"/>
      <c r="J51" s="144"/>
      <c r="K51" s="144"/>
      <c r="L51" s="144"/>
      <c r="M51" s="144"/>
      <c r="N51" s="144"/>
      <c r="O51" s="151"/>
      <c r="P51" s="151"/>
      <c r="Q51" s="151"/>
      <c r="R51" s="151"/>
      <c r="S51" s="151"/>
      <c r="T51" s="144"/>
      <c r="U51" s="128"/>
      <c r="V51" s="144"/>
      <c r="W51" s="144"/>
      <c r="X51" s="144"/>
      <c r="Y51" s="144"/>
      <c r="Z51" s="144"/>
      <c r="AA51" s="151"/>
      <c r="AB51" s="151"/>
      <c r="AC51" s="144"/>
      <c r="AD51" s="144"/>
      <c r="AE51" s="144"/>
      <c r="AF51" s="144"/>
      <c r="AG51" s="144"/>
      <c r="AH51" s="144"/>
      <c r="AI51" s="144"/>
      <c r="AJ51" s="144"/>
      <c r="AK51" s="151"/>
      <c r="AL51" s="151"/>
      <c r="AM51" s="151"/>
      <c r="AN51" s="151"/>
      <c r="AO51" s="144"/>
      <c r="AP51" s="146"/>
      <c r="AQ51" s="146"/>
      <c r="AR51" s="128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28"/>
      <c r="BG51" s="128"/>
      <c r="BH51" s="128"/>
      <c r="BI51" s="128"/>
      <c r="BJ51" s="128"/>
      <c r="BK51" s="128"/>
      <c r="BL51" s="128"/>
      <c r="BM51" s="128"/>
      <c r="BN51" s="128"/>
      <c r="BO51" s="113"/>
      <c r="BP51" s="113"/>
    </row>
    <row r="52" spans="1:68" ht="6" customHeight="1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109"/>
      <c r="P52" s="109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119"/>
      <c r="AP52" s="119"/>
      <c r="AQ52" s="119"/>
      <c r="AR52" s="129"/>
      <c r="AS52" s="129"/>
      <c r="AT52" s="129"/>
      <c r="AU52" s="260"/>
      <c r="AV52" s="260"/>
      <c r="AW52" s="260"/>
      <c r="AX52" s="260"/>
      <c r="AY52" s="260"/>
      <c r="AZ52" s="260"/>
      <c r="BA52" s="260"/>
      <c r="BB52" s="144"/>
      <c r="BC52" s="144"/>
      <c r="BD52" s="144"/>
      <c r="BE52" s="144"/>
      <c r="BF52" s="128"/>
      <c r="BG52" s="128"/>
      <c r="BH52" s="128"/>
      <c r="BI52" s="128"/>
      <c r="BJ52" s="128"/>
      <c r="BK52" s="128"/>
      <c r="BL52" s="128"/>
      <c r="BM52" s="128"/>
      <c r="BN52" s="128"/>
      <c r="BO52" s="113"/>
      <c r="BP52" s="113"/>
    </row>
    <row r="53" spans="1:68" ht="14.25" customHeight="1">
      <c r="A53" s="722" t="s">
        <v>850</v>
      </c>
      <c r="B53" s="707"/>
      <c r="C53" s="144" t="s">
        <v>262</v>
      </c>
      <c r="D53" s="721" t="s">
        <v>840</v>
      </c>
      <c r="E53" s="707"/>
      <c r="F53" s="144" t="s">
        <v>316</v>
      </c>
      <c r="G53" s="721" t="s">
        <v>846</v>
      </c>
      <c r="H53" s="707"/>
      <c r="I53" s="144"/>
      <c r="J53" s="144"/>
      <c r="K53" s="722" t="s">
        <v>850</v>
      </c>
      <c r="L53" s="707"/>
      <c r="M53" s="144" t="s">
        <v>262</v>
      </c>
      <c r="N53" s="764">
        <f>AE39</f>
        <v>0.45389638042717095</v>
      </c>
      <c r="O53" s="707"/>
      <c r="P53" s="707"/>
      <c r="Q53" s="160" t="s">
        <v>316</v>
      </c>
      <c r="R53" s="734">
        <f>AE46</f>
        <v>8.0422794117647078E-2</v>
      </c>
      <c r="S53" s="707"/>
      <c r="T53" s="707"/>
      <c r="U53" s="151"/>
      <c r="V53" s="722" t="s">
        <v>850</v>
      </c>
      <c r="W53" s="707"/>
      <c r="X53" s="144" t="s">
        <v>262</v>
      </c>
      <c r="Y53" s="764">
        <f>N53+R53</f>
        <v>0.53431917454481803</v>
      </c>
      <c r="Z53" s="707"/>
      <c r="AA53" s="707"/>
      <c r="AB53" s="144"/>
      <c r="AC53" s="154" t="s">
        <v>822</v>
      </c>
      <c r="AD53" s="143" t="s">
        <v>383</v>
      </c>
      <c r="AE53" s="730" t="s">
        <v>850</v>
      </c>
      <c r="AF53" s="707"/>
      <c r="AG53" s="160" t="s">
        <v>843</v>
      </c>
      <c r="AH53" s="216">
        <f>W29</f>
        <v>3</v>
      </c>
      <c r="AI53" s="143" t="s">
        <v>383</v>
      </c>
      <c r="AJ53" s="734">
        <f>Y53</f>
        <v>0.53431917454481803</v>
      </c>
      <c r="AK53" s="707"/>
      <c r="AL53" s="707"/>
      <c r="AM53" s="144" t="s">
        <v>384</v>
      </c>
      <c r="AN53" s="151"/>
      <c r="AO53" s="128"/>
      <c r="AP53" s="144"/>
      <c r="AQ53" s="144"/>
      <c r="AR53" s="144"/>
      <c r="AS53" s="831" t="str">
        <f>IF(AH53&gt;=AJ53,"UYGUNDUR.","UYGUN DEĞİLDİR.")</f>
        <v>UYGUNDUR.</v>
      </c>
      <c r="AT53" s="710"/>
      <c r="AU53" s="710"/>
      <c r="AV53" s="710"/>
      <c r="AW53" s="710"/>
      <c r="AX53" s="710"/>
      <c r="AY53" s="710"/>
      <c r="AZ53" s="710"/>
      <c r="BA53" s="710"/>
      <c r="BB53" s="583"/>
      <c r="BC53" s="144"/>
      <c r="BD53" s="144"/>
      <c r="BE53" s="144"/>
      <c r="BF53" s="128"/>
      <c r="BG53" s="128"/>
      <c r="BH53" s="128"/>
      <c r="BI53" s="128"/>
      <c r="BJ53" s="128"/>
      <c r="BK53" s="128"/>
      <c r="BL53" s="128"/>
      <c r="BM53" s="128"/>
      <c r="BN53" s="128"/>
      <c r="BO53" s="113"/>
      <c r="BP53" s="113"/>
    </row>
    <row r="54" spans="1:68" ht="6" customHeight="1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109"/>
      <c r="P54" s="109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/>
      <c r="AL54" s="250"/>
      <c r="AM54" s="250"/>
      <c r="AN54" s="250"/>
      <c r="AO54" s="119"/>
      <c r="AP54" s="119"/>
      <c r="AQ54" s="119"/>
      <c r="AR54" s="129"/>
      <c r="AS54" s="129"/>
      <c r="AT54" s="129"/>
      <c r="AU54" s="260"/>
      <c r="AV54" s="260"/>
      <c r="AW54" s="260"/>
      <c r="AX54" s="260"/>
      <c r="AY54" s="260"/>
      <c r="AZ54" s="260"/>
      <c r="BA54" s="260"/>
      <c r="BB54" s="144"/>
      <c r="BC54" s="144"/>
      <c r="BD54" s="144"/>
      <c r="BE54" s="144"/>
      <c r="BF54" s="128"/>
      <c r="BG54" s="128"/>
      <c r="BH54" s="128"/>
      <c r="BI54" s="128"/>
      <c r="BJ54" s="128"/>
      <c r="BK54" s="128"/>
      <c r="BL54" s="128"/>
      <c r="BM54" s="128"/>
      <c r="BN54" s="128"/>
      <c r="BO54" s="113"/>
      <c r="BP54" s="113"/>
    </row>
    <row r="55" spans="1:68" ht="11.25" customHeight="1">
      <c r="A55" s="259" t="s">
        <v>851</v>
      </c>
      <c r="B55" s="151"/>
      <c r="C55" s="151"/>
      <c r="D55" s="144"/>
      <c r="E55" s="144"/>
      <c r="F55" s="144"/>
      <c r="G55" s="144"/>
      <c r="H55" s="151"/>
      <c r="I55" s="144"/>
      <c r="J55" s="144"/>
      <c r="K55" s="144"/>
      <c r="L55" s="144"/>
      <c r="M55" s="144"/>
      <c r="N55" s="144"/>
      <c r="O55" s="151"/>
      <c r="P55" s="151"/>
      <c r="Q55" s="151"/>
      <c r="R55" s="151"/>
      <c r="S55" s="144"/>
      <c r="T55" s="144"/>
      <c r="U55" s="144"/>
      <c r="V55" s="144"/>
      <c r="W55" s="144"/>
      <c r="X55" s="144"/>
      <c r="Y55" s="144"/>
      <c r="Z55" s="144"/>
      <c r="AA55" s="151"/>
      <c r="AB55" s="151"/>
      <c r="AC55" s="144"/>
      <c r="AD55" s="144"/>
      <c r="AE55" s="144"/>
      <c r="AF55" s="144"/>
      <c r="AG55" s="144"/>
      <c r="AH55" s="144"/>
      <c r="AI55" s="144"/>
      <c r="AJ55" s="144"/>
      <c r="AK55" s="151"/>
      <c r="AL55" s="151"/>
      <c r="AM55" s="151"/>
      <c r="AN55" s="151"/>
      <c r="AO55" s="151"/>
      <c r="AP55" s="151"/>
      <c r="AQ55" s="144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144"/>
      <c r="BC55" s="144"/>
      <c r="BD55" s="144"/>
      <c r="BE55" s="144"/>
      <c r="BF55" s="128"/>
      <c r="BG55" s="128"/>
      <c r="BH55" s="128"/>
      <c r="BI55" s="128"/>
      <c r="BJ55" s="128"/>
      <c r="BK55" s="128"/>
      <c r="BL55" s="128"/>
      <c r="BM55" s="128"/>
      <c r="BN55" s="128"/>
      <c r="BO55" s="113"/>
      <c r="BP55" s="113"/>
    </row>
    <row r="56" spans="1:68" ht="6" customHeight="1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109"/>
      <c r="P56" s="109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  <c r="AO56" s="119"/>
      <c r="AP56" s="119"/>
      <c r="AQ56" s="119"/>
      <c r="AR56" s="129"/>
      <c r="AS56" s="129"/>
      <c r="AT56" s="129"/>
      <c r="AU56" s="260"/>
      <c r="AV56" s="260"/>
      <c r="AW56" s="260"/>
      <c r="AX56" s="260"/>
      <c r="AY56" s="260"/>
      <c r="AZ56" s="260"/>
      <c r="BA56" s="260"/>
      <c r="BB56" s="144"/>
      <c r="BC56" s="144"/>
      <c r="BD56" s="144"/>
      <c r="BE56" s="144"/>
      <c r="BF56" s="128"/>
      <c r="BG56" s="128"/>
      <c r="BH56" s="128"/>
      <c r="BI56" s="128"/>
      <c r="BJ56" s="128"/>
      <c r="BK56" s="128"/>
      <c r="BL56" s="128"/>
      <c r="BM56" s="128"/>
      <c r="BN56" s="128"/>
      <c r="BO56" s="113"/>
      <c r="BP56" s="113"/>
    </row>
    <row r="57" spans="1:68" ht="12.75" customHeight="1">
      <c r="A57" s="721" t="s">
        <v>852</v>
      </c>
      <c r="B57" s="707"/>
      <c r="C57" s="721" t="s">
        <v>262</v>
      </c>
      <c r="D57" s="760" t="s">
        <v>291</v>
      </c>
      <c r="E57" s="724"/>
      <c r="F57" s="724"/>
      <c r="G57" s="724"/>
      <c r="H57" s="724"/>
      <c r="I57" s="724"/>
      <c r="J57" s="724"/>
      <c r="K57" s="137"/>
      <c r="L57" s="144"/>
      <c r="M57" s="721" t="s">
        <v>852</v>
      </c>
      <c r="N57" s="707"/>
      <c r="O57" s="721" t="s">
        <v>262</v>
      </c>
      <c r="P57" s="756">
        <f>W31*1000</f>
        <v>7208.7058823529424</v>
      </c>
      <c r="Q57" s="724"/>
      <c r="R57" s="724"/>
      <c r="S57" s="724"/>
      <c r="T57" s="724"/>
      <c r="U57" s="724"/>
      <c r="V57" s="724"/>
      <c r="W57" s="724"/>
      <c r="X57" s="724"/>
      <c r="Y57" s="724"/>
      <c r="Z57" s="144"/>
      <c r="AA57" s="151"/>
      <c r="AB57" s="721" t="s">
        <v>852</v>
      </c>
      <c r="AC57" s="707"/>
      <c r="AD57" s="721" t="s">
        <v>262</v>
      </c>
      <c r="AE57" s="734">
        <f>P57/P58/T58/X58</f>
        <v>13.006088380266595</v>
      </c>
      <c r="AF57" s="707"/>
      <c r="AG57" s="707"/>
      <c r="AH57" s="722" t="s">
        <v>397</v>
      </c>
      <c r="AI57" s="144"/>
      <c r="AJ57" s="144"/>
      <c r="AK57" s="151"/>
      <c r="AL57" s="151"/>
      <c r="AM57" s="113"/>
      <c r="AN57" s="113"/>
      <c r="AO57" s="113"/>
      <c r="AP57" s="113"/>
      <c r="AQ57" s="113"/>
      <c r="AR57" s="113"/>
      <c r="AS57" s="113"/>
      <c r="AT57" s="113"/>
      <c r="AU57" s="113"/>
      <c r="AV57" s="246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28"/>
      <c r="BH57" s="128"/>
      <c r="BI57" s="128"/>
      <c r="BJ57" s="128"/>
      <c r="BK57" s="128"/>
      <c r="BL57" s="128"/>
      <c r="BM57" s="128"/>
      <c r="BN57" s="128"/>
      <c r="BO57" s="113"/>
      <c r="BP57" s="113"/>
    </row>
    <row r="58" spans="1:68" ht="12.75" customHeight="1">
      <c r="A58" s="707"/>
      <c r="B58" s="707"/>
      <c r="C58" s="707"/>
      <c r="D58" s="878" t="s">
        <v>853</v>
      </c>
      <c r="E58" s="637"/>
      <c r="F58" s="637"/>
      <c r="G58" s="637"/>
      <c r="H58" s="637"/>
      <c r="I58" s="637"/>
      <c r="J58" s="637"/>
      <c r="K58" s="185"/>
      <c r="L58" s="144"/>
      <c r="M58" s="707"/>
      <c r="N58" s="707"/>
      <c r="O58" s="707"/>
      <c r="P58" s="721">
        <f>SQRT(3)</f>
        <v>1.7320508075688772</v>
      </c>
      <c r="Q58" s="707"/>
      <c r="R58" s="707"/>
      <c r="S58" s="144" t="s">
        <v>357</v>
      </c>
      <c r="T58" s="781">
        <f>W28</f>
        <v>400</v>
      </c>
      <c r="U58" s="707"/>
      <c r="V58" s="707"/>
      <c r="W58" s="144" t="s">
        <v>357</v>
      </c>
      <c r="X58" s="721">
        <v>0.8</v>
      </c>
      <c r="Y58" s="707"/>
      <c r="Z58" s="144"/>
      <c r="AA58" s="151"/>
      <c r="AB58" s="707"/>
      <c r="AC58" s="707"/>
      <c r="AD58" s="707"/>
      <c r="AE58" s="707"/>
      <c r="AF58" s="707"/>
      <c r="AG58" s="707"/>
      <c r="AH58" s="707"/>
      <c r="AI58" s="144"/>
      <c r="AJ58" s="144"/>
      <c r="AK58" s="151"/>
      <c r="AL58" s="151"/>
      <c r="AM58" s="113"/>
      <c r="AN58" s="113"/>
      <c r="AO58" s="113"/>
      <c r="AP58" s="113"/>
      <c r="AQ58" s="113"/>
      <c r="AR58" s="113"/>
      <c r="AS58" s="113"/>
      <c r="AT58" s="113"/>
      <c r="AU58" s="113"/>
      <c r="AV58" s="246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28"/>
      <c r="BH58" s="128"/>
      <c r="BI58" s="128"/>
      <c r="BJ58" s="128"/>
      <c r="BK58" s="128"/>
      <c r="BL58" s="128"/>
      <c r="BM58" s="128"/>
      <c r="BN58" s="128"/>
      <c r="BO58" s="113"/>
      <c r="BP58" s="113"/>
    </row>
    <row r="59" spans="1:68" ht="6" customHeight="1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109"/>
      <c r="P59" s="109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119"/>
      <c r="AP59" s="119"/>
      <c r="AQ59" s="119"/>
      <c r="AR59" s="129"/>
      <c r="AS59" s="129"/>
      <c r="AT59" s="129"/>
      <c r="AU59" s="260"/>
      <c r="AV59" s="260"/>
      <c r="AW59" s="260"/>
      <c r="AX59" s="260"/>
      <c r="AY59" s="260"/>
      <c r="AZ59" s="260"/>
      <c r="BA59" s="260"/>
      <c r="BB59" s="144"/>
      <c r="BC59" s="144"/>
      <c r="BD59" s="144"/>
      <c r="BE59" s="144"/>
      <c r="BF59" s="128"/>
      <c r="BG59" s="128"/>
      <c r="BH59" s="128"/>
      <c r="BI59" s="128"/>
      <c r="BJ59" s="128"/>
      <c r="BK59" s="128"/>
      <c r="BL59" s="128"/>
      <c r="BM59" s="128"/>
      <c r="BN59" s="128"/>
      <c r="BO59" s="113"/>
      <c r="BP59" s="113"/>
    </row>
    <row r="60" spans="1:68" ht="15.75" customHeight="1">
      <c r="A60" s="144" t="s">
        <v>854</v>
      </c>
      <c r="B60" s="151"/>
      <c r="C60" s="151"/>
      <c r="D60" s="144"/>
      <c r="E60" s="144"/>
      <c r="F60" s="144"/>
      <c r="G60" s="144"/>
      <c r="H60" s="151"/>
      <c r="I60" s="144"/>
      <c r="J60" s="144"/>
      <c r="K60" s="144"/>
      <c r="L60" s="144"/>
      <c r="M60" s="144"/>
      <c r="N60" s="144"/>
      <c r="O60" s="151"/>
      <c r="P60" s="151"/>
      <c r="Q60" s="151"/>
      <c r="R60" s="151"/>
      <c r="S60" s="721">
        <v>43</v>
      </c>
      <c r="T60" s="707"/>
      <c r="U60" s="151" t="s">
        <v>397</v>
      </c>
      <c r="V60" s="144" t="s">
        <v>855</v>
      </c>
      <c r="W60" s="113"/>
      <c r="X60" s="113"/>
      <c r="Y60" s="113"/>
      <c r="Z60" s="115"/>
      <c r="AA60" s="113"/>
      <c r="AB60" s="831" t="str">
        <f>IF(S60&gt;=AE57,"UYGUNDUR.","UYGUN DEĞİLDİR.")</f>
        <v>UYGUNDUR.</v>
      </c>
      <c r="AC60" s="710"/>
      <c r="AD60" s="710"/>
      <c r="AE60" s="710"/>
      <c r="AF60" s="710"/>
      <c r="AG60" s="710"/>
      <c r="AH60" s="710"/>
      <c r="AI60" s="710"/>
      <c r="AJ60" s="710"/>
      <c r="AK60" s="583"/>
      <c r="AL60" s="113"/>
      <c r="AM60" s="113"/>
      <c r="AN60" s="113"/>
      <c r="AO60" s="113"/>
      <c r="AP60" s="113"/>
      <c r="AQ60" s="144"/>
      <c r="AR60" s="246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55"/>
      <c r="BD60" s="144"/>
      <c r="BE60" s="144"/>
      <c r="BF60" s="128"/>
      <c r="BG60" s="128"/>
      <c r="BH60" s="128"/>
      <c r="BI60" s="128"/>
      <c r="BJ60" s="128"/>
      <c r="BK60" s="128"/>
      <c r="BL60" s="128"/>
      <c r="BM60" s="128"/>
      <c r="BN60" s="128"/>
      <c r="BO60" s="113"/>
      <c r="BP60" s="113"/>
    </row>
    <row r="61" spans="1:68" ht="6" customHeight="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109"/>
      <c r="P61" s="109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119"/>
      <c r="AP61" s="119"/>
      <c r="AQ61" s="119"/>
      <c r="AR61" s="129"/>
      <c r="AS61" s="129"/>
      <c r="AT61" s="129"/>
      <c r="AU61" s="260"/>
      <c r="AV61" s="260"/>
      <c r="AW61" s="260"/>
      <c r="AX61" s="260"/>
      <c r="AY61" s="260"/>
      <c r="AZ61" s="260"/>
      <c r="BA61" s="260"/>
      <c r="BB61" s="144"/>
      <c r="BC61" s="144"/>
      <c r="BD61" s="144"/>
      <c r="BE61" s="144"/>
      <c r="BF61" s="128"/>
      <c r="BG61" s="128"/>
      <c r="BH61" s="128"/>
      <c r="BI61" s="128"/>
      <c r="BJ61" s="128"/>
      <c r="BK61" s="128"/>
      <c r="BL61" s="128"/>
      <c r="BM61" s="128"/>
      <c r="BN61" s="128"/>
      <c r="BO61" s="113"/>
      <c r="BP61" s="113"/>
    </row>
    <row r="62" spans="1:68" ht="12.75" customHeight="1">
      <c r="A62" s="721" t="s">
        <v>856</v>
      </c>
      <c r="B62" s="707"/>
      <c r="C62" s="721" t="s">
        <v>262</v>
      </c>
      <c r="D62" s="760" t="s">
        <v>336</v>
      </c>
      <c r="E62" s="724"/>
      <c r="F62" s="724"/>
      <c r="G62" s="724"/>
      <c r="H62" s="724"/>
      <c r="I62" s="724"/>
      <c r="J62" s="724"/>
      <c r="K62" s="137"/>
      <c r="L62" s="144"/>
      <c r="M62" s="721" t="s">
        <v>856</v>
      </c>
      <c r="N62" s="707"/>
      <c r="O62" s="721" t="s">
        <v>262</v>
      </c>
      <c r="P62" s="756">
        <f>W36*1000</f>
        <v>5764.7058823529424</v>
      </c>
      <c r="Q62" s="724"/>
      <c r="R62" s="724"/>
      <c r="S62" s="724"/>
      <c r="T62" s="724"/>
      <c r="U62" s="724"/>
      <c r="V62" s="724"/>
      <c r="W62" s="724"/>
      <c r="X62" s="724"/>
      <c r="Y62" s="724"/>
      <c r="Z62" s="144"/>
      <c r="AA62" s="151"/>
      <c r="AB62" s="721" t="s">
        <v>856</v>
      </c>
      <c r="AC62" s="707"/>
      <c r="AD62" s="721" t="s">
        <v>262</v>
      </c>
      <c r="AE62" s="734">
        <f>P62/P63/T63/X63</f>
        <v>10.400795290548407</v>
      </c>
      <c r="AF62" s="707"/>
      <c r="AG62" s="707"/>
      <c r="AH62" s="722" t="s">
        <v>397</v>
      </c>
      <c r="AI62" s="144"/>
      <c r="AJ62" s="144"/>
      <c r="AK62" s="151"/>
      <c r="AL62" s="151"/>
      <c r="AM62" s="151"/>
      <c r="AN62" s="151"/>
      <c r="AO62" s="151"/>
      <c r="AP62" s="151"/>
      <c r="AQ62" s="144"/>
      <c r="AR62" s="260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44"/>
      <c r="BE62" s="144"/>
      <c r="BF62" s="128"/>
      <c r="BG62" s="128"/>
      <c r="BH62" s="128"/>
      <c r="BI62" s="128"/>
      <c r="BJ62" s="128"/>
      <c r="BK62" s="128"/>
      <c r="BL62" s="128"/>
      <c r="BM62" s="128"/>
      <c r="BN62" s="128"/>
      <c r="BO62" s="113"/>
      <c r="BP62" s="113"/>
    </row>
    <row r="63" spans="1:68" ht="12.75" customHeight="1">
      <c r="A63" s="707"/>
      <c r="B63" s="707"/>
      <c r="C63" s="707"/>
      <c r="D63" s="878" t="s">
        <v>853</v>
      </c>
      <c r="E63" s="637"/>
      <c r="F63" s="637"/>
      <c r="G63" s="637"/>
      <c r="H63" s="637"/>
      <c r="I63" s="637"/>
      <c r="J63" s="637"/>
      <c r="K63" s="185"/>
      <c r="L63" s="144"/>
      <c r="M63" s="707"/>
      <c r="N63" s="707"/>
      <c r="O63" s="707"/>
      <c r="P63" s="721">
        <f>SQRT(3)</f>
        <v>1.7320508075688772</v>
      </c>
      <c r="Q63" s="707"/>
      <c r="R63" s="707"/>
      <c r="S63" s="144" t="s">
        <v>357</v>
      </c>
      <c r="T63" s="781">
        <f>W28</f>
        <v>400</v>
      </c>
      <c r="U63" s="707"/>
      <c r="V63" s="707"/>
      <c r="W63" s="144" t="s">
        <v>357</v>
      </c>
      <c r="X63" s="721">
        <v>0.8</v>
      </c>
      <c r="Y63" s="707"/>
      <c r="Z63" s="144"/>
      <c r="AA63" s="151"/>
      <c r="AB63" s="707"/>
      <c r="AC63" s="707"/>
      <c r="AD63" s="707"/>
      <c r="AE63" s="707"/>
      <c r="AF63" s="707"/>
      <c r="AG63" s="707"/>
      <c r="AH63" s="707"/>
      <c r="AI63" s="144"/>
      <c r="AJ63" s="144"/>
      <c r="AK63" s="151"/>
      <c r="AL63" s="151"/>
      <c r="AM63" s="151"/>
      <c r="AN63" s="151"/>
      <c r="AO63" s="151"/>
      <c r="AP63" s="151"/>
      <c r="AQ63" s="144"/>
      <c r="AR63" s="260"/>
      <c r="AS63" s="227"/>
      <c r="AT63" s="227"/>
      <c r="AU63" s="227"/>
      <c r="AV63" s="227"/>
      <c r="AW63" s="227"/>
      <c r="AX63" s="227"/>
      <c r="AY63" s="227"/>
      <c r="AZ63" s="227"/>
      <c r="BA63" s="227"/>
      <c r="BB63" s="227"/>
      <c r="BC63" s="227"/>
      <c r="BD63" s="144"/>
      <c r="BE63" s="144"/>
      <c r="BF63" s="128"/>
      <c r="BG63" s="128"/>
      <c r="BH63" s="128"/>
      <c r="BI63" s="128"/>
      <c r="BJ63" s="128"/>
      <c r="BK63" s="128"/>
      <c r="BL63" s="128"/>
      <c r="BM63" s="128"/>
      <c r="BN63" s="128"/>
      <c r="BO63" s="113"/>
      <c r="BP63" s="113"/>
    </row>
    <row r="64" spans="1:68" ht="6" customHeight="1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109"/>
      <c r="P64" s="109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  <c r="AO64" s="119"/>
      <c r="AP64" s="119"/>
      <c r="AQ64" s="119"/>
      <c r="AR64" s="129"/>
      <c r="AS64" s="129"/>
      <c r="AT64" s="129"/>
      <c r="AU64" s="260"/>
      <c r="AV64" s="260"/>
      <c r="AW64" s="260"/>
      <c r="AX64" s="260"/>
      <c r="AY64" s="260"/>
      <c r="AZ64" s="260"/>
      <c r="BA64" s="260"/>
      <c r="BB64" s="144"/>
      <c r="BC64" s="144"/>
      <c r="BD64" s="144"/>
      <c r="BE64" s="144"/>
      <c r="BF64" s="128"/>
      <c r="BG64" s="128"/>
      <c r="BH64" s="128"/>
      <c r="BI64" s="128"/>
      <c r="BJ64" s="128"/>
      <c r="BK64" s="128"/>
      <c r="BL64" s="128"/>
      <c r="BM64" s="128"/>
      <c r="BN64" s="128"/>
      <c r="BO64" s="113"/>
      <c r="BP64" s="113"/>
    </row>
    <row r="65" spans="1:68" ht="13.5" customHeight="1">
      <c r="A65" s="130" t="s">
        <v>857</v>
      </c>
      <c r="B65" s="151"/>
      <c r="C65" s="151"/>
      <c r="D65" s="144"/>
      <c r="E65" s="144"/>
      <c r="F65" s="144"/>
      <c r="G65" s="144"/>
      <c r="H65" s="151"/>
      <c r="I65" s="144"/>
      <c r="J65" s="144"/>
      <c r="K65" s="144"/>
      <c r="L65" s="144"/>
      <c r="M65" s="144"/>
      <c r="N65" s="144"/>
      <c r="O65" s="151"/>
      <c r="P65" s="151"/>
      <c r="Q65" s="151"/>
      <c r="R65" s="151"/>
      <c r="S65" s="144"/>
      <c r="T65" s="144"/>
      <c r="U65" s="144"/>
      <c r="V65" s="144"/>
      <c r="W65" s="144"/>
      <c r="X65" s="144"/>
      <c r="Y65" s="721">
        <v>34</v>
      </c>
      <c r="Z65" s="707"/>
      <c r="AA65" s="144" t="s">
        <v>397</v>
      </c>
      <c r="AB65" s="144" t="s">
        <v>855</v>
      </c>
      <c r="AC65" s="113"/>
      <c r="AD65" s="113"/>
      <c r="AE65" s="113"/>
      <c r="AF65" s="113"/>
      <c r="AG65" s="113"/>
      <c r="AH65" s="831" t="str">
        <f>IF(Y65&gt;=AE62,"UYGUNDUR.","UYGUN DEĞİLDİR.")</f>
        <v>UYGUNDUR.</v>
      </c>
      <c r="AI65" s="710"/>
      <c r="AJ65" s="710"/>
      <c r="AK65" s="710"/>
      <c r="AL65" s="710"/>
      <c r="AM65" s="710"/>
      <c r="AN65" s="710"/>
      <c r="AO65" s="710"/>
      <c r="AP65" s="710"/>
      <c r="AQ65" s="583"/>
      <c r="AR65" s="113"/>
      <c r="AS65" s="113"/>
      <c r="AT65" s="113"/>
      <c r="AU65" s="260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28"/>
      <c r="BG65" s="128"/>
      <c r="BH65" s="128"/>
      <c r="BI65" s="128"/>
      <c r="BJ65" s="128"/>
      <c r="BK65" s="128"/>
      <c r="BL65" s="128"/>
      <c r="BM65" s="128"/>
      <c r="BN65" s="128"/>
      <c r="BO65" s="113"/>
      <c r="BP65" s="113"/>
    </row>
    <row r="66" spans="1:68" ht="6" customHeight="1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109"/>
      <c r="P66" s="109"/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0"/>
      <c r="AN66" s="250"/>
      <c r="AO66" s="119"/>
      <c r="AP66" s="119"/>
      <c r="AQ66" s="119"/>
      <c r="AR66" s="129"/>
      <c r="AS66" s="129"/>
      <c r="AT66" s="129"/>
      <c r="AU66" s="260"/>
      <c r="AV66" s="260"/>
      <c r="AW66" s="260"/>
      <c r="AX66" s="260"/>
      <c r="AY66" s="260"/>
      <c r="AZ66" s="260"/>
      <c r="BA66" s="260"/>
      <c r="BB66" s="144"/>
      <c r="BC66" s="144"/>
      <c r="BD66" s="144"/>
      <c r="BE66" s="144"/>
      <c r="BF66" s="128"/>
      <c r="BG66" s="128"/>
      <c r="BH66" s="128"/>
      <c r="BI66" s="128"/>
      <c r="BJ66" s="128"/>
      <c r="BK66" s="128"/>
      <c r="BL66" s="128"/>
      <c r="BM66" s="128"/>
      <c r="BN66" s="128"/>
      <c r="BO66" s="113"/>
      <c r="BP66" s="113"/>
    </row>
    <row r="67" spans="1:68" ht="6" customHeight="1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109"/>
      <c r="P67" s="109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119"/>
      <c r="AP67" s="119"/>
      <c r="AQ67" s="119"/>
      <c r="AR67" s="129"/>
      <c r="AS67" s="129"/>
      <c r="AT67" s="129"/>
      <c r="AU67" s="260"/>
      <c r="AV67" s="260"/>
      <c r="AW67" s="260"/>
      <c r="AX67" s="260"/>
      <c r="AY67" s="260"/>
      <c r="AZ67" s="260"/>
      <c r="BA67" s="260"/>
      <c r="BB67" s="144"/>
      <c r="BC67" s="144"/>
      <c r="BD67" s="144"/>
      <c r="BE67" s="144"/>
      <c r="BF67" s="128"/>
      <c r="BG67" s="128"/>
      <c r="BH67" s="128"/>
      <c r="BI67" s="128"/>
      <c r="BJ67" s="128"/>
      <c r="BK67" s="128"/>
      <c r="BL67" s="128"/>
      <c r="BM67" s="128"/>
      <c r="BN67" s="128"/>
      <c r="BO67" s="113"/>
      <c r="BP67" s="113"/>
    </row>
    <row r="68" spans="1:68" ht="15.75" customHeight="1">
      <c r="A68" s="261" t="s">
        <v>858</v>
      </c>
      <c r="B68" s="262"/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2"/>
      <c r="AD68" s="263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129"/>
      <c r="AS68" s="129"/>
      <c r="AT68" s="129"/>
      <c r="AU68" s="168"/>
      <c r="AV68" s="168"/>
      <c r="AW68" s="168"/>
      <c r="AX68" s="168"/>
      <c r="AY68" s="168"/>
      <c r="AZ68" s="168"/>
      <c r="BA68" s="168"/>
      <c r="BB68" s="144"/>
      <c r="BC68" s="144"/>
      <c r="BD68" s="144"/>
      <c r="BE68" s="144"/>
      <c r="BF68" s="146"/>
      <c r="BG68" s="146"/>
      <c r="BH68" s="146"/>
      <c r="BI68" s="146"/>
      <c r="BJ68" s="146"/>
      <c r="BK68" s="146"/>
      <c r="BL68" s="146"/>
      <c r="BM68" s="146"/>
      <c r="BN68" s="146"/>
      <c r="BO68" s="115"/>
      <c r="BP68" s="115"/>
    </row>
    <row r="69" spans="1:68" ht="6" customHeight="1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62"/>
      <c r="P69" s="262"/>
      <c r="Q69" s="250"/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112"/>
      <c r="AP69" s="112"/>
      <c r="AQ69" s="112"/>
      <c r="AR69" s="112"/>
      <c r="AS69" s="112"/>
      <c r="AT69" s="112"/>
      <c r="AU69" s="112"/>
      <c r="AV69" s="112"/>
      <c r="AW69" s="112"/>
      <c r="AX69" s="262"/>
      <c r="AY69" s="264"/>
      <c r="AZ69" s="264"/>
      <c r="BA69" s="264"/>
      <c r="BB69" s="264"/>
      <c r="BC69" s="264"/>
      <c r="BD69" s="264"/>
      <c r="BE69" s="264"/>
      <c r="BF69" s="262"/>
      <c r="BG69" s="262"/>
      <c r="BH69" s="262"/>
      <c r="BI69" s="262"/>
      <c r="BJ69" s="262"/>
      <c r="BK69" s="262"/>
      <c r="BL69" s="262"/>
      <c r="BM69" s="262"/>
      <c r="BN69" s="262"/>
      <c r="BO69" s="262"/>
      <c r="BP69" s="262"/>
    </row>
    <row r="70" spans="1:68" ht="12.75" customHeight="1">
      <c r="A70" s="262"/>
      <c r="B70" s="262"/>
      <c r="C70" s="262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738" t="s">
        <v>811</v>
      </c>
      <c r="P70" s="724"/>
      <c r="Q70" s="146"/>
      <c r="R70" s="262"/>
      <c r="S70" s="262"/>
      <c r="T70" s="262"/>
      <c r="U70" s="262"/>
      <c r="V70" s="262"/>
      <c r="W70" s="262"/>
      <c r="X70" s="262"/>
      <c r="Y70" s="262"/>
      <c r="Z70" s="262"/>
      <c r="AA70" s="262"/>
      <c r="AB70" s="262"/>
      <c r="AC70" s="262"/>
      <c r="AD70" s="262"/>
      <c r="AE70" s="262"/>
      <c r="AF70" s="721" t="s">
        <v>796</v>
      </c>
      <c r="AG70" s="707"/>
      <c r="AH70" s="162" t="s">
        <v>262</v>
      </c>
      <c r="AI70" s="734">
        <f>W31</f>
        <v>7.208705882352942</v>
      </c>
      <c r="AJ70" s="707"/>
      <c r="AK70" s="707"/>
      <c r="AL70" s="144" t="s">
        <v>377</v>
      </c>
      <c r="AM70" s="146"/>
      <c r="AN70" s="151"/>
      <c r="AO70" s="262"/>
      <c r="AP70" s="262"/>
      <c r="AQ70" s="262"/>
      <c r="AR70" s="262"/>
      <c r="AS70" s="262"/>
      <c r="AT70" s="262"/>
      <c r="AU70" s="722"/>
      <c r="AV70" s="707"/>
      <c r="AW70" s="162"/>
      <c r="AX70" s="734"/>
      <c r="AY70" s="707"/>
      <c r="AZ70" s="707"/>
      <c r="BA70" s="144"/>
      <c r="BB70" s="262"/>
      <c r="BC70" s="262"/>
      <c r="BD70" s="262"/>
      <c r="BE70" s="262"/>
      <c r="BF70" s="262"/>
      <c r="BG70" s="262"/>
      <c r="BH70" s="262"/>
      <c r="BI70" s="262"/>
      <c r="BJ70" s="262"/>
      <c r="BK70" s="262"/>
      <c r="BL70" s="262"/>
      <c r="BM70" s="262"/>
      <c r="BN70" s="262"/>
      <c r="BO70" s="262"/>
      <c r="BP70" s="262"/>
    </row>
    <row r="71" spans="1:68" ht="12.75" customHeight="1">
      <c r="A71" s="262"/>
      <c r="B71" s="262"/>
      <c r="C71" s="262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873"/>
      <c r="P71" s="873"/>
      <c r="Q71" s="262"/>
      <c r="R71" s="262"/>
      <c r="S71" s="262"/>
      <c r="T71" s="115"/>
      <c r="U71" s="115"/>
      <c r="V71" s="115"/>
      <c r="W71" s="115"/>
      <c r="X71" s="115"/>
      <c r="Y71" s="115"/>
      <c r="Z71" s="115"/>
      <c r="AA71" s="262"/>
      <c r="AB71" s="115"/>
      <c r="AC71" s="115"/>
      <c r="AD71" s="262"/>
      <c r="AE71" s="262"/>
      <c r="AF71" s="262"/>
      <c r="AG71" s="262"/>
      <c r="AH71" s="262"/>
      <c r="AI71" s="262"/>
      <c r="AJ71" s="262"/>
      <c r="AK71" s="262"/>
      <c r="AL71" s="262"/>
      <c r="AM71" s="262"/>
      <c r="AN71" s="262"/>
      <c r="AO71" s="262"/>
      <c r="AP71" s="262"/>
      <c r="AQ71" s="262"/>
      <c r="AR71" s="262"/>
      <c r="AS71" s="262"/>
      <c r="AT71" s="262"/>
      <c r="AU71" s="146"/>
      <c r="AV71" s="115"/>
      <c r="AW71" s="115"/>
      <c r="AX71" s="262"/>
      <c r="AY71" s="262"/>
      <c r="AZ71" s="262"/>
      <c r="BA71" s="262"/>
      <c r="BB71" s="262"/>
      <c r="BC71" s="262"/>
      <c r="BD71" s="262"/>
      <c r="BE71" s="262"/>
      <c r="BF71" s="262"/>
      <c r="BG71" s="262"/>
      <c r="BH71" s="262"/>
      <c r="BI71" s="262"/>
      <c r="BJ71" s="262"/>
      <c r="BK71" s="262"/>
      <c r="BL71" s="262"/>
      <c r="BM71" s="262"/>
      <c r="BN71" s="262"/>
      <c r="BO71" s="262"/>
      <c r="BP71" s="262"/>
    </row>
    <row r="72" spans="1:68" ht="12.75" customHeight="1">
      <c r="A72" s="265"/>
      <c r="B72" s="265"/>
      <c r="C72" s="265"/>
      <c r="D72" s="265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868"/>
      <c r="P72" s="868"/>
      <c r="Q72" s="262"/>
      <c r="R72" s="262"/>
      <c r="S72" s="721">
        <v>4</v>
      </c>
      <c r="T72" s="707"/>
      <c r="U72" s="151" t="s">
        <v>357</v>
      </c>
      <c r="V72" s="781">
        <f>W33</f>
        <v>6</v>
      </c>
      <c r="W72" s="707"/>
      <c r="X72" s="721" t="s">
        <v>399</v>
      </c>
      <c r="Y72" s="707"/>
      <c r="Z72" s="707"/>
      <c r="AA72" s="144" t="s">
        <v>812</v>
      </c>
      <c r="AB72" s="146"/>
      <c r="AC72" s="146"/>
      <c r="AD72" s="262"/>
      <c r="AE72" s="262"/>
      <c r="AF72" s="874"/>
      <c r="AG72" s="855"/>
      <c r="AH72" s="262"/>
      <c r="AI72" s="721">
        <v>2</v>
      </c>
      <c r="AJ72" s="707"/>
      <c r="AK72" s="151" t="s">
        <v>357</v>
      </c>
      <c r="AL72" s="846">
        <f>W83</f>
        <v>1.5</v>
      </c>
      <c r="AM72" s="707"/>
      <c r="AN72" s="721" t="s">
        <v>399</v>
      </c>
      <c r="AO72" s="707"/>
      <c r="AP72" s="707"/>
      <c r="AQ72" s="144" t="s">
        <v>813</v>
      </c>
      <c r="AR72" s="146"/>
      <c r="AS72" s="115"/>
      <c r="AT72" s="262"/>
      <c r="AU72" s="262"/>
      <c r="AV72" s="262"/>
      <c r="AW72" s="262"/>
      <c r="AX72" s="262"/>
      <c r="AY72" s="262"/>
      <c r="AZ72" s="262"/>
      <c r="BA72" s="262"/>
      <c r="BB72" s="262"/>
      <c r="BC72" s="262"/>
      <c r="BD72" s="262"/>
      <c r="BE72" s="262"/>
      <c r="BF72" s="262"/>
      <c r="BG72" s="262"/>
      <c r="BH72" s="262"/>
      <c r="BI72" s="262"/>
      <c r="BJ72" s="262"/>
      <c r="BK72" s="262"/>
      <c r="BL72" s="262"/>
      <c r="BM72" s="262"/>
      <c r="BN72" s="262"/>
      <c r="BO72" s="262"/>
      <c r="BP72" s="262"/>
    </row>
    <row r="73" spans="1:68" ht="7.5" customHeight="1">
      <c r="A73" s="880" t="s">
        <v>814</v>
      </c>
      <c r="B73" s="707"/>
      <c r="C73" s="707"/>
      <c r="D73" s="707"/>
      <c r="E73" s="266"/>
      <c r="F73" s="874"/>
      <c r="G73" s="266"/>
      <c r="H73" s="266"/>
      <c r="I73" s="266"/>
      <c r="J73" s="266"/>
      <c r="K73" s="266"/>
      <c r="L73" s="266"/>
      <c r="M73" s="266"/>
      <c r="N73" s="266"/>
      <c r="O73" s="868"/>
      <c r="P73" s="868"/>
      <c r="Q73" s="266"/>
      <c r="R73" s="266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  <c r="AC73" s="266"/>
      <c r="AD73" s="266"/>
      <c r="AE73" s="266"/>
      <c r="AF73" s="868"/>
      <c r="AG73" s="719"/>
      <c r="AH73" s="267"/>
      <c r="AI73" s="266"/>
      <c r="AJ73" s="266"/>
      <c r="AK73" s="266"/>
      <c r="AL73" s="266"/>
      <c r="AM73" s="266"/>
      <c r="AN73" s="266"/>
      <c r="AO73" s="266"/>
      <c r="AP73" s="266"/>
      <c r="AQ73" s="266"/>
      <c r="AR73" s="266"/>
      <c r="AS73" s="266"/>
      <c r="AT73" s="266"/>
      <c r="AU73" s="262"/>
      <c r="AV73" s="262"/>
      <c r="AW73" s="262"/>
      <c r="AX73" s="262"/>
      <c r="AY73" s="262"/>
      <c r="AZ73" s="262"/>
      <c r="BA73" s="262"/>
      <c r="BB73" s="262"/>
      <c r="BC73" s="262"/>
      <c r="BD73" s="262"/>
      <c r="BE73" s="262"/>
      <c r="BF73" s="262"/>
      <c r="BG73" s="262"/>
      <c r="BH73" s="262"/>
      <c r="BI73" s="262"/>
      <c r="BJ73" s="262"/>
      <c r="BK73" s="262"/>
      <c r="BL73" s="262"/>
      <c r="BM73" s="262"/>
      <c r="BN73" s="262"/>
      <c r="BO73" s="262"/>
      <c r="BP73" s="262"/>
    </row>
    <row r="74" spans="1:68" ht="7.5" customHeight="1">
      <c r="A74" s="707"/>
      <c r="B74" s="707"/>
      <c r="C74" s="707"/>
      <c r="D74" s="707"/>
      <c r="E74" s="262"/>
      <c r="F74" s="869"/>
      <c r="G74" s="262"/>
      <c r="H74" s="262"/>
      <c r="I74" s="262"/>
      <c r="J74" s="262"/>
      <c r="K74" s="262"/>
      <c r="L74" s="262"/>
      <c r="M74" s="262"/>
      <c r="N74" s="262"/>
      <c r="O74" s="868"/>
      <c r="P74" s="868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868"/>
      <c r="AG74" s="719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8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</row>
    <row r="75" spans="1:68" ht="12.75" customHeight="1">
      <c r="A75" s="262"/>
      <c r="B75" s="262"/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868"/>
      <c r="P75" s="868"/>
      <c r="Q75" s="262"/>
      <c r="R75" s="262"/>
      <c r="S75" s="262"/>
      <c r="T75" s="864" t="s">
        <v>815</v>
      </c>
      <c r="U75" s="707"/>
      <c r="V75" s="146" t="s">
        <v>262</v>
      </c>
      <c r="W75" s="734">
        <f>W26</f>
        <v>33.85</v>
      </c>
      <c r="X75" s="707"/>
      <c r="Y75" s="707"/>
      <c r="Z75" s="707"/>
      <c r="AA75" s="864" t="s">
        <v>298</v>
      </c>
      <c r="AB75" s="707"/>
      <c r="AC75" s="262"/>
      <c r="AD75" s="262"/>
      <c r="AE75" s="262"/>
      <c r="AF75" s="869"/>
      <c r="AG75" s="719"/>
      <c r="AH75" s="262"/>
      <c r="AI75" s="262"/>
      <c r="AJ75" s="864" t="s">
        <v>859</v>
      </c>
      <c r="AK75" s="707"/>
      <c r="AL75" s="146" t="s">
        <v>262</v>
      </c>
      <c r="AM75" s="734">
        <f>W78</f>
        <v>26.35</v>
      </c>
      <c r="AN75" s="707"/>
      <c r="AO75" s="707"/>
      <c r="AP75" s="707"/>
      <c r="AQ75" s="864" t="s">
        <v>298</v>
      </c>
      <c r="AR75" s="707"/>
      <c r="AS75" s="262"/>
      <c r="AT75" s="862" t="s">
        <v>860</v>
      </c>
      <c r="AU75" s="863"/>
      <c r="AV75" s="721" t="s">
        <v>861</v>
      </c>
      <c r="AW75" s="707"/>
      <c r="AX75" s="734">
        <f>W81</f>
        <v>8.4000000000000005E-2</v>
      </c>
      <c r="AY75" s="707"/>
      <c r="AZ75" s="707"/>
      <c r="BA75" s="146" t="s">
        <v>377</v>
      </c>
      <c r="BB75" s="262"/>
      <c r="BC75" s="262"/>
      <c r="BD75" s="262"/>
      <c r="BE75" s="262"/>
      <c r="BF75" s="262"/>
      <c r="BG75" s="262"/>
      <c r="BH75" s="262"/>
      <c r="BI75" s="262"/>
      <c r="BJ75" s="262"/>
      <c r="BK75" s="262"/>
      <c r="BL75" s="262"/>
      <c r="BM75" s="262"/>
      <c r="BN75" s="262"/>
      <c r="BO75" s="262"/>
      <c r="BP75" s="262"/>
    </row>
    <row r="76" spans="1:68" ht="12.75" customHeight="1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62"/>
      <c r="M76" s="262"/>
      <c r="N76" s="262"/>
      <c r="O76" s="869"/>
      <c r="P76" s="869"/>
      <c r="Q76" s="250"/>
      <c r="R76" s="250"/>
      <c r="S76" s="250"/>
      <c r="T76" s="262"/>
      <c r="U76" s="262"/>
      <c r="V76" s="262"/>
      <c r="W76" s="262"/>
      <c r="X76" s="262"/>
      <c r="Y76" s="262"/>
      <c r="Z76" s="262"/>
      <c r="AA76" s="262"/>
      <c r="AB76" s="262"/>
      <c r="AC76" s="250"/>
      <c r="AD76" s="250"/>
      <c r="AE76" s="250"/>
      <c r="AF76" s="250"/>
      <c r="AG76" s="250"/>
      <c r="AH76" s="250"/>
      <c r="AI76" s="250"/>
      <c r="AJ76" s="262"/>
      <c r="AK76" s="262"/>
      <c r="AL76" s="262"/>
      <c r="AM76" s="262"/>
      <c r="AN76" s="262"/>
      <c r="AO76" s="262"/>
      <c r="AP76" s="262"/>
      <c r="AQ76" s="262"/>
      <c r="AR76" s="262"/>
      <c r="AS76" s="112"/>
      <c r="AT76" s="262"/>
      <c r="AU76" s="262"/>
      <c r="AV76" s="262"/>
      <c r="AW76" s="262"/>
      <c r="AX76" s="262"/>
      <c r="AY76" s="262"/>
      <c r="AZ76" s="262"/>
      <c r="BA76" s="264"/>
      <c r="BB76" s="264"/>
      <c r="BC76" s="264"/>
      <c r="BD76" s="264"/>
      <c r="BE76" s="264"/>
      <c r="BF76" s="262"/>
      <c r="BG76" s="262"/>
      <c r="BH76" s="262"/>
      <c r="BI76" s="262"/>
      <c r="BJ76" s="262"/>
      <c r="BK76" s="262"/>
      <c r="BL76" s="262"/>
      <c r="BM76" s="262"/>
      <c r="BN76" s="262"/>
      <c r="BO76" s="262"/>
      <c r="BP76" s="262"/>
    </row>
    <row r="77" spans="1:68" ht="12.75" customHeight="1">
      <c r="A77" s="262"/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  <c r="AM77" s="262"/>
      <c r="AN77" s="262"/>
      <c r="AO77" s="262"/>
      <c r="AP77" s="262"/>
      <c r="AQ77" s="262"/>
      <c r="AR77" s="262"/>
      <c r="AS77" s="262"/>
      <c r="AT77" s="262"/>
      <c r="AU77" s="262"/>
      <c r="AV77" s="262"/>
      <c r="AW77" s="262"/>
      <c r="AX77" s="262"/>
      <c r="AY77" s="262"/>
      <c r="AZ77" s="262"/>
      <c r="BA77" s="262"/>
      <c r="BB77" s="262"/>
      <c r="BC77" s="262"/>
      <c r="BD77" s="262"/>
      <c r="BE77" s="262"/>
      <c r="BF77" s="262"/>
      <c r="BG77" s="262"/>
      <c r="BH77" s="262"/>
      <c r="BI77" s="262"/>
      <c r="BJ77" s="262"/>
      <c r="BK77" s="262"/>
      <c r="BL77" s="262"/>
      <c r="BM77" s="262"/>
      <c r="BN77" s="262"/>
      <c r="BO77" s="262"/>
      <c r="BP77" s="262"/>
    </row>
    <row r="78" spans="1:68" ht="12.75" customHeight="1">
      <c r="A78" s="864" t="s">
        <v>859</v>
      </c>
      <c r="B78" s="707"/>
      <c r="C78" s="180" t="s">
        <v>308</v>
      </c>
      <c r="D78" s="146" t="s">
        <v>862</v>
      </c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857">
        <f>AG138</f>
        <v>26.35</v>
      </c>
      <c r="X78" s="710"/>
      <c r="Y78" s="710"/>
      <c r="Z78" s="710"/>
      <c r="AA78" s="583"/>
      <c r="AB78" s="144" t="s">
        <v>365</v>
      </c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63"/>
      <c r="AR78" s="163"/>
      <c r="AS78" s="163"/>
      <c r="AT78" s="163"/>
      <c r="AU78" s="146"/>
      <c r="AV78" s="146"/>
      <c r="AW78" s="146"/>
      <c r="AX78" s="180"/>
      <c r="AY78" s="180"/>
      <c r="AZ78" s="180"/>
      <c r="BA78" s="180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80"/>
      <c r="BM78" s="180"/>
      <c r="BN78" s="180"/>
      <c r="BO78" s="269"/>
      <c r="BP78" s="269"/>
    </row>
    <row r="79" spans="1:68" ht="12.75" customHeight="1">
      <c r="A79" s="864" t="s">
        <v>819</v>
      </c>
      <c r="B79" s="707"/>
      <c r="C79" s="180" t="s">
        <v>308</v>
      </c>
      <c r="D79" s="146" t="s">
        <v>820</v>
      </c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857">
        <v>230</v>
      </c>
      <c r="X79" s="710"/>
      <c r="Y79" s="710"/>
      <c r="Z79" s="710"/>
      <c r="AA79" s="583"/>
      <c r="AB79" s="144" t="s">
        <v>821</v>
      </c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62"/>
      <c r="AR79" s="162"/>
      <c r="AS79" s="162"/>
      <c r="AT79" s="146"/>
      <c r="AU79" s="146"/>
      <c r="AV79" s="146"/>
      <c r="AW79" s="146"/>
      <c r="AX79" s="146"/>
      <c r="AY79" s="146"/>
      <c r="AZ79" s="146"/>
      <c r="BA79" s="146"/>
      <c r="BB79" s="146"/>
      <c r="BC79" s="146"/>
      <c r="BD79" s="146"/>
      <c r="BE79" s="146"/>
      <c r="BF79" s="146"/>
      <c r="BG79" s="146"/>
      <c r="BH79" s="146"/>
      <c r="BI79" s="146"/>
      <c r="BJ79" s="146"/>
      <c r="BK79" s="146"/>
      <c r="BL79" s="146"/>
      <c r="BM79" s="262"/>
      <c r="BN79" s="262"/>
      <c r="BO79" s="262"/>
      <c r="BP79" s="262"/>
    </row>
    <row r="80" spans="1:68" ht="12.75" customHeight="1">
      <c r="A80" s="864" t="s">
        <v>822</v>
      </c>
      <c r="B80" s="707"/>
      <c r="C80" s="180" t="s">
        <v>308</v>
      </c>
      <c r="D80" s="146" t="s">
        <v>823</v>
      </c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857">
        <v>1.5</v>
      </c>
      <c r="X80" s="710"/>
      <c r="Y80" s="710"/>
      <c r="Z80" s="710"/>
      <c r="AA80" s="583"/>
      <c r="AB80" s="144" t="s">
        <v>328</v>
      </c>
      <c r="AC80" s="146"/>
      <c r="AD80" s="146"/>
      <c r="AE80" s="146"/>
      <c r="AF80" s="151"/>
      <c r="AG80" s="146"/>
      <c r="AH80" s="146"/>
      <c r="AI80" s="146"/>
      <c r="AJ80" s="146"/>
      <c r="AK80" s="146"/>
      <c r="AL80" s="146"/>
      <c r="AM80" s="146"/>
      <c r="AN80" s="146"/>
      <c r="AO80" s="146"/>
      <c r="AP80" s="162"/>
      <c r="AQ80" s="162"/>
      <c r="AR80" s="162"/>
      <c r="AS80" s="162"/>
      <c r="AT80" s="146"/>
      <c r="AU80" s="146"/>
      <c r="AV80" s="146"/>
      <c r="AW80" s="146"/>
      <c r="AX80" s="146"/>
      <c r="AY80" s="146"/>
      <c r="AZ80" s="146"/>
      <c r="BA80" s="146"/>
      <c r="BB80" s="146"/>
      <c r="BC80" s="146"/>
      <c r="BD80" s="146"/>
      <c r="BE80" s="146"/>
      <c r="BF80" s="146"/>
      <c r="BG80" s="146"/>
      <c r="BH80" s="146"/>
      <c r="BI80" s="146"/>
      <c r="BJ80" s="146"/>
      <c r="BK80" s="146"/>
      <c r="BL80" s="146"/>
      <c r="BM80" s="269"/>
      <c r="BN80" s="269"/>
      <c r="BO80" s="269"/>
      <c r="BP80" s="262"/>
    </row>
    <row r="81" spans="1:68" ht="12.75" customHeight="1">
      <c r="A81" s="722" t="s">
        <v>863</v>
      </c>
      <c r="B81" s="707"/>
      <c r="C81" s="146" t="s">
        <v>308</v>
      </c>
      <c r="D81" s="146" t="s">
        <v>864</v>
      </c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857">
        <f>AT11/1000</f>
        <v>8.4000000000000005E-2</v>
      </c>
      <c r="X81" s="710"/>
      <c r="Y81" s="710"/>
      <c r="Z81" s="710"/>
      <c r="AA81" s="583"/>
      <c r="AB81" s="144" t="s">
        <v>377</v>
      </c>
      <c r="AC81" s="146"/>
      <c r="AD81" s="146"/>
      <c r="AE81" s="146"/>
      <c r="AF81" s="151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63"/>
      <c r="AR81" s="163"/>
      <c r="AS81" s="163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269"/>
      <c r="BN81" s="269"/>
      <c r="BO81" s="269"/>
      <c r="BP81" s="262"/>
    </row>
    <row r="82" spans="1:68" ht="12.75" customHeight="1">
      <c r="A82" s="722" t="s">
        <v>827</v>
      </c>
      <c r="B82" s="707"/>
      <c r="C82" s="146" t="s">
        <v>308</v>
      </c>
      <c r="D82" s="146" t="s">
        <v>828</v>
      </c>
      <c r="E82" s="146"/>
      <c r="F82" s="146"/>
      <c r="G82" s="146"/>
      <c r="H82" s="146"/>
      <c r="I82" s="146"/>
      <c r="J82" s="146"/>
      <c r="K82" s="146"/>
      <c r="L82" s="146"/>
      <c r="M82" s="151"/>
      <c r="N82" s="151"/>
      <c r="O82" s="151"/>
      <c r="P82" s="146"/>
      <c r="Q82" s="160"/>
      <c r="R82" s="160"/>
      <c r="S82" s="160"/>
      <c r="T82" s="151"/>
      <c r="U82" s="146"/>
      <c r="V82" s="151"/>
      <c r="W82" s="857">
        <v>56</v>
      </c>
      <c r="X82" s="710"/>
      <c r="Y82" s="710"/>
      <c r="Z82" s="710"/>
      <c r="AA82" s="583"/>
      <c r="AB82" s="144" t="s">
        <v>829</v>
      </c>
      <c r="AC82" s="146"/>
      <c r="AD82" s="146"/>
      <c r="AE82" s="146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6"/>
      <c r="AW82" s="146"/>
      <c r="AX82" s="146"/>
      <c r="AY82" s="146"/>
      <c r="AZ82" s="146"/>
      <c r="BA82" s="146"/>
      <c r="BB82" s="146"/>
      <c r="BC82" s="146"/>
      <c r="BD82" s="146"/>
      <c r="BE82" s="146"/>
      <c r="BF82" s="146"/>
      <c r="BG82" s="146"/>
      <c r="BH82" s="146"/>
      <c r="BI82" s="146"/>
      <c r="BJ82" s="146"/>
      <c r="BK82" s="146"/>
      <c r="BL82" s="146"/>
      <c r="BM82" s="269"/>
      <c r="BN82" s="269"/>
      <c r="BO82" s="269"/>
      <c r="BP82" s="262"/>
    </row>
    <row r="83" spans="1:68" ht="12.75" customHeight="1">
      <c r="A83" s="722" t="s">
        <v>865</v>
      </c>
      <c r="B83" s="707"/>
      <c r="C83" s="146" t="s">
        <v>308</v>
      </c>
      <c r="D83" s="735" t="s">
        <v>866</v>
      </c>
      <c r="E83" s="707"/>
      <c r="F83" s="707"/>
      <c r="G83" s="707"/>
      <c r="H83" s="707"/>
      <c r="I83" s="707"/>
      <c r="J83" s="707"/>
      <c r="K83" s="707"/>
      <c r="L83" s="707"/>
      <c r="M83" s="707"/>
      <c r="N83" s="707"/>
      <c r="O83" s="707"/>
      <c r="P83" s="707"/>
      <c r="Q83" s="707"/>
      <c r="R83" s="707"/>
      <c r="S83" s="707"/>
      <c r="T83" s="707"/>
      <c r="U83" s="707"/>
      <c r="V83" s="258"/>
      <c r="W83" s="806">
        <v>1.5</v>
      </c>
      <c r="X83" s="710"/>
      <c r="Y83" s="710"/>
      <c r="Z83" s="710"/>
      <c r="AA83" s="583"/>
      <c r="AB83" s="144" t="s">
        <v>832</v>
      </c>
      <c r="AC83" s="146"/>
      <c r="AD83" s="144"/>
      <c r="AE83" s="140"/>
      <c r="AF83" s="140"/>
      <c r="AG83" s="146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46"/>
      <c r="AT83" s="270"/>
      <c r="AU83" s="270"/>
      <c r="AV83" s="144"/>
      <c r="AW83" s="144"/>
      <c r="AX83" s="146"/>
      <c r="AY83" s="144"/>
      <c r="AZ83" s="144"/>
      <c r="BA83" s="144"/>
      <c r="BB83" s="144"/>
      <c r="BC83" s="144"/>
      <c r="BD83" s="144"/>
      <c r="BE83" s="144"/>
      <c r="BF83" s="146"/>
      <c r="BG83" s="146"/>
      <c r="BH83" s="146"/>
      <c r="BI83" s="146"/>
      <c r="BJ83" s="146"/>
      <c r="BK83" s="146"/>
      <c r="BL83" s="146"/>
      <c r="BM83" s="146"/>
      <c r="BN83" s="146"/>
      <c r="BO83" s="262"/>
      <c r="BP83" s="262"/>
    </row>
    <row r="84" spans="1:68" ht="9.75" customHeight="1">
      <c r="A84" s="720"/>
      <c r="B84" s="707"/>
      <c r="C84" s="256"/>
      <c r="D84" s="112"/>
      <c r="E84" s="112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20"/>
      <c r="AI84" s="120"/>
      <c r="AJ84" s="112"/>
      <c r="AK84" s="271"/>
      <c r="AL84" s="271"/>
      <c r="AM84" s="115"/>
      <c r="AN84" s="115"/>
      <c r="AO84" s="120"/>
      <c r="AP84" s="120"/>
      <c r="AQ84" s="112"/>
      <c r="AR84" s="271"/>
      <c r="AS84" s="271"/>
      <c r="AT84" s="271"/>
      <c r="AU84" s="271"/>
      <c r="AV84" s="271"/>
      <c r="AW84" s="271"/>
      <c r="AX84" s="271"/>
      <c r="AY84" s="271"/>
      <c r="AZ84" s="271"/>
      <c r="BA84" s="271"/>
      <c r="BB84" s="112"/>
      <c r="BC84" s="112"/>
      <c r="BD84" s="112"/>
      <c r="BE84" s="112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</row>
    <row r="85" spans="1:68" ht="12.75" customHeight="1">
      <c r="A85" s="153" t="s">
        <v>867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51"/>
      <c r="T85" s="151"/>
      <c r="U85" s="146"/>
      <c r="V85" s="151"/>
      <c r="W85" s="151"/>
      <c r="X85" s="151"/>
      <c r="Y85" s="146"/>
      <c r="Z85" s="144"/>
      <c r="AA85" s="151"/>
      <c r="AB85" s="151"/>
      <c r="AC85" s="151"/>
      <c r="AD85" s="144"/>
      <c r="AE85" s="151"/>
      <c r="AF85" s="151"/>
      <c r="AG85" s="151"/>
      <c r="AH85" s="144"/>
      <c r="AI85" s="151"/>
      <c r="AJ85" s="151"/>
      <c r="AK85" s="151"/>
      <c r="AL85" s="144"/>
      <c r="AM85" s="151"/>
      <c r="AN85" s="151"/>
      <c r="AO85" s="151"/>
      <c r="AP85" s="144"/>
      <c r="AQ85" s="151"/>
      <c r="AR85" s="151"/>
      <c r="AS85" s="151"/>
      <c r="AT85" s="144"/>
      <c r="AU85" s="146"/>
      <c r="AV85" s="144"/>
      <c r="AW85" s="131"/>
      <c r="AX85" s="131"/>
      <c r="AY85" s="131"/>
      <c r="AZ85" s="131"/>
      <c r="BA85" s="131"/>
      <c r="BB85" s="131"/>
      <c r="BC85" s="164"/>
      <c r="BD85" s="144"/>
      <c r="BE85" s="144"/>
      <c r="BF85" s="146"/>
      <c r="BG85" s="146"/>
      <c r="BH85" s="146"/>
      <c r="BI85" s="146"/>
      <c r="BJ85" s="146"/>
      <c r="BK85" s="146"/>
      <c r="BL85" s="146"/>
      <c r="BM85" s="146"/>
      <c r="BN85" s="146"/>
      <c r="BO85" s="115"/>
      <c r="BP85" s="115"/>
    </row>
    <row r="86" spans="1:68" ht="6" customHeight="1">
      <c r="A86" s="120"/>
      <c r="B86" s="120"/>
      <c r="C86" s="112"/>
      <c r="D86" s="120"/>
      <c r="E86" s="120"/>
      <c r="F86" s="112"/>
      <c r="G86" s="120"/>
      <c r="H86" s="120"/>
      <c r="I86" s="115"/>
      <c r="J86" s="120"/>
      <c r="K86" s="120"/>
      <c r="L86" s="120"/>
      <c r="M86" s="120"/>
      <c r="N86" s="112"/>
      <c r="O86" s="120"/>
      <c r="P86" s="120"/>
      <c r="Q86" s="120"/>
      <c r="R86" s="112"/>
      <c r="S86" s="115"/>
      <c r="T86" s="115"/>
      <c r="U86" s="115"/>
      <c r="V86" s="112"/>
      <c r="W86" s="112"/>
      <c r="X86" s="112"/>
      <c r="Y86" s="112"/>
      <c r="Z86" s="112"/>
      <c r="AA86" s="115"/>
      <c r="AB86" s="272"/>
      <c r="AC86" s="272"/>
      <c r="AD86" s="272"/>
      <c r="AE86" s="112"/>
      <c r="AF86" s="112"/>
      <c r="AG86" s="112"/>
      <c r="AH86" s="271"/>
      <c r="AI86" s="271"/>
      <c r="AJ86" s="271"/>
      <c r="AK86" s="271"/>
      <c r="AL86" s="271"/>
      <c r="AM86" s="271"/>
      <c r="AN86" s="271"/>
      <c r="AO86" s="271"/>
      <c r="AP86" s="271"/>
      <c r="AQ86" s="271"/>
      <c r="AR86" s="273"/>
      <c r="AS86" s="273"/>
      <c r="AT86" s="273"/>
      <c r="AU86" s="273"/>
      <c r="AV86" s="273"/>
      <c r="AW86" s="115"/>
      <c r="AX86" s="115"/>
      <c r="AY86" s="115"/>
      <c r="AZ86" s="115"/>
      <c r="BA86" s="112"/>
      <c r="BB86" s="112"/>
      <c r="BC86" s="112"/>
      <c r="BD86" s="112"/>
      <c r="BE86" s="112"/>
      <c r="BF86" s="115"/>
      <c r="BG86" s="115"/>
      <c r="BH86" s="115"/>
      <c r="BI86" s="115"/>
      <c r="BJ86" s="115"/>
      <c r="BK86" s="115"/>
      <c r="BL86" s="115"/>
      <c r="BM86" s="115"/>
      <c r="BN86" s="115"/>
      <c r="BO86" s="115"/>
      <c r="BP86" s="115"/>
    </row>
    <row r="87" spans="1:68" ht="12.75" customHeight="1">
      <c r="A87" s="144"/>
      <c r="B87" s="144"/>
      <c r="C87" s="721" t="s">
        <v>868</v>
      </c>
      <c r="D87" s="730" t="s">
        <v>262</v>
      </c>
      <c r="E87" s="751" t="s">
        <v>869</v>
      </c>
      <c r="F87" s="724"/>
      <c r="G87" s="724"/>
      <c r="H87" s="724"/>
      <c r="I87" s="724"/>
      <c r="J87" s="724"/>
      <c r="K87" s="724"/>
      <c r="L87" s="144"/>
      <c r="M87" s="144"/>
      <c r="N87" s="721" t="s">
        <v>868</v>
      </c>
      <c r="O87" s="730" t="s">
        <v>262</v>
      </c>
      <c r="P87" s="875">
        <v>200</v>
      </c>
      <c r="Q87" s="724"/>
      <c r="R87" s="206" t="s">
        <v>357</v>
      </c>
      <c r="S87" s="879">
        <f>W78</f>
        <v>26.35</v>
      </c>
      <c r="T87" s="724"/>
      <c r="U87" s="724"/>
      <c r="V87" s="206" t="s">
        <v>357</v>
      </c>
      <c r="W87" s="847">
        <f>AX75*1000</f>
        <v>84</v>
      </c>
      <c r="X87" s="724"/>
      <c r="Y87" s="724"/>
      <c r="Z87" s="724"/>
      <c r="AA87" s="151"/>
      <c r="AB87" s="151"/>
      <c r="AC87" s="721" t="s">
        <v>868</v>
      </c>
      <c r="AD87" s="730" t="s">
        <v>262</v>
      </c>
      <c r="AE87" s="734">
        <f>(P87*S87*W87)/(P88*T88*Y88)</f>
        <v>9.9621928166351612E-2</v>
      </c>
      <c r="AF87" s="707"/>
      <c r="AG87" s="707"/>
      <c r="AH87" s="144"/>
      <c r="AI87" s="151"/>
      <c r="AJ87" s="151"/>
      <c r="AK87" s="151"/>
      <c r="AL87" s="144"/>
      <c r="AM87" s="151"/>
      <c r="AN87" s="151"/>
      <c r="AO87" s="151"/>
      <c r="AP87" s="144"/>
      <c r="AQ87" s="151"/>
      <c r="AR87" s="151"/>
      <c r="AS87" s="151"/>
      <c r="AT87" s="144"/>
      <c r="AU87" s="146"/>
      <c r="AV87" s="144"/>
      <c r="AW87" s="131"/>
      <c r="AX87" s="131"/>
      <c r="AY87" s="131"/>
      <c r="AZ87" s="131"/>
      <c r="BA87" s="131"/>
      <c r="BB87" s="131"/>
      <c r="BC87" s="164"/>
      <c r="BD87" s="144"/>
      <c r="BE87" s="144"/>
      <c r="BF87" s="146"/>
      <c r="BG87" s="146"/>
      <c r="BH87" s="146"/>
      <c r="BI87" s="146"/>
      <c r="BJ87" s="146"/>
      <c r="BK87" s="146"/>
      <c r="BL87" s="146"/>
      <c r="BM87" s="146"/>
      <c r="BN87" s="146"/>
      <c r="BO87" s="115"/>
      <c r="BP87" s="115"/>
    </row>
    <row r="88" spans="1:68" ht="13.5" customHeight="1">
      <c r="A88" s="144"/>
      <c r="B88" s="144"/>
      <c r="C88" s="707"/>
      <c r="D88" s="707"/>
      <c r="E88" s="721" t="s">
        <v>870</v>
      </c>
      <c r="F88" s="707"/>
      <c r="G88" s="707"/>
      <c r="H88" s="707"/>
      <c r="I88" s="707"/>
      <c r="J88" s="707"/>
      <c r="K88" s="707"/>
      <c r="L88" s="144"/>
      <c r="M88" s="144"/>
      <c r="N88" s="707"/>
      <c r="O88" s="707"/>
      <c r="P88" s="894">
        <f>W82</f>
        <v>56</v>
      </c>
      <c r="Q88" s="707"/>
      <c r="R88" s="707"/>
      <c r="S88" s="146" t="s">
        <v>357</v>
      </c>
      <c r="T88" s="856">
        <f>W79*W79</f>
        <v>52900</v>
      </c>
      <c r="U88" s="707"/>
      <c r="V88" s="707"/>
      <c r="W88" s="707"/>
      <c r="X88" s="146" t="s">
        <v>357</v>
      </c>
      <c r="Y88" s="881">
        <f>W83</f>
        <v>1.5</v>
      </c>
      <c r="Z88" s="707"/>
      <c r="AA88" s="144"/>
      <c r="AB88" s="162"/>
      <c r="AC88" s="707"/>
      <c r="AD88" s="707"/>
      <c r="AE88" s="707"/>
      <c r="AF88" s="707"/>
      <c r="AG88" s="707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6"/>
      <c r="BG88" s="146"/>
      <c r="BH88" s="146"/>
      <c r="BI88" s="146"/>
      <c r="BJ88" s="146"/>
      <c r="BK88" s="146"/>
      <c r="BL88" s="146"/>
      <c r="BM88" s="146"/>
      <c r="BN88" s="146"/>
      <c r="BO88" s="115"/>
      <c r="BP88" s="115"/>
    </row>
    <row r="89" spans="1:68" ht="6" customHeight="1">
      <c r="A89" s="120"/>
      <c r="B89" s="120"/>
      <c r="C89" s="112"/>
      <c r="D89" s="120"/>
      <c r="E89" s="120"/>
      <c r="F89" s="112"/>
      <c r="G89" s="120"/>
      <c r="H89" s="120"/>
      <c r="I89" s="115"/>
      <c r="J89" s="120"/>
      <c r="K89" s="120"/>
      <c r="L89" s="120"/>
      <c r="M89" s="120"/>
      <c r="N89" s="112"/>
      <c r="O89" s="120"/>
      <c r="P89" s="120"/>
      <c r="Q89" s="120"/>
      <c r="R89" s="112"/>
      <c r="S89" s="115"/>
      <c r="T89" s="115"/>
      <c r="U89" s="115"/>
      <c r="V89" s="112"/>
      <c r="W89" s="112"/>
      <c r="X89" s="112"/>
      <c r="Y89" s="112"/>
      <c r="Z89" s="112"/>
      <c r="AA89" s="115"/>
      <c r="AB89" s="272"/>
      <c r="AC89" s="272"/>
      <c r="AD89" s="272"/>
      <c r="AE89" s="112"/>
      <c r="AF89" s="112"/>
      <c r="AG89" s="112"/>
      <c r="AH89" s="271"/>
      <c r="AI89" s="271"/>
      <c r="AJ89" s="271"/>
      <c r="AK89" s="271"/>
      <c r="AL89" s="271"/>
      <c r="AM89" s="271"/>
      <c r="AN89" s="271"/>
      <c r="AO89" s="271"/>
      <c r="AP89" s="271"/>
      <c r="AQ89" s="271"/>
      <c r="AR89" s="273"/>
      <c r="AS89" s="273"/>
      <c r="AT89" s="273"/>
      <c r="AU89" s="273"/>
      <c r="AV89" s="273"/>
      <c r="AW89" s="115"/>
      <c r="AX89" s="115"/>
      <c r="AY89" s="115"/>
      <c r="AZ89" s="115"/>
      <c r="BA89" s="112"/>
      <c r="BB89" s="112"/>
      <c r="BC89" s="112"/>
      <c r="BD89" s="112"/>
      <c r="BE89" s="112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</row>
    <row r="90" spans="1:68" ht="12.75" customHeight="1">
      <c r="A90" s="160" t="s">
        <v>822</v>
      </c>
      <c r="B90" s="143" t="s">
        <v>383</v>
      </c>
      <c r="C90" s="730" t="s">
        <v>868</v>
      </c>
      <c r="D90" s="707"/>
      <c r="E90" s="160" t="s">
        <v>843</v>
      </c>
      <c r="F90" s="734">
        <f>W80</f>
        <v>1.5</v>
      </c>
      <c r="G90" s="707"/>
      <c r="H90" s="707"/>
      <c r="I90" s="143" t="s">
        <v>383</v>
      </c>
      <c r="J90" s="734">
        <f>AE87</f>
        <v>9.9621928166351612E-2</v>
      </c>
      <c r="K90" s="707"/>
      <c r="L90" s="707"/>
      <c r="M90" s="144" t="s">
        <v>844</v>
      </c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734">
        <f>W83</f>
        <v>1.5</v>
      </c>
      <c r="AC90" s="707"/>
      <c r="AD90" s="707"/>
      <c r="AE90" s="144" t="s">
        <v>832</v>
      </c>
      <c r="AF90" s="162"/>
      <c r="AG90" s="144"/>
      <c r="AH90" s="831" t="str">
        <f>IF(F90&gt;=J90,"UYGUNDUR.","UYGUN DEĞİLDİR.")</f>
        <v>UYGUNDUR.</v>
      </c>
      <c r="AI90" s="710"/>
      <c r="AJ90" s="710"/>
      <c r="AK90" s="710"/>
      <c r="AL90" s="710"/>
      <c r="AM90" s="710"/>
      <c r="AN90" s="710"/>
      <c r="AO90" s="710"/>
      <c r="AP90" s="710"/>
      <c r="AQ90" s="583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6"/>
      <c r="BG90" s="146"/>
      <c r="BH90" s="146"/>
      <c r="BI90" s="146"/>
      <c r="BJ90" s="146"/>
      <c r="BK90" s="146"/>
      <c r="BL90" s="146"/>
      <c r="BM90" s="146"/>
      <c r="BN90" s="146"/>
      <c r="BO90" s="115"/>
      <c r="BP90" s="115"/>
    </row>
    <row r="91" spans="1:68" ht="6" customHeight="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62"/>
      <c r="P91" s="262"/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0"/>
      <c r="AD91" s="250"/>
      <c r="AE91" s="250"/>
      <c r="AF91" s="250"/>
      <c r="AG91" s="250"/>
      <c r="AH91" s="250"/>
      <c r="AI91" s="250"/>
      <c r="AJ91" s="250"/>
      <c r="AK91" s="250"/>
      <c r="AL91" s="250"/>
      <c r="AM91" s="250"/>
      <c r="AN91" s="250"/>
      <c r="AO91" s="112"/>
      <c r="AP91" s="112"/>
      <c r="AQ91" s="112"/>
      <c r="AR91" s="129"/>
      <c r="AS91" s="129"/>
      <c r="AT91" s="129"/>
      <c r="AU91" s="168"/>
      <c r="AV91" s="168"/>
      <c r="AW91" s="168"/>
      <c r="AX91" s="168"/>
      <c r="AY91" s="168"/>
      <c r="AZ91" s="168"/>
      <c r="BA91" s="168"/>
      <c r="BB91" s="144"/>
      <c r="BC91" s="144"/>
      <c r="BD91" s="144"/>
      <c r="BE91" s="144"/>
      <c r="BF91" s="146"/>
      <c r="BG91" s="146"/>
      <c r="BH91" s="146"/>
      <c r="BI91" s="146"/>
      <c r="BJ91" s="146"/>
      <c r="BK91" s="146"/>
      <c r="BL91" s="146"/>
      <c r="BM91" s="146"/>
      <c r="BN91" s="146"/>
      <c r="BO91" s="115"/>
      <c r="BP91" s="115"/>
    </row>
    <row r="92" spans="1:68" ht="15.75" customHeight="1">
      <c r="A92" s="153" t="s">
        <v>849</v>
      </c>
      <c r="B92" s="144"/>
      <c r="C92" s="151"/>
      <c r="D92" s="144"/>
      <c r="E92" s="144"/>
      <c r="F92" s="144"/>
      <c r="G92" s="144"/>
      <c r="H92" s="151"/>
      <c r="I92" s="144"/>
      <c r="J92" s="144"/>
      <c r="K92" s="144"/>
      <c r="L92" s="144"/>
      <c r="M92" s="144"/>
      <c r="N92" s="144"/>
      <c r="O92" s="151"/>
      <c r="P92" s="151"/>
      <c r="Q92" s="151"/>
      <c r="R92" s="151"/>
      <c r="S92" s="151"/>
      <c r="T92" s="144"/>
      <c r="U92" s="146"/>
      <c r="V92" s="144"/>
      <c r="W92" s="144"/>
      <c r="X92" s="144"/>
      <c r="Y92" s="144"/>
      <c r="Z92" s="144"/>
      <c r="AA92" s="151"/>
      <c r="AB92" s="151"/>
      <c r="AC92" s="144"/>
      <c r="AD92" s="144"/>
      <c r="AE92" s="144"/>
      <c r="AF92" s="144"/>
      <c r="AG92" s="144"/>
      <c r="AH92" s="144"/>
      <c r="AI92" s="144"/>
      <c r="AJ92" s="144"/>
      <c r="AK92" s="151"/>
      <c r="AL92" s="151"/>
      <c r="AM92" s="151"/>
      <c r="AN92" s="151"/>
      <c r="AO92" s="144"/>
      <c r="AP92" s="146"/>
      <c r="AQ92" s="146"/>
      <c r="AR92" s="146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  <c r="BE92" s="144"/>
      <c r="BF92" s="146"/>
      <c r="BG92" s="146"/>
      <c r="BH92" s="146"/>
      <c r="BI92" s="146"/>
      <c r="BJ92" s="146"/>
      <c r="BK92" s="146"/>
      <c r="BL92" s="146"/>
      <c r="BM92" s="146"/>
      <c r="BN92" s="146"/>
      <c r="BO92" s="115"/>
      <c r="BP92" s="115"/>
    </row>
    <row r="93" spans="1:68" ht="6" customHeight="1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62"/>
      <c r="P93" s="262"/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0"/>
      <c r="AE93" s="250"/>
      <c r="AF93" s="250"/>
      <c r="AG93" s="250"/>
      <c r="AH93" s="250"/>
      <c r="AI93" s="250"/>
      <c r="AJ93" s="250"/>
      <c r="AK93" s="250"/>
      <c r="AL93" s="250"/>
      <c r="AM93" s="250"/>
      <c r="AN93" s="250"/>
      <c r="AO93" s="112"/>
      <c r="AP93" s="112"/>
      <c r="AQ93" s="112"/>
      <c r="AR93" s="129"/>
      <c r="AS93" s="129"/>
      <c r="AT93" s="129"/>
      <c r="AU93" s="168"/>
      <c r="AV93" s="168"/>
      <c r="AW93" s="168"/>
      <c r="AX93" s="168"/>
      <c r="AY93" s="168"/>
      <c r="AZ93" s="168"/>
      <c r="BA93" s="168"/>
      <c r="BB93" s="144"/>
      <c r="BC93" s="144"/>
      <c r="BD93" s="144"/>
      <c r="BE93" s="144"/>
      <c r="BF93" s="146"/>
      <c r="BG93" s="146"/>
      <c r="BH93" s="146"/>
      <c r="BI93" s="146"/>
      <c r="BJ93" s="146"/>
      <c r="BK93" s="146"/>
      <c r="BL93" s="146"/>
      <c r="BM93" s="146"/>
      <c r="BN93" s="146"/>
      <c r="BO93" s="115"/>
      <c r="BP93" s="115"/>
    </row>
    <row r="94" spans="1:68" ht="14.25" customHeight="1">
      <c r="A94" s="722" t="s">
        <v>850</v>
      </c>
      <c r="B94" s="707"/>
      <c r="C94" s="144" t="s">
        <v>262</v>
      </c>
      <c r="D94" s="721" t="s">
        <v>840</v>
      </c>
      <c r="E94" s="707"/>
      <c r="F94" s="144" t="s">
        <v>316</v>
      </c>
      <c r="G94" s="721" t="s">
        <v>868</v>
      </c>
      <c r="H94" s="707"/>
      <c r="I94" s="144"/>
      <c r="J94" s="144"/>
      <c r="K94" s="722" t="s">
        <v>850</v>
      </c>
      <c r="L94" s="707"/>
      <c r="M94" s="144" t="s">
        <v>262</v>
      </c>
      <c r="N94" s="734">
        <f>AE39</f>
        <v>0.45389638042717095</v>
      </c>
      <c r="O94" s="707"/>
      <c r="P94" s="707"/>
      <c r="Q94" s="160" t="s">
        <v>316</v>
      </c>
      <c r="R94" s="734">
        <f>AE87</f>
        <v>9.9621928166351612E-2</v>
      </c>
      <c r="S94" s="707"/>
      <c r="T94" s="707"/>
      <c r="U94" s="151"/>
      <c r="V94" s="722" t="s">
        <v>850</v>
      </c>
      <c r="W94" s="707"/>
      <c r="X94" s="144" t="s">
        <v>262</v>
      </c>
      <c r="Y94" s="734">
        <f>N94+R94</f>
        <v>0.55351830859352258</v>
      </c>
      <c r="Z94" s="707"/>
      <c r="AA94" s="707"/>
      <c r="AB94" s="144"/>
      <c r="AC94" s="160" t="s">
        <v>822</v>
      </c>
      <c r="AD94" s="143" t="s">
        <v>383</v>
      </c>
      <c r="AE94" s="730" t="s">
        <v>850</v>
      </c>
      <c r="AF94" s="707"/>
      <c r="AG94" s="160" t="s">
        <v>843</v>
      </c>
      <c r="AH94" s="846">
        <f>W80</f>
        <v>1.5</v>
      </c>
      <c r="AI94" s="707"/>
      <c r="AJ94" s="143" t="s">
        <v>383</v>
      </c>
      <c r="AK94" s="734">
        <f>Y94</f>
        <v>0.55351830859352258</v>
      </c>
      <c r="AL94" s="707"/>
      <c r="AM94" s="707"/>
      <c r="AN94" s="144" t="s">
        <v>384</v>
      </c>
      <c r="AO94" s="146"/>
      <c r="AP94" s="144"/>
      <c r="AQ94" s="144"/>
      <c r="AR94" s="144"/>
      <c r="AS94" s="115"/>
      <c r="AT94" s="831" t="str">
        <f>IF(AH94&gt;=AK94,"UYGUNDUR.","UYGUN DEĞİLDİR.")</f>
        <v>UYGUNDUR.</v>
      </c>
      <c r="AU94" s="710"/>
      <c r="AV94" s="710"/>
      <c r="AW94" s="710"/>
      <c r="AX94" s="710"/>
      <c r="AY94" s="710"/>
      <c r="AZ94" s="710"/>
      <c r="BA94" s="710"/>
      <c r="BB94" s="710"/>
      <c r="BC94" s="583"/>
      <c r="BD94" s="115"/>
      <c r="BE94" s="115"/>
      <c r="BF94" s="115"/>
      <c r="BG94" s="115"/>
      <c r="BH94" s="115"/>
      <c r="BI94" s="115"/>
      <c r="BJ94" s="115"/>
      <c r="BK94" s="115"/>
      <c r="BL94" s="115"/>
      <c r="BM94" s="115"/>
      <c r="BN94" s="146"/>
      <c r="BO94" s="115"/>
      <c r="BP94" s="115"/>
    </row>
    <row r="95" spans="1:68" ht="6" customHeight="1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62"/>
      <c r="P95" s="262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0"/>
      <c r="AJ95" s="250"/>
      <c r="AK95" s="250"/>
      <c r="AL95" s="250"/>
      <c r="AM95" s="250"/>
      <c r="AN95" s="250"/>
      <c r="AO95" s="112"/>
      <c r="AP95" s="112"/>
      <c r="AQ95" s="112"/>
      <c r="AR95" s="129"/>
      <c r="AS95" s="129"/>
      <c r="AT95" s="129"/>
      <c r="AU95" s="168"/>
      <c r="AV95" s="168"/>
      <c r="AW95" s="168"/>
      <c r="AX95" s="168"/>
      <c r="AY95" s="168"/>
      <c r="AZ95" s="168"/>
      <c r="BA95" s="168"/>
      <c r="BB95" s="144"/>
      <c r="BC95" s="144"/>
      <c r="BD95" s="144"/>
      <c r="BE95" s="144"/>
      <c r="BF95" s="146"/>
      <c r="BG95" s="146"/>
      <c r="BH95" s="146"/>
      <c r="BI95" s="146"/>
      <c r="BJ95" s="146"/>
      <c r="BK95" s="146"/>
      <c r="BL95" s="146"/>
      <c r="BM95" s="146"/>
      <c r="BN95" s="146"/>
      <c r="BO95" s="115"/>
      <c r="BP95" s="115"/>
    </row>
    <row r="96" spans="1:68" ht="11.25" customHeight="1">
      <c r="A96" s="153" t="s">
        <v>851</v>
      </c>
      <c r="B96" s="151"/>
      <c r="C96" s="151"/>
      <c r="D96" s="144"/>
      <c r="E96" s="144"/>
      <c r="F96" s="144"/>
      <c r="G96" s="144"/>
      <c r="H96" s="151"/>
      <c r="I96" s="144"/>
      <c r="J96" s="144"/>
      <c r="K96" s="144"/>
      <c r="L96" s="144"/>
      <c r="M96" s="144"/>
      <c r="N96" s="144"/>
      <c r="O96" s="151"/>
      <c r="P96" s="151"/>
      <c r="Q96" s="151"/>
      <c r="R96" s="151"/>
      <c r="S96" s="144"/>
      <c r="T96" s="144"/>
      <c r="U96" s="144"/>
      <c r="V96" s="144"/>
      <c r="W96" s="144"/>
      <c r="X96" s="144"/>
      <c r="Y96" s="144"/>
      <c r="Z96" s="144"/>
      <c r="AA96" s="151"/>
      <c r="AB96" s="151"/>
      <c r="AC96" s="144"/>
      <c r="AD96" s="144"/>
      <c r="AE96" s="144"/>
      <c r="AF96" s="144"/>
      <c r="AG96" s="144"/>
      <c r="AH96" s="144"/>
      <c r="AI96" s="144"/>
      <c r="AJ96" s="144"/>
      <c r="AK96" s="151"/>
      <c r="AL96" s="151"/>
      <c r="AM96" s="151"/>
      <c r="AN96" s="151"/>
      <c r="AO96" s="151"/>
      <c r="AP96" s="151"/>
      <c r="AQ96" s="144"/>
      <c r="AR96" s="168"/>
      <c r="AS96" s="168"/>
      <c r="AT96" s="168"/>
      <c r="AU96" s="115"/>
      <c r="AV96" s="115"/>
      <c r="AW96" s="115"/>
      <c r="AX96" s="115"/>
      <c r="AY96" s="115"/>
      <c r="AZ96" s="115"/>
      <c r="BA96" s="168"/>
      <c r="BB96" s="144"/>
      <c r="BC96" s="144"/>
      <c r="BD96" s="144"/>
      <c r="BE96" s="144"/>
      <c r="BF96" s="146"/>
      <c r="BG96" s="146"/>
      <c r="BH96" s="146"/>
      <c r="BI96" s="146"/>
      <c r="BJ96" s="146"/>
      <c r="BK96" s="146"/>
      <c r="BL96" s="146"/>
      <c r="BM96" s="146"/>
      <c r="BN96" s="146"/>
      <c r="BO96" s="115"/>
      <c r="BP96" s="115"/>
    </row>
    <row r="97" spans="1:68" ht="6" customHeight="1">
      <c r="A97" s="120"/>
      <c r="B97" s="120"/>
      <c r="C97" s="112"/>
      <c r="D97" s="120"/>
      <c r="E97" s="120"/>
      <c r="F97" s="112"/>
      <c r="G97" s="120"/>
      <c r="H97" s="120"/>
      <c r="I97" s="115"/>
      <c r="J97" s="120"/>
      <c r="K97" s="120"/>
      <c r="L97" s="120"/>
      <c r="M97" s="120"/>
      <c r="N97" s="112"/>
      <c r="O97" s="120"/>
      <c r="P97" s="120"/>
      <c r="Q97" s="120"/>
      <c r="R97" s="112"/>
      <c r="S97" s="115"/>
      <c r="T97" s="115"/>
      <c r="U97" s="115"/>
      <c r="V97" s="112"/>
      <c r="W97" s="112"/>
      <c r="X97" s="112"/>
      <c r="Y97" s="112"/>
      <c r="Z97" s="112"/>
      <c r="AA97" s="115"/>
      <c r="AB97" s="272"/>
      <c r="AC97" s="272"/>
      <c r="AD97" s="272"/>
      <c r="AE97" s="112"/>
      <c r="AF97" s="112"/>
      <c r="AG97" s="112"/>
      <c r="AH97" s="271"/>
      <c r="AI97" s="271"/>
      <c r="AJ97" s="271"/>
      <c r="AK97" s="271"/>
      <c r="AL97" s="271"/>
      <c r="AM97" s="271"/>
      <c r="AN97" s="271"/>
      <c r="AO97" s="271"/>
      <c r="AP97" s="271"/>
      <c r="AQ97" s="271"/>
      <c r="AR97" s="273"/>
      <c r="AS97" s="273"/>
      <c r="AT97" s="273"/>
      <c r="AU97" s="273"/>
      <c r="AV97" s="273"/>
      <c r="AW97" s="115"/>
      <c r="AX97" s="115"/>
      <c r="AY97" s="115"/>
      <c r="AZ97" s="115"/>
      <c r="BA97" s="112"/>
      <c r="BB97" s="112"/>
      <c r="BC97" s="112"/>
      <c r="BD97" s="112"/>
      <c r="BE97" s="112"/>
      <c r="BF97" s="115"/>
      <c r="BG97" s="115"/>
      <c r="BH97" s="115"/>
      <c r="BI97" s="115"/>
      <c r="BJ97" s="115"/>
      <c r="BK97" s="115"/>
      <c r="BL97" s="115"/>
      <c r="BM97" s="115"/>
      <c r="BN97" s="115"/>
      <c r="BO97" s="115"/>
      <c r="BP97" s="115"/>
    </row>
    <row r="98" spans="1:68" ht="13.5" customHeight="1">
      <c r="A98" s="716" t="s">
        <v>871</v>
      </c>
      <c r="B98" s="707"/>
      <c r="C98" s="721" t="s">
        <v>262</v>
      </c>
      <c r="D98" s="738" t="s">
        <v>291</v>
      </c>
      <c r="E98" s="724"/>
      <c r="F98" s="724"/>
      <c r="G98" s="724"/>
      <c r="H98" s="724"/>
      <c r="I98" s="724"/>
      <c r="J98" s="724"/>
      <c r="K98" s="151"/>
      <c r="L98" s="144"/>
      <c r="M98" s="716" t="s">
        <v>871</v>
      </c>
      <c r="N98" s="707"/>
      <c r="O98" s="721" t="s">
        <v>262</v>
      </c>
      <c r="P98" s="756">
        <f>W81*1000</f>
        <v>84</v>
      </c>
      <c r="Q98" s="724"/>
      <c r="R98" s="724"/>
      <c r="S98" s="724"/>
      <c r="T98" s="724"/>
      <c r="U98" s="724"/>
      <c r="V98" s="724"/>
      <c r="W98" s="724"/>
      <c r="X98" s="724"/>
      <c r="Y98" s="724"/>
      <c r="Z98" s="144"/>
      <c r="AA98" s="151"/>
      <c r="AB98" s="716" t="s">
        <v>871</v>
      </c>
      <c r="AC98" s="707"/>
      <c r="AD98" s="721" t="s">
        <v>262</v>
      </c>
      <c r="AE98" s="734">
        <f>P98/(R99*V99)</f>
        <v>0.45652173913043476</v>
      </c>
      <c r="AF98" s="707"/>
      <c r="AG98" s="707"/>
      <c r="AH98" s="722" t="s">
        <v>397</v>
      </c>
      <c r="AI98" s="144"/>
      <c r="AJ98" s="144"/>
      <c r="AK98" s="151"/>
      <c r="AL98" s="151"/>
      <c r="AM98" s="151"/>
      <c r="AN98" s="151"/>
      <c r="AO98" s="151"/>
      <c r="AP98" s="151"/>
      <c r="AQ98" s="144"/>
      <c r="AR98" s="168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44"/>
      <c r="BE98" s="144"/>
      <c r="BF98" s="146"/>
      <c r="BG98" s="146"/>
      <c r="BH98" s="146"/>
      <c r="BI98" s="146"/>
      <c r="BJ98" s="146"/>
      <c r="BK98" s="146"/>
      <c r="BL98" s="146"/>
      <c r="BM98" s="146"/>
      <c r="BN98" s="146"/>
      <c r="BO98" s="115"/>
      <c r="BP98" s="115"/>
    </row>
    <row r="99" spans="1:68" ht="12.75" customHeight="1">
      <c r="A99" s="707"/>
      <c r="B99" s="707"/>
      <c r="C99" s="707"/>
      <c r="D99" s="753" t="s">
        <v>872</v>
      </c>
      <c r="E99" s="637"/>
      <c r="F99" s="637"/>
      <c r="G99" s="637"/>
      <c r="H99" s="637"/>
      <c r="I99" s="637"/>
      <c r="J99" s="637"/>
      <c r="K99" s="151"/>
      <c r="L99" s="144"/>
      <c r="M99" s="707"/>
      <c r="N99" s="707"/>
      <c r="O99" s="707"/>
      <c r="P99" s="146"/>
      <c r="Q99" s="146"/>
      <c r="R99" s="781">
        <v>230</v>
      </c>
      <c r="S99" s="707"/>
      <c r="T99" s="707"/>
      <c r="U99" s="144" t="s">
        <v>357</v>
      </c>
      <c r="V99" s="721">
        <v>0.8</v>
      </c>
      <c r="W99" s="707"/>
      <c r="X99" s="115"/>
      <c r="Y99" s="115"/>
      <c r="Z99" s="144"/>
      <c r="AA99" s="151"/>
      <c r="AB99" s="707"/>
      <c r="AC99" s="707"/>
      <c r="AD99" s="707"/>
      <c r="AE99" s="707"/>
      <c r="AF99" s="707"/>
      <c r="AG99" s="707"/>
      <c r="AH99" s="707"/>
      <c r="AI99" s="144"/>
      <c r="AJ99" s="144"/>
      <c r="AK99" s="151"/>
      <c r="AL99" s="151"/>
      <c r="AM99" s="151"/>
      <c r="AN99" s="151"/>
      <c r="AO99" s="151"/>
      <c r="AP99" s="151"/>
      <c r="AQ99" s="144"/>
      <c r="AR99" s="16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44"/>
      <c r="BE99" s="144"/>
      <c r="BF99" s="146"/>
      <c r="BG99" s="146"/>
      <c r="BH99" s="146"/>
      <c r="BI99" s="146"/>
      <c r="BJ99" s="146"/>
      <c r="BK99" s="146"/>
      <c r="BL99" s="146"/>
      <c r="BM99" s="146"/>
      <c r="BN99" s="146"/>
      <c r="BO99" s="115"/>
      <c r="BP99" s="115"/>
    </row>
    <row r="100" spans="1:68" ht="6" customHeight="1">
      <c r="A100" s="120"/>
      <c r="B100" s="120"/>
      <c r="C100" s="112"/>
      <c r="D100" s="120"/>
      <c r="E100" s="120"/>
      <c r="F100" s="112"/>
      <c r="G100" s="120"/>
      <c r="H100" s="120"/>
      <c r="I100" s="115"/>
      <c r="J100" s="120"/>
      <c r="K100" s="120"/>
      <c r="L100" s="120"/>
      <c r="M100" s="120"/>
      <c r="N100" s="112"/>
      <c r="O100" s="120"/>
      <c r="P100" s="120"/>
      <c r="Q100" s="120"/>
      <c r="R100" s="112"/>
      <c r="S100" s="115"/>
      <c r="T100" s="115"/>
      <c r="U100" s="115"/>
      <c r="V100" s="112"/>
      <c r="W100" s="112"/>
      <c r="X100" s="112"/>
      <c r="Y100" s="112"/>
      <c r="Z100" s="112"/>
      <c r="AA100" s="115"/>
      <c r="AB100" s="272"/>
      <c r="AC100" s="272"/>
      <c r="AD100" s="272"/>
      <c r="AE100" s="112"/>
      <c r="AF100" s="112"/>
      <c r="AG100" s="112"/>
      <c r="AH100" s="271"/>
      <c r="AI100" s="271"/>
      <c r="AJ100" s="271"/>
      <c r="AK100" s="271"/>
      <c r="AL100" s="271"/>
      <c r="AM100" s="271"/>
      <c r="AN100" s="271"/>
      <c r="AO100" s="271"/>
      <c r="AP100" s="271"/>
      <c r="AQ100" s="271"/>
      <c r="AR100" s="273"/>
      <c r="AS100" s="273"/>
      <c r="AT100" s="273"/>
      <c r="AU100" s="273"/>
      <c r="AV100" s="273"/>
      <c r="AW100" s="115"/>
      <c r="AX100" s="115"/>
      <c r="AY100" s="115"/>
      <c r="AZ100" s="115"/>
      <c r="BA100" s="112"/>
      <c r="BB100" s="112"/>
      <c r="BC100" s="112"/>
      <c r="BD100" s="112"/>
      <c r="BE100" s="112"/>
      <c r="BF100" s="115"/>
      <c r="BG100" s="115"/>
      <c r="BH100" s="115"/>
      <c r="BI100" s="115"/>
      <c r="BJ100" s="115"/>
      <c r="BK100" s="115"/>
      <c r="BL100" s="115"/>
      <c r="BM100" s="115"/>
      <c r="BN100" s="115"/>
      <c r="BO100" s="115"/>
      <c r="BP100" s="115"/>
    </row>
    <row r="101" spans="1:68" ht="13.5" customHeight="1">
      <c r="A101" s="144" t="s">
        <v>873</v>
      </c>
      <c r="B101" s="151"/>
      <c r="C101" s="151"/>
      <c r="D101" s="144"/>
      <c r="E101" s="144"/>
      <c r="F101" s="144"/>
      <c r="G101" s="144"/>
      <c r="H101" s="151"/>
      <c r="I101" s="144"/>
      <c r="J101" s="144"/>
      <c r="K101" s="144"/>
      <c r="L101" s="144"/>
      <c r="M101" s="144"/>
      <c r="N101" s="144"/>
      <c r="O101" s="151"/>
      <c r="P101" s="151"/>
      <c r="Q101" s="151"/>
      <c r="R101" s="151"/>
      <c r="S101" s="144"/>
      <c r="T101" s="721">
        <v>20</v>
      </c>
      <c r="U101" s="707"/>
      <c r="V101" s="144" t="s">
        <v>397</v>
      </c>
      <c r="W101" s="144" t="s">
        <v>855</v>
      </c>
      <c r="X101" s="115"/>
      <c r="Y101" s="115"/>
      <c r="Z101" s="115"/>
      <c r="AA101" s="115"/>
      <c r="AB101" s="115"/>
      <c r="AC101" s="831" t="str">
        <f>IF(T101&gt;=AE98,"UYGUNDUR.","UYGUN DEĞİLDİR.")</f>
        <v>UYGUNDUR.</v>
      </c>
      <c r="AD101" s="710"/>
      <c r="AE101" s="710"/>
      <c r="AF101" s="710"/>
      <c r="AG101" s="710"/>
      <c r="AH101" s="710"/>
      <c r="AI101" s="710"/>
      <c r="AJ101" s="710"/>
      <c r="AK101" s="710"/>
      <c r="AL101" s="583"/>
      <c r="AM101" s="115"/>
      <c r="AN101" s="115"/>
      <c r="AO101" s="115"/>
      <c r="AP101" s="115"/>
      <c r="AQ101" s="115"/>
      <c r="AR101" s="115"/>
      <c r="AS101" s="115"/>
      <c r="AT101" s="115"/>
      <c r="AU101" s="168"/>
      <c r="AV101" s="168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46"/>
      <c r="BH101" s="146"/>
      <c r="BI101" s="146"/>
      <c r="BJ101" s="146"/>
      <c r="BK101" s="146"/>
      <c r="BL101" s="146"/>
      <c r="BM101" s="146"/>
      <c r="BN101" s="146"/>
      <c r="BO101" s="115"/>
      <c r="BP101" s="115"/>
    </row>
    <row r="102" spans="1:68" ht="6" customHeight="1">
      <c r="A102" s="120"/>
      <c r="B102" s="120"/>
      <c r="C102" s="112"/>
      <c r="D102" s="120"/>
      <c r="E102" s="120"/>
      <c r="F102" s="112"/>
      <c r="G102" s="120"/>
      <c r="H102" s="120"/>
      <c r="I102" s="115"/>
      <c r="J102" s="120"/>
      <c r="K102" s="120"/>
      <c r="L102" s="120"/>
      <c r="M102" s="120"/>
      <c r="N102" s="112"/>
      <c r="O102" s="120"/>
      <c r="P102" s="120"/>
      <c r="Q102" s="120"/>
      <c r="R102" s="112"/>
      <c r="S102" s="115"/>
      <c r="T102" s="115"/>
      <c r="U102" s="115"/>
      <c r="V102" s="112"/>
      <c r="W102" s="112"/>
      <c r="X102" s="112"/>
      <c r="Y102" s="112"/>
      <c r="Z102" s="112"/>
      <c r="AA102" s="115"/>
      <c r="AB102" s="272"/>
      <c r="AC102" s="272"/>
      <c r="AD102" s="272"/>
      <c r="AE102" s="112"/>
      <c r="AF102" s="112"/>
      <c r="AG102" s="112"/>
      <c r="AH102" s="271"/>
      <c r="AI102" s="271"/>
      <c r="AJ102" s="271"/>
      <c r="AK102" s="271"/>
      <c r="AL102" s="271"/>
      <c r="AM102" s="271"/>
      <c r="AN102" s="271"/>
      <c r="AO102" s="271"/>
      <c r="AP102" s="271"/>
      <c r="AQ102" s="271"/>
      <c r="AR102" s="273"/>
      <c r="AS102" s="273"/>
      <c r="AT102" s="273"/>
      <c r="AU102" s="273"/>
      <c r="AV102" s="273"/>
      <c r="AW102" s="115"/>
      <c r="AX102" s="115"/>
      <c r="AY102" s="115"/>
      <c r="AZ102" s="115"/>
      <c r="BA102" s="112"/>
      <c r="BB102" s="112"/>
      <c r="BC102" s="112"/>
      <c r="BD102" s="112"/>
      <c r="BE102" s="112"/>
      <c r="BF102" s="115"/>
      <c r="BG102" s="115"/>
      <c r="BH102" s="115"/>
      <c r="BI102" s="115"/>
      <c r="BJ102" s="115"/>
      <c r="BK102" s="115"/>
      <c r="BL102" s="115"/>
      <c r="BM102" s="115"/>
      <c r="BN102" s="115"/>
      <c r="BO102" s="115"/>
      <c r="BP102" s="115"/>
    </row>
    <row r="103" spans="1:68" ht="6" customHeight="1">
      <c r="A103" s="120"/>
      <c r="B103" s="120"/>
      <c r="C103" s="112"/>
      <c r="D103" s="120"/>
      <c r="E103" s="120"/>
      <c r="F103" s="112"/>
      <c r="G103" s="120"/>
      <c r="H103" s="120"/>
      <c r="I103" s="115"/>
      <c r="J103" s="120"/>
      <c r="K103" s="120"/>
      <c r="L103" s="120"/>
      <c r="M103" s="120"/>
      <c r="N103" s="112"/>
      <c r="O103" s="120"/>
      <c r="P103" s="120"/>
      <c r="Q103" s="120"/>
      <c r="R103" s="112"/>
      <c r="S103" s="115"/>
      <c r="T103" s="115"/>
      <c r="U103" s="115"/>
      <c r="V103" s="112"/>
      <c r="W103" s="112"/>
      <c r="X103" s="112"/>
      <c r="Y103" s="112"/>
      <c r="Z103" s="112"/>
      <c r="AA103" s="115"/>
      <c r="AB103" s="272"/>
      <c r="AC103" s="272"/>
      <c r="AD103" s="272"/>
      <c r="AE103" s="112"/>
      <c r="AF103" s="112"/>
      <c r="AG103" s="112"/>
      <c r="AH103" s="271"/>
      <c r="AI103" s="271"/>
      <c r="AJ103" s="271"/>
      <c r="AK103" s="271"/>
      <c r="AL103" s="271"/>
      <c r="AM103" s="271"/>
      <c r="AN103" s="271"/>
      <c r="AO103" s="271"/>
      <c r="AP103" s="271"/>
      <c r="AQ103" s="271"/>
      <c r="AR103" s="273"/>
      <c r="AS103" s="273"/>
      <c r="AT103" s="273"/>
      <c r="AU103" s="273"/>
      <c r="AV103" s="273"/>
      <c r="AW103" s="115"/>
      <c r="AX103" s="115"/>
      <c r="AY103" s="115"/>
      <c r="AZ103" s="115"/>
      <c r="BA103" s="112"/>
      <c r="BB103" s="112"/>
      <c r="BC103" s="112"/>
      <c r="BD103" s="112"/>
      <c r="BE103" s="112"/>
      <c r="BF103" s="115"/>
      <c r="BG103" s="115"/>
      <c r="BH103" s="115"/>
      <c r="BI103" s="115"/>
      <c r="BJ103" s="115"/>
      <c r="BK103" s="115"/>
      <c r="BL103" s="115"/>
      <c r="BM103" s="115"/>
      <c r="BN103" s="115"/>
      <c r="BO103" s="115"/>
      <c r="BP103" s="115"/>
    </row>
    <row r="104" spans="1:68" ht="15" customHeight="1">
      <c r="A104" s="113"/>
      <c r="B104" s="113"/>
      <c r="C104" s="113"/>
      <c r="D104" s="865" t="s">
        <v>874</v>
      </c>
      <c r="E104" s="710"/>
      <c r="F104" s="710"/>
      <c r="G104" s="710"/>
      <c r="H104" s="710"/>
      <c r="I104" s="710"/>
      <c r="J104" s="710"/>
      <c r="K104" s="710"/>
      <c r="L104" s="710"/>
      <c r="M104" s="710"/>
      <c r="N104" s="710"/>
      <c r="O104" s="710"/>
      <c r="P104" s="710"/>
      <c r="Q104" s="710"/>
      <c r="R104" s="710"/>
      <c r="S104" s="710"/>
      <c r="T104" s="710"/>
      <c r="U104" s="710"/>
      <c r="V104" s="710"/>
      <c r="W104" s="710"/>
      <c r="X104" s="710"/>
      <c r="Y104" s="710"/>
      <c r="Z104" s="710"/>
      <c r="AA104" s="710"/>
      <c r="AB104" s="710"/>
      <c r="AC104" s="710"/>
      <c r="AD104" s="710"/>
      <c r="AE104" s="710"/>
      <c r="AF104" s="710"/>
      <c r="AG104" s="710"/>
      <c r="AH104" s="710"/>
      <c r="AI104" s="710"/>
      <c r="AJ104" s="710"/>
      <c r="AK104" s="710"/>
      <c r="AL104" s="710"/>
      <c r="AM104" s="710"/>
      <c r="AN104" s="710"/>
      <c r="AO104" s="710"/>
      <c r="AP104" s="710"/>
      <c r="AQ104" s="710"/>
      <c r="AR104" s="710"/>
      <c r="AS104" s="710"/>
      <c r="AT104" s="710"/>
      <c r="AU104" s="710"/>
      <c r="AV104" s="710"/>
      <c r="AW104" s="710"/>
      <c r="AX104" s="710"/>
      <c r="AY104" s="710"/>
      <c r="AZ104" s="710"/>
      <c r="BA104" s="710"/>
      <c r="BB104" s="710"/>
      <c r="BC104" s="710"/>
      <c r="BD104" s="710"/>
      <c r="BE104" s="710"/>
      <c r="BF104" s="710"/>
      <c r="BG104" s="710"/>
      <c r="BH104" s="710"/>
      <c r="BI104" s="710"/>
      <c r="BJ104" s="710"/>
      <c r="BK104" s="583"/>
      <c r="BL104" s="113"/>
      <c r="BM104" s="113"/>
      <c r="BN104" s="113"/>
      <c r="BO104" s="113"/>
      <c r="BP104" s="113"/>
    </row>
    <row r="105" spans="1:68" ht="12.75" customHeight="1">
      <c r="A105" s="113"/>
      <c r="B105" s="113"/>
      <c r="C105" s="113"/>
      <c r="D105" s="844" t="s">
        <v>875</v>
      </c>
      <c r="E105" s="710"/>
      <c r="F105" s="710"/>
      <c r="G105" s="710"/>
      <c r="H105" s="710"/>
      <c r="I105" s="710"/>
      <c r="J105" s="710"/>
      <c r="K105" s="710"/>
      <c r="L105" s="710"/>
      <c r="M105" s="583"/>
      <c r="N105" s="842">
        <v>0.8</v>
      </c>
      <c r="O105" s="710"/>
      <c r="P105" s="710"/>
      <c r="Q105" s="710"/>
      <c r="R105" s="710"/>
      <c r="S105" s="710"/>
      <c r="T105" s="710"/>
      <c r="U105" s="710"/>
      <c r="V105" s="710"/>
      <c r="W105" s="710"/>
      <c r="X105" s="710"/>
      <c r="Y105" s="710"/>
      <c r="Z105" s="710"/>
      <c r="AA105" s="710"/>
      <c r="AB105" s="710"/>
      <c r="AC105" s="710"/>
      <c r="AD105" s="710"/>
      <c r="AE105" s="710"/>
      <c r="AF105" s="710"/>
      <c r="AG105" s="583"/>
      <c r="AH105" s="842">
        <v>0.5</v>
      </c>
      <c r="AI105" s="710"/>
      <c r="AJ105" s="710"/>
      <c r="AK105" s="710"/>
      <c r="AL105" s="710"/>
      <c r="AM105" s="710"/>
      <c r="AN105" s="710"/>
      <c r="AO105" s="710"/>
      <c r="AP105" s="710"/>
      <c r="AQ105" s="710"/>
      <c r="AR105" s="710"/>
      <c r="AS105" s="710"/>
      <c r="AT105" s="710"/>
      <c r="AU105" s="710"/>
      <c r="AV105" s="710"/>
      <c r="AW105" s="710"/>
      <c r="AX105" s="710"/>
      <c r="AY105" s="710"/>
      <c r="AZ105" s="710"/>
      <c r="BA105" s="583"/>
      <c r="BB105" s="842">
        <v>0.3</v>
      </c>
      <c r="BC105" s="710"/>
      <c r="BD105" s="710"/>
      <c r="BE105" s="710"/>
      <c r="BF105" s="710"/>
      <c r="BG105" s="710"/>
      <c r="BH105" s="710"/>
      <c r="BI105" s="710"/>
      <c r="BJ105" s="710"/>
      <c r="BK105" s="583"/>
      <c r="BL105" s="113"/>
      <c r="BM105" s="113"/>
      <c r="BN105" s="113"/>
      <c r="BO105" s="113"/>
      <c r="BP105" s="113"/>
    </row>
    <row r="106" spans="1:68" ht="12.75" customHeight="1">
      <c r="A106" s="113"/>
      <c r="B106" s="113"/>
      <c r="C106" s="113"/>
      <c r="D106" s="844" t="s">
        <v>876</v>
      </c>
      <c r="E106" s="710"/>
      <c r="F106" s="710"/>
      <c r="G106" s="710"/>
      <c r="H106" s="710"/>
      <c r="I106" s="710"/>
      <c r="J106" s="710"/>
      <c r="K106" s="710"/>
      <c r="L106" s="710"/>
      <c r="M106" s="583"/>
      <c r="N106" s="842">
        <v>0.5</v>
      </c>
      <c r="O106" s="710"/>
      <c r="P106" s="710"/>
      <c r="Q106" s="710"/>
      <c r="R106" s="710"/>
      <c r="S106" s="710"/>
      <c r="T106" s="710"/>
      <c r="U106" s="710"/>
      <c r="V106" s="710"/>
      <c r="W106" s="583"/>
      <c r="X106" s="842">
        <v>0.3</v>
      </c>
      <c r="Y106" s="710"/>
      <c r="Z106" s="710"/>
      <c r="AA106" s="710"/>
      <c r="AB106" s="710"/>
      <c r="AC106" s="710"/>
      <c r="AD106" s="710"/>
      <c r="AE106" s="710"/>
      <c r="AF106" s="710"/>
      <c r="AG106" s="583"/>
      <c r="AH106" s="842">
        <v>0.5</v>
      </c>
      <c r="AI106" s="710"/>
      <c r="AJ106" s="710"/>
      <c r="AK106" s="710"/>
      <c r="AL106" s="710"/>
      <c r="AM106" s="710"/>
      <c r="AN106" s="710"/>
      <c r="AO106" s="710"/>
      <c r="AP106" s="710"/>
      <c r="AQ106" s="583"/>
      <c r="AR106" s="842">
        <v>0.3</v>
      </c>
      <c r="AS106" s="710"/>
      <c r="AT106" s="710"/>
      <c r="AU106" s="710"/>
      <c r="AV106" s="710"/>
      <c r="AW106" s="710"/>
      <c r="AX106" s="710"/>
      <c r="AY106" s="710"/>
      <c r="AZ106" s="710"/>
      <c r="BA106" s="583"/>
      <c r="BB106" s="842">
        <v>0.1</v>
      </c>
      <c r="BC106" s="710"/>
      <c r="BD106" s="710"/>
      <c r="BE106" s="710"/>
      <c r="BF106" s="583"/>
      <c r="BG106" s="842">
        <v>0.3</v>
      </c>
      <c r="BH106" s="710"/>
      <c r="BI106" s="710"/>
      <c r="BJ106" s="710"/>
      <c r="BK106" s="583"/>
      <c r="BL106" s="113"/>
      <c r="BM106" s="113"/>
      <c r="BN106" s="113"/>
      <c r="BO106" s="113"/>
      <c r="BP106" s="113"/>
    </row>
    <row r="107" spans="1:68" ht="12.75" customHeight="1">
      <c r="A107" s="113"/>
      <c r="B107" s="113"/>
      <c r="C107" s="113"/>
      <c r="D107" s="844" t="s">
        <v>877</v>
      </c>
      <c r="E107" s="710"/>
      <c r="F107" s="710"/>
      <c r="G107" s="710"/>
      <c r="H107" s="710"/>
      <c r="I107" s="710"/>
      <c r="J107" s="710"/>
      <c r="K107" s="710"/>
      <c r="L107" s="710"/>
      <c r="M107" s="583"/>
      <c r="N107" s="842">
        <v>0.3</v>
      </c>
      <c r="O107" s="710"/>
      <c r="P107" s="710"/>
      <c r="Q107" s="710"/>
      <c r="R107" s="583"/>
      <c r="S107" s="842">
        <v>0.1</v>
      </c>
      <c r="T107" s="710"/>
      <c r="U107" s="710"/>
      <c r="V107" s="710"/>
      <c r="W107" s="583"/>
      <c r="X107" s="842">
        <v>0.3</v>
      </c>
      <c r="Y107" s="710"/>
      <c r="Z107" s="710"/>
      <c r="AA107" s="710"/>
      <c r="AB107" s="583"/>
      <c r="AC107" s="842">
        <v>0.1</v>
      </c>
      <c r="AD107" s="710"/>
      <c r="AE107" s="710"/>
      <c r="AF107" s="710"/>
      <c r="AG107" s="583"/>
      <c r="AH107" s="842">
        <v>0.3</v>
      </c>
      <c r="AI107" s="710"/>
      <c r="AJ107" s="710"/>
      <c r="AK107" s="710"/>
      <c r="AL107" s="583"/>
      <c r="AM107" s="842">
        <v>0.1</v>
      </c>
      <c r="AN107" s="710"/>
      <c r="AO107" s="710"/>
      <c r="AP107" s="710"/>
      <c r="AQ107" s="583"/>
      <c r="AR107" s="842">
        <v>0.3</v>
      </c>
      <c r="AS107" s="710"/>
      <c r="AT107" s="710"/>
      <c r="AU107" s="710"/>
      <c r="AV107" s="583"/>
      <c r="AW107" s="842">
        <v>0.1</v>
      </c>
      <c r="AX107" s="710"/>
      <c r="AY107" s="710"/>
      <c r="AZ107" s="710"/>
      <c r="BA107" s="583"/>
      <c r="BB107" s="842">
        <v>0.3</v>
      </c>
      <c r="BC107" s="710"/>
      <c r="BD107" s="710"/>
      <c r="BE107" s="710"/>
      <c r="BF107" s="583"/>
      <c r="BG107" s="842">
        <v>0.1</v>
      </c>
      <c r="BH107" s="710"/>
      <c r="BI107" s="710"/>
      <c r="BJ107" s="710"/>
      <c r="BK107" s="583"/>
      <c r="BL107" s="113"/>
      <c r="BM107" s="113"/>
      <c r="BN107" s="113"/>
      <c r="BO107" s="113"/>
      <c r="BP107" s="113"/>
    </row>
    <row r="108" spans="1:68" ht="15" customHeight="1">
      <c r="A108" s="113"/>
      <c r="B108" s="113"/>
      <c r="C108" s="113"/>
      <c r="D108" s="852" t="s">
        <v>878</v>
      </c>
      <c r="E108" s="637"/>
      <c r="F108" s="637"/>
      <c r="G108" s="637"/>
      <c r="H108" s="637"/>
      <c r="I108" s="637"/>
      <c r="J108" s="637"/>
      <c r="K108" s="637"/>
      <c r="L108" s="637"/>
      <c r="M108" s="690"/>
      <c r="N108" s="831" t="s">
        <v>879</v>
      </c>
      <c r="O108" s="637"/>
      <c r="P108" s="637"/>
      <c r="Q108" s="637"/>
      <c r="R108" s="637"/>
      <c r="S108" s="637"/>
      <c r="T108" s="637"/>
      <c r="U108" s="637"/>
      <c r="V108" s="637"/>
      <c r="W108" s="637"/>
      <c r="X108" s="637"/>
      <c r="Y108" s="637"/>
      <c r="Z108" s="637"/>
      <c r="AA108" s="637"/>
      <c r="AB108" s="637"/>
      <c r="AC108" s="637"/>
      <c r="AD108" s="637"/>
      <c r="AE108" s="637"/>
      <c r="AF108" s="637"/>
      <c r="AG108" s="637"/>
      <c r="AH108" s="637"/>
      <c r="AI108" s="637"/>
      <c r="AJ108" s="637"/>
      <c r="AK108" s="637"/>
      <c r="AL108" s="637"/>
      <c r="AM108" s="637"/>
      <c r="AN108" s="637"/>
      <c r="AO108" s="637"/>
      <c r="AP108" s="637"/>
      <c r="AQ108" s="637"/>
      <c r="AR108" s="637"/>
      <c r="AS108" s="637"/>
      <c r="AT108" s="637"/>
      <c r="AU108" s="637"/>
      <c r="AV108" s="637"/>
      <c r="AW108" s="637"/>
      <c r="AX108" s="637"/>
      <c r="AY108" s="637"/>
      <c r="AZ108" s="637"/>
      <c r="BA108" s="637"/>
      <c r="BB108" s="637"/>
      <c r="BC108" s="637"/>
      <c r="BD108" s="637"/>
      <c r="BE108" s="637"/>
      <c r="BF108" s="637"/>
      <c r="BG108" s="637"/>
      <c r="BH108" s="637"/>
      <c r="BI108" s="637"/>
      <c r="BJ108" s="637"/>
      <c r="BK108" s="690"/>
      <c r="BL108" s="113"/>
      <c r="BM108" s="113"/>
      <c r="BN108" s="113"/>
      <c r="BO108" s="113"/>
      <c r="BP108" s="113"/>
    </row>
    <row r="109" spans="1:68" ht="12.75" customHeight="1">
      <c r="A109" s="113"/>
      <c r="B109" s="113"/>
      <c r="C109" s="113"/>
      <c r="D109" s="719"/>
      <c r="E109" s="707"/>
      <c r="F109" s="707"/>
      <c r="G109" s="707"/>
      <c r="H109" s="707"/>
      <c r="I109" s="707"/>
      <c r="J109" s="707"/>
      <c r="K109" s="707"/>
      <c r="L109" s="707"/>
      <c r="M109" s="804"/>
      <c r="N109" s="719"/>
      <c r="O109" s="707"/>
      <c r="P109" s="707"/>
      <c r="Q109" s="707"/>
      <c r="R109" s="707"/>
      <c r="S109" s="707"/>
      <c r="T109" s="707"/>
      <c r="U109" s="707"/>
      <c r="V109" s="707"/>
      <c r="W109" s="707"/>
      <c r="X109" s="707"/>
      <c r="Y109" s="707"/>
      <c r="Z109" s="707"/>
      <c r="AA109" s="707"/>
      <c r="AB109" s="707"/>
      <c r="AC109" s="707"/>
      <c r="AD109" s="707"/>
      <c r="AE109" s="707"/>
      <c r="AF109" s="707"/>
      <c r="AG109" s="707"/>
      <c r="AH109" s="707"/>
      <c r="AI109" s="707"/>
      <c r="AJ109" s="707"/>
      <c r="AK109" s="707"/>
      <c r="AL109" s="707"/>
      <c r="AM109" s="707"/>
      <c r="AN109" s="707"/>
      <c r="AO109" s="707"/>
      <c r="AP109" s="707"/>
      <c r="AQ109" s="707"/>
      <c r="AR109" s="707"/>
      <c r="AS109" s="707"/>
      <c r="AT109" s="707"/>
      <c r="AU109" s="707"/>
      <c r="AV109" s="707"/>
      <c r="AW109" s="707"/>
      <c r="AX109" s="707"/>
      <c r="AY109" s="707"/>
      <c r="AZ109" s="707"/>
      <c r="BA109" s="707"/>
      <c r="BB109" s="707"/>
      <c r="BC109" s="707"/>
      <c r="BD109" s="707"/>
      <c r="BE109" s="707"/>
      <c r="BF109" s="707"/>
      <c r="BG109" s="707"/>
      <c r="BH109" s="707"/>
      <c r="BI109" s="707"/>
      <c r="BJ109" s="707"/>
      <c r="BK109" s="804"/>
      <c r="BL109" s="113"/>
      <c r="BM109" s="113"/>
      <c r="BN109" s="113"/>
      <c r="BO109" s="113"/>
      <c r="BP109" s="113"/>
    </row>
    <row r="110" spans="1:68" ht="12.75" customHeight="1">
      <c r="A110" s="113"/>
      <c r="B110" s="113"/>
      <c r="C110" s="113"/>
      <c r="D110" s="726"/>
      <c r="E110" s="724"/>
      <c r="F110" s="724"/>
      <c r="G110" s="724"/>
      <c r="H110" s="724"/>
      <c r="I110" s="724"/>
      <c r="J110" s="724"/>
      <c r="K110" s="724"/>
      <c r="L110" s="724"/>
      <c r="M110" s="727"/>
      <c r="N110" s="726"/>
      <c r="O110" s="724"/>
      <c r="P110" s="724"/>
      <c r="Q110" s="724"/>
      <c r="R110" s="724"/>
      <c r="S110" s="724"/>
      <c r="T110" s="724"/>
      <c r="U110" s="724"/>
      <c r="V110" s="724"/>
      <c r="W110" s="724"/>
      <c r="X110" s="724"/>
      <c r="Y110" s="724"/>
      <c r="Z110" s="724"/>
      <c r="AA110" s="724"/>
      <c r="AB110" s="724"/>
      <c r="AC110" s="724"/>
      <c r="AD110" s="724"/>
      <c r="AE110" s="724"/>
      <c r="AF110" s="724"/>
      <c r="AG110" s="724"/>
      <c r="AH110" s="724"/>
      <c r="AI110" s="724"/>
      <c r="AJ110" s="724"/>
      <c r="AK110" s="724"/>
      <c r="AL110" s="724"/>
      <c r="AM110" s="724"/>
      <c r="AN110" s="724"/>
      <c r="AO110" s="724"/>
      <c r="AP110" s="724"/>
      <c r="AQ110" s="724"/>
      <c r="AR110" s="724"/>
      <c r="AS110" s="724"/>
      <c r="AT110" s="724"/>
      <c r="AU110" s="724"/>
      <c r="AV110" s="724"/>
      <c r="AW110" s="724"/>
      <c r="AX110" s="724"/>
      <c r="AY110" s="724"/>
      <c r="AZ110" s="724"/>
      <c r="BA110" s="724"/>
      <c r="BB110" s="724"/>
      <c r="BC110" s="724"/>
      <c r="BD110" s="724"/>
      <c r="BE110" s="724"/>
      <c r="BF110" s="724"/>
      <c r="BG110" s="724"/>
      <c r="BH110" s="724"/>
      <c r="BI110" s="724"/>
      <c r="BJ110" s="724"/>
      <c r="BK110" s="727"/>
      <c r="BL110" s="113"/>
      <c r="BM110" s="113"/>
      <c r="BN110" s="113"/>
      <c r="BO110" s="113"/>
      <c r="BP110" s="113"/>
    </row>
    <row r="111" spans="1:68" ht="12.75" customHeight="1">
      <c r="A111" s="113"/>
      <c r="B111" s="113"/>
      <c r="C111" s="113"/>
      <c r="D111" s="842">
        <v>0.4</v>
      </c>
      <c r="E111" s="710"/>
      <c r="F111" s="710"/>
      <c r="G111" s="710"/>
      <c r="H111" s="710"/>
      <c r="I111" s="710"/>
      <c r="J111" s="710"/>
      <c r="K111" s="710"/>
      <c r="L111" s="710"/>
      <c r="M111" s="583"/>
      <c r="N111" s="842">
        <v>0.17</v>
      </c>
      <c r="O111" s="710"/>
      <c r="P111" s="710"/>
      <c r="Q111" s="710"/>
      <c r="R111" s="583"/>
      <c r="S111" s="842"/>
      <c r="T111" s="710"/>
      <c r="U111" s="710"/>
      <c r="V111" s="710"/>
      <c r="W111" s="583"/>
      <c r="X111" s="842"/>
      <c r="Y111" s="710"/>
      <c r="Z111" s="710"/>
      <c r="AA111" s="710"/>
      <c r="AB111" s="583"/>
      <c r="AC111" s="842"/>
      <c r="AD111" s="710"/>
      <c r="AE111" s="710"/>
      <c r="AF111" s="710"/>
      <c r="AG111" s="583"/>
      <c r="AH111" s="842"/>
      <c r="AI111" s="710"/>
      <c r="AJ111" s="710"/>
      <c r="AK111" s="710"/>
      <c r="AL111" s="583"/>
      <c r="AM111" s="842"/>
      <c r="AN111" s="710"/>
      <c r="AO111" s="710"/>
      <c r="AP111" s="710"/>
      <c r="AQ111" s="583"/>
      <c r="AR111" s="842"/>
      <c r="AS111" s="710"/>
      <c r="AT111" s="710"/>
      <c r="AU111" s="710"/>
      <c r="AV111" s="583"/>
      <c r="AW111" s="842"/>
      <c r="AX111" s="710"/>
      <c r="AY111" s="710"/>
      <c r="AZ111" s="710"/>
      <c r="BA111" s="583"/>
      <c r="BB111" s="842"/>
      <c r="BC111" s="710"/>
      <c r="BD111" s="710"/>
      <c r="BE111" s="710"/>
      <c r="BF111" s="583"/>
      <c r="BG111" s="842"/>
      <c r="BH111" s="710"/>
      <c r="BI111" s="710"/>
      <c r="BJ111" s="710"/>
      <c r="BK111" s="583"/>
      <c r="BL111" s="113"/>
      <c r="BM111" s="113"/>
      <c r="BN111" s="113"/>
      <c r="BO111" s="113"/>
      <c r="BP111" s="113"/>
    </row>
    <row r="112" spans="1:68" ht="12.75" customHeight="1">
      <c r="A112" s="113"/>
      <c r="B112" s="113"/>
      <c r="C112" s="113"/>
      <c r="D112" s="842">
        <v>0.6</v>
      </c>
      <c r="E112" s="710"/>
      <c r="F112" s="710"/>
      <c r="G112" s="710"/>
      <c r="H112" s="710"/>
      <c r="I112" s="710"/>
      <c r="J112" s="710"/>
      <c r="K112" s="710"/>
      <c r="L112" s="710"/>
      <c r="M112" s="583"/>
      <c r="N112" s="842">
        <v>0.24</v>
      </c>
      <c r="O112" s="710"/>
      <c r="P112" s="710"/>
      <c r="Q112" s="710"/>
      <c r="R112" s="583"/>
      <c r="S112" s="842">
        <v>0.23</v>
      </c>
      <c r="T112" s="710"/>
      <c r="U112" s="710"/>
      <c r="V112" s="710"/>
      <c r="W112" s="583"/>
      <c r="X112" s="842">
        <v>0.18</v>
      </c>
      <c r="Y112" s="710"/>
      <c r="Z112" s="710"/>
      <c r="AA112" s="710"/>
      <c r="AB112" s="583"/>
      <c r="AC112" s="842">
        <v>0.18</v>
      </c>
      <c r="AD112" s="710"/>
      <c r="AE112" s="710"/>
      <c r="AF112" s="710"/>
      <c r="AG112" s="583"/>
      <c r="AH112" s="842">
        <v>0.2</v>
      </c>
      <c r="AI112" s="710"/>
      <c r="AJ112" s="710"/>
      <c r="AK112" s="710"/>
      <c r="AL112" s="583"/>
      <c r="AM112" s="842">
        <v>0.19</v>
      </c>
      <c r="AN112" s="710"/>
      <c r="AO112" s="710"/>
      <c r="AP112" s="710"/>
      <c r="AQ112" s="583"/>
      <c r="AR112" s="842">
        <v>0.15</v>
      </c>
      <c r="AS112" s="710"/>
      <c r="AT112" s="710"/>
      <c r="AU112" s="710"/>
      <c r="AV112" s="583"/>
      <c r="AW112" s="842">
        <v>0.15</v>
      </c>
      <c r="AX112" s="710"/>
      <c r="AY112" s="710"/>
      <c r="AZ112" s="710"/>
      <c r="BA112" s="583"/>
      <c r="BB112" s="842">
        <v>0.12</v>
      </c>
      <c r="BC112" s="710"/>
      <c r="BD112" s="710"/>
      <c r="BE112" s="710"/>
      <c r="BF112" s="583"/>
      <c r="BG112" s="842">
        <v>0.15</v>
      </c>
      <c r="BH112" s="710"/>
      <c r="BI112" s="710"/>
      <c r="BJ112" s="710"/>
      <c r="BK112" s="583"/>
      <c r="BL112" s="113"/>
      <c r="BM112" s="113"/>
      <c r="BN112" s="113"/>
      <c r="BO112" s="113"/>
      <c r="BP112" s="113"/>
    </row>
    <row r="113" spans="1:68" ht="12.75" customHeight="1">
      <c r="A113" s="113"/>
      <c r="B113" s="113"/>
      <c r="C113" s="113"/>
      <c r="D113" s="842">
        <v>0.8</v>
      </c>
      <c r="E113" s="710"/>
      <c r="F113" s="710"/>
      <c r="G113" s="710"/>
      <c r="H113" s="710"/>
      <c r="I113" s="710"/>
      <c r="J113" s="710"/>
      <c r="K113" s="710"/>
      <c r="L113" s="710"/>
      <c r="M113" s="583"/>
      <c r="N113" s="842">
        <v>0.31</v>
      </c>
      <c r="O113" s="710"/>
      <c r="P113" s="710"/>
      <c r="Q113" s="710"/>
      <c r="R113" s="583"/>
      <c r="S113" s="842">
        <v>0.28999999999999998</v>
      </c>
      <c r="T113" s="710"/>
      <c r="U113" s="710"/>
      <c r="V113" s="710"/>
      <c r="W113" s="583"/>
      <c r="X113" s="842">
        <v>0.24</v>
      </c>
      <c r="Y113" s="710"/>
      <c r="Z113" s="710"/>
      <c r="AA113" s="710"/>
      <c r="AB113" s="583"/>
      <c r="AC113" s="842">
        <v>0.23</v>
      </c>
      <c r="AD113" s="710"/>
      <c r="AE113" s="710"/>
      <c r="AF113" s="710"/>
      <c r="AG113" s="583"/>
      <c r="AH113" s="842">
        <v>0.25</v>
      </c>
      <c r="AI113" s="710"/>
      <c r="AJ113" s="710"/>
      <c r="AK113" s="710"/>
      <c r="AL113" s="583"/>
      <c r="AM113" s="842">
        <v>0.24</v>
      </c>
      <c r="AN113" s="710"/>
      <c r="AO113" s="710"/>
      <c r="AP113" s="710"/>
      <c r="AQ113" s="583"/>
      <c r="AR113" s="842">
        <v>0.2</v>
      </c>
      <c r="AS113" s="710"/>
      <c r="AT113" s="710"/>
      <c r="AU113" s="710"/>
      <c r="AV113" s="583"/>
      <c r="AW113" s="842">
        <v>0.19</v>
      </c>
      <c r="AX113" s="710"/>
      <c r="AY113" s="710"/>
      <c r="AZ113" s="710"/>
      <c r="BA113" s="583"/>
      <c r="BB113" s="842">
        <v>0.16</v>
      </c>
      <c r="BC113" s="710"/>
      <c r="BD113" s="710"/>
      <c r="BE113" s="710"/>
      <c r="BF113" s="583"/>
      <c r="BG113" s="842">
        <v>0.17</v>
      </c>
      <c r="BH113" s="710"/>
      <c r="BI113" s="710"/>
      <c r="BJ113" s="710"/>
      <c r="BK113" s="583"/>
      <c r="BL113" s="113"/>
      <c r="BM113" s="113"/>
      <c r="BN113" s="113"/>
      <c r="BO113" s="113"/>
      <c r="BP113" s="113"/>
    </row>
    <row r="114" spans="1:68" ht="12.75" customHeight="1">
      <c r="A114" s="113"/>
      <c r="B114" s="113"/>
      <c r="C114" s="113"/>
      <c r="D114" s="842">
        <v>1</v>
      </c>
      <c r="E114" s="710"/>
      <c r="F114" s="710"/>
      <c r="G114" s="710"/>
      <c r="H114" s="710"/>
      <c r="I114" s="710"/>
      <c r="J114" s="710"/>
      <c r="K114" s="710"/>
      <c r="L114" s="710"/>
      <c r="M114" s="583"/>
      <c r="N114" s="842">
        <v>0.36</v>
      </c>
      <c r="O114" s="710"/>
      <c r="P114" s="710"/>
      <c r="Q114" s="710"/>
      <c r="R114" s="583"/>
      <c r="S114" s="842">
        <v>0.33</v>
      </c>
      <c r="T114" s="710"/>
      <c r="U114" s="710"/>
      <c r="V114" s="710"/>
      <c r="W114" s="583"/>
      <c r="X114" s="842">
        <v>0.28999999999999998</v>
      </c>
      <c r="Y114" s="710"/>
      <c r="Z114" s="710"/>
      <c r="AA114" s="710"/>
      <c r="AB114" s="583"/>
      <c r="AC114" s="842">
        <v>0.28000000000000003</v>
      </c>
      <c r="AD114" s="710"/>
      <c r="AE114" s="710"/>
      <c r="AF114" s="710"/>
      <c r="AG114" s="583"/>
      <c r="AH114" s="842">
        <v>0.28999999999999998</v>
      </c>
      <c r="AI114" s="710"/>
      <c r="AJ114" s="710"/>
      <c r="AK114" s="710"/>
      <c r="AL114" s="583"/>
      <c r="AM114" s="842">
        <v>0.28000000000000003</v>
      </c>
      <c r="AN114" s="710"/>
      <c r="AO114" s="710"/>
      <c r="AP114" s="710"/>
      <c r="AQ114" s="583"/>
      <c r="AR114" s="842">
        <v>0.24</v>
      </c>
      <c r="AS114" s="710"/>
      <c r="AT114" s="710"/>
      <c r="AU114" s="710"/>
      <c r="AV114" s="583"/>
      <c r="AW114" s="842">
        <v>0.23</v>
      </c>
      <c r="AX114" s="710"/>
      <c r="AY114" s="710"/>
      <c r="AZ114" s="710"/>
      <c r="BA114" s="583"/>
      <c r="BB114" s="842">
        <v>0.2</v>
      </c>
      <c r="BC114" s="710"/>
      <c r="BD114" s="710"/>
      <c r="BE114" s="710"/>
      <c r="BF114" s="583"/>
      <c r="BG114" s="842">
        <v>0.2</v>
      </c>
      <c r="BH114" s="710"/>
      <c r="BI114" s="710"/>
      <c r="BJ114" s="710"/>
      <c r="BK114" s="583"/>
      <c r="BL114" s="113"/>
      <c r="BM114" s="113"/>
      <c r="BN114" s="113"/>
      <c r="BO114" s="113"/>
      <c r="BP114" s="113"/>
    </row>
    <row r="115" spans="1:68" ht="12.75" customHeight="1">
      <c r="A115" s="113"/>
      <c r="B115" s="113"/>
      <c r="C115" s="113"/>
      <c r="D115" s="842">
        <v>1.25</v>
      </c>
      <c r="E115" s="710"/>
      <c r="F115" s="710"/>
      <c r="G115" s="710"/>
      <c r="H115" s="710"/>
      <c r="I115" s="710"/>
      <c r="J115" s="710"/>
      <c r="K115" s="710"/>
      <c r="L115" s="710"/>
      <c r="M115" s="583"/>
      <c r="N115" s="842">
        <v>0.41</v>
      </c>
      <c r="O115" s="710"/>
      <c r="P115" s="710"/>
      <c r="Q115" s="710"/>
      <c r="R115" s="583"/>
      <c r="S115" s="842">
        <v>0.38</v>
      </c>
      <c r="T115" s="710"/>
      <c r="U115" s="710"/>
      <c r="V115" s="710"/>
      <c r="W115" s="583"/>
      <c r="X115" s="842">
        <v>0.34</v>
      </c>
      <c r="Y115" s="710"/>
      <c r="Z115" s="710"/>
      <c r="AA115" s="710"/>
      <c r="AB115" s="583"/>
      <c r="AC115" s="842">
        <v>0.32</v>
      </c>
      <c r="AD115" s="710"/>
      <c r="AE115" s="710"/>
      <c r="AF115" s="710"/>
      <c r="AG115" s="583"/>
      <c r="AH115" s="842">
        <v>0.33</v>
      </c>
      <c r="AI115" s="710"/>
      <c r="AJ115" s="710"/>
      <c r="AK115" s="710"/>
      <c r="AL115" s="583"/>
      <c r="AM115" s="842">
        <v>0.31</v>
      </c>
      <c r="AN115" s="710"/>
      <c r="AO115" s="710"/>
      <c r="AP115" s="710"/>
      <c r="AQ115" s="583"/>
      <c r="AR115" s="842">
        <v>0.28000000000000003</v>
      </c>
      <c r="AS115" s="710"/>
      <c r="AT115" s="710"/>
      <c r="AU115" s="710"/>
      <c r="AV115" s="583"/>
      <c r="AW115" s="842">
        <v>0.27</v>
      </c>
      <c r="AX115" s="710"/>
      <c r="AY115" s="710"/>
      <c r="AZ115" s="710"/>
      <c r="BA115" s="583"/>
      <c r="BB115" s="842">
        <v>0.24</v>
      </c>
      <c r="BC115" s="710"/>
      <c r="BD115" s="710"/>
      <c r="BE115" s="710"/>
      <c r="BF115" s="583"/>
      <c r="BG115" s="842">
        <v>0.24</v>
      </c>
      <c r="BH115" s="710"/>
      <c r="BI115" s="710"/>
      <c r="BJ115" s="710"/>
      <c r="BK115" s="583"/>
      <c r="BL115" s="113"/>
      <c r="BM115" s="113"/>
      <c r="BN115" s="113"/>
      <c r="BO115" s="113"/>
      <c r="BP115" s="113"/>
    </row>
    <row r="116" spans="1:68" ht="12.75" customHeight="1">
      <c r="A116" s="113"/>
      <c r="B116" s="113"/>
      <c r="C116" s="113"/>
      <c r="D116" s="842">
        <v>1.5</v>
      </c>
      <c r="E116" s="710"/>
      <c r="F116" s="710"/>
      <c r="G116" s="710"/>
      <c r="H116" s="710"/>
      <c r="I116" s="710"/>
      <c r="J116" s="710"/>
      <c r="K116" s="710"/>
      <c r="L116" s="710"/>
      <c r="M116" s="583"/>
      <c r="N116" s="842">
        <v>0.45</v>
      </c>
      <c r="O116" s="710"/>
      <c r="P116" s="710"/>
      <c r="Q116" s="710"/>
      <c r="R116" s="583"/>
      <c r="S116" s="842">
        <v>0.41</v>
      </c>
      <c r="T116" s="710"/>
      <c r="U116" s="710"/>
      <c r="V116" s="710"/>
      <c r="W116" s="583"/>
      <c r="X116" s="842">
        <v>0.38</v>
      </c>
      <c r="Y116" s="710"/>
      <c r="Z116" s="710"/>
      <c r="AA116" s="710"/>
      <c r="AB116" s="583"/>
      <c r="AC116" s="842">
        <v>0.36</v>
      </c>
      <c r="AD116" s="710"/>
      <c r="AE116" s="710"/>
      <c r="AF116" s="710"/>
      <c r="AG116" s="583"/>
      <c r="AH116" s="842">
        <v>0.36</v>
      </c>
      <c r="AI116" s="710"/>
      <c r="AJ116" s="710"/>
      <c r="AK116" s="710"/>
      <c r="AL116" s="583"/>
      <c r="AM116" s="842">
        <v>0.34</v>
      </c>
      <c r="AN116" s="710"/>
      <c r="AO116" s="710"/>
      <c r="AP116" s="710"/>
      <c r="AQ116" s="583"/>
      <c r="AR116" s="842">
        <v>0.32</v>
      </c>
      <c r="AS116" s="710"/>
      <c r="AT116" s="710"/>
      <c r="AU116" s="710"/>
      <c r="AV116" s="583"/>
      <c r="AW116" s="842">
        <v>0.3</v>
      </c>
      <c r="AX116" s="710"/>
      <c r="AY116" s="710"/>
      <c r="AZ116" s="710"/>
      <c r="BA116" s="583"/>
      <c r="BB116" s="842">
        <v>0.27</v>
      </c>
      <c r="BC116" s="710"/>
      <c r="BD116" s="710"/>
      <c r="BE116" s="710"/>
      <c r="BF116" s="583"/>
      <c r="BG116" s="842">
        <v>0.26</v>
      </c>
      <c r="BH116" s="710"/>
      <c r="BI116" s="710"/>
      <c r="BJ116" s="710"/>
      <c r="BK116" s="583"/>
      <c r="BL116" s="113"/>
      <c r="BM116" s="113"/>
      <c r="BN116" s="113"/>
      <c r="BO116" s="113"/>
      <c r="BP116" s="113"/>
    </row>
    <row r="117" spans="1:68" ht="12.75" customHeight="1">
      <c r="A117" s="113"/>
      <c r="B117" s="113"/>
      <c r="C117" s="113"/>
      <c r="D117" s="842">
        <v>2</v>
      </c>
      <c r="E117" s="710"/>
      <c r="F117" s="710"/>
      <c r="G117" s="710"/>
      <c r="H117" s="710"/>
      <c r="I117" s="710"/>
      <c r="J117" s="710"/>
      <c r="K117" s="710"/>
      <c r="L117" s="710"/>
      <c r="M117" s="583"/>
      <c r="N117" s="842">
        <v>0.51</v>
      </c>
      <c r="O117" s="710"/>
      <c r="P117" s="710"/>
      <c r="Q117" s="710"/>
      <c r="R117" s="583"/>
      <c r="S117" s="842">
        <v>0.46</v>
      </c>
      <c r="T117" s="710"/>
      <c r="U117" s="710"/>
      <c r="V117" s="710"/>
      <c r="W117" s="583"/>
      <c r="X117" s="842">
        <v>0.45</v>
      </c>
      <c r="Y117" s="710"/>
      <c r="Z117" s="710"/>
      <c r="AA117" s="710"/>
      <c r="AB117" s="583"/>
      <c r="AC117" s="842">
        <v>0.41</v>
      </c>
      <c r="AD117" s="710"/>
      <c r="AE117" s="710"/>
      <c r="AF117" s="710"/>
      <c r="AG117" s="583"/>
      <c r="AH117" s="842">
        <v>0.41</v>
      </c>
      <c r="AI117" s="710"/>
      <c r="AJ117" s="710"/>
      <c r="AK117" s="710"/>
      <c r="AL117" s="583"/>
      <c r="AM117" s="842">
        <v>0.38</v>
      </c>
      <c r="AN117" s="710"/>
      <c r="AO117" s="710"/>
      <c r="AP117" s="710"/>
      <c r="AQ117" s="583"/>
      <c r="AR117" s="842">
        <v>0.37</v>
      </c>
      <c r="AS117" s="710"/>
      <c r="AT117" s="710"/>
      <c r="AU117" s="710"/>
      <c r="AV117" s="583"/>
      <c r="AW117" s="842">
        <v>0.35</v>
      </c>
      <c r="AX117" s="710"/>
      <c r="AY117" s="710"/>
      <c r="AZ117" s="710"/>
      <c r="BA117" s="583"/>
      <c r="BB117" s="842">
        <v>0.31</v>
      </c>
      <c r="BC117" s="710"/>
      <c r="BD117" s="710"/>
      <c r="BE117" s="710"/>
      <c r="BF117" s="583"/>
      <c r="BG117" s="842">
        <v>0.3</v>
      </c>
      <c r="BH117" s="710"/>
      <c r="BI117" s="710"/>
      <c r="BJ117" s="710"/>
      <c r="BK117" s="583"/>
      <c r="BL117" s="113"/>
      <c r="BM117" s="113"/>
      <c r="BN117" s="113"/>
      <c r="BO117" s="113"/>
      <c r="BP117" s="113"/>
    </row>
    <row r="118" spans="1:68" ht="12.75" customHeight="1">
      <c r="A118" s="113"/>
      <c r="B118" s="113"/>
      <c r="C118" s="113"/>
      <c r="D118" s="842">
        <v>2.5</v>
      </c>
      <c r="E118" s="710"/>
      <c r="F118" s="710"/>
      <c r="G118" s="710"/>
      <c r="H118" s="710"/>
      <c r="I118" s="710"/>
      <c r="J118" s="710"/>
      <c r="K118" s="710"/>
      <c r="L118" s="710"/>
      <c r="M118" s="583"/>
      <c r="N118" s="842">
        <v>0.56000000000000005</v>
      </c>
      <c r="O118" s="710"/>
      <c r="P118" s="710"/>
      <c r="Q118" s="710"/>
      <c r="R118" s="583"/>
      <c r="S118" s="842">
        <v>0.49</v>
      </c>
      <c r="T118" s="710"/>
      <c r="U118" s="710"/>
      <c r="V118" s="710"/>
      <c r="W118" s="583"/>
      <c r="X118" s="842">
        <v>0.5</v>
      </c>
      <c r="Y118" s="710"/>
      <c r="Z118" s="710"/>
      <c r="AA118" s="710"/>
      <c r="AB118" s="583"/>
      <c r="AC118" s="842">
        <v>0.45</v>
      </c>
      <c r="AD118" s="710"/>
      <c r="AE118" s="710"/>
      <c r="AF118" s="710"/>
      <c r="AG118" s="583"/>
      <c r="AH118" s="842">
        <v>0.45</v>
      </c>
      <c r="AI118" s="710"/>
      <c r="AJ118" s="710"/>
      <c r="AK118" s="710"/>
      <c r="AL118" s="583"/>
      <c r="AM118" s="842">
        <v>0.41</v>
      </c>
      <c r="AN118" s="710"/>
      <c r="AO118" s="710"/>
      <c r="AP118" s="710"/>
      <c r="AQ118" s="583"/>
      <c r="AR118" s="842">
        <v>0.41</v>
      </c>
      <c r="AS118" s="710"/>
      <c r="AT118" s="710"/>
      <c r="AU118" s="710"/>
      <c r="AV118" s="583"/>
      <c r="AW118" s="842">
        <v>0.38</v>
      </c>
      <c r="AX118" s="710"/>
      <c r="AY118" s="710"/>
      <c r="AZ118" s="710"/>
      <c r="BA118" s="583"/>
      <c r="BB118" s="842">
        <v>0.35</v>
      </c>
      <c r="BC118" s="710"/>
      <c r="BD118" s="710"/>
      <c r="BE118" s="710"/>
      <c r="BF118" s="583"/>
      <c r="BG118" s="842">
        <v>0.3</v>
      </c>
      <c r="BH118" s="710"/>
      <c r="BI118" s="710"/>
      <c r="BJ118" s="710"/>
      <c r="BK118" s="583"/>
      <c r="BL118" s="113"/>
      <c r="BM118" s="113"/>
      <c r="BN118" s="113"/>
      <c r="BO118" s="113"/>
      <c r="BP118" s="113"/>
    </row>
    <row r="119" spans="1:68" ht="12.75" customHeight="1">
      <c r="A119" s="113"/>
      <c r="B119" s="113"/>
      <c r="C119" s="113"/>
      <c r="D119" s="842">
        <v>3</v>
      </c>
      <c r="E119" s="710"/>
      <c r="F119" s="710"/>
      <c r="G119" s="710"/>
      <c r="H119" s="710"/>
      <c r="I119" s="710"/>
      <c r="J119" s="710"/>
      <c r="K119" s="710"/>
      <c r="L119" s="710"/>
      <c r="M119" s="583"/>
      <c r="N119" s="842">
        <v>0.59</v>
      </c>
      <c r="O119" s="710"/>
      <c r="P119" s="710"/>
      <c r="Q119" s="710"/>
      <c r="R119" s="583"/>
      <c r="S119" s="842">
        <v>0.52</v>
      </c>
      <c r="T119" s="710"/>
      <c r="U119" s="710"/>
      <c r="V119" s="710"/>
      <c r="W119" s="583"/>
      <c r="X119" s="842">
        <v>0.54</v>
      </c>
      <c r="Y119" s="710"/>
      <c r="Z119" s="710"/>
      <c r="AA119" s="710"/>
      <c r="AB119" s="583"/>
      <c r="AC119" s="842">
        <v>0.48</v>
      </c>
      <c r="AD119" s="710"/>
      <c r="AE119" s="710"/>
      <c r="AF119" s="710"/>
      <c r="AG119" s="583"/>
      <c r="AH119" s="842">
        <v>0.47</v>
      </c>
      <c r="AI119" s="710"/>
      <c r="AJ119" s="710"/>
      <c r="AK119" s="710"/>
      <c r="AL119" s="583"/>
      <c r="AM119" s="842">
        <v>0.43</v>
      </c>
      <c r="AN119" s="710"/>
      <c r="AO119" s="710"/>
      <c r="AP119" s="710"/>
      <c r="AQ119" s="583"/>
      <c r="AR119" s="842">
        <v>0.43</v>
      </c>
      <c r="AS119" s="710"/>
      <c r="AT119" s="710"/>
      <c r="AU119" s="710"/>
      <c r="AV119" s="583"/>
      <c r="AW119" s="842">
        <v>0.4</v>
      </c>
      <c r="AX119" s="710"/>
      <c r="AY119" s="710"/>
      <c r="AZ119" s="710"/>
      <c r="BA119" s="583"/>
      <c r="BB119" s="842">
        <v>0.38</v>
      </c>
      <c r="BC119" s="710"/>
      <c r="BD119" s="710"/>
      <c r="BE119" s="710"/>
      <c r="BF119" s="583"/>
      <c r="BG119" s="842">
        <v>0.36</v>
      </c>
      <c r="BH119" s="710"/>
      <c r="BI119" s="710"/>
      <c r="BJ119" s="710"/>
      <c r="BK119" s="583"/>
      <c r="BL119" s="113"/>
      <c r="BM119" s="113"/>
      <c r="BN119" s="113"/>
      <c r="BO119" s="113"/>
      <c r="BP119" s="113"/>
    </row>
    <row r="120" spans="1:68" ht="12.75" customHeight="1">
      <c r="A120" s="113"/>
      <c r="B120" s="113"/>
      <c r="C120" s="113"/>
      <c r="D120" s="842">
        <v>4</v>
      </c>
      <c r="E120" s="710"/>
      <c r="F120" s="710"/>
      <c r="G120" s="710"/>
      <c r="H120" s="710"/>
      <c r="I120" s="710"/>
      <c r="J120" s="710"/>
      <c r="K120" s="710"/>
      <c r="L120" s="710"/>
      <c r="M120" s="583"/>
      <c r="N120" s="842">
        <v>0.63</v>
      </c>
      <c r="O120" s="710"/>
      <c r="P120" s="710"/>
      <c r="Q120" s="710"/>
      <c r="R120" s="583"/>
      <c r="S120" s="842">
        <v>0.55000000000000004</v>
      </c>
      <c r="T120" s="710"/>
      <c r="U120" s="710"/>
      <c r="V120" s="710"/>
      <c r="W120" s="583"/>
      <c r="X120" s="842">
        <v>0.57999999999999996</v>
      </c>
      <c r="Y120" s="710"/>
      <c r="Z120" s="710"/>
      <c r="AA120" s="710"/>
      <c r="AB120" s="583"/>
      <c r="AC120" s="842">
        <v>0.51</v>
      </c>
      <c r="AD120" s="710"/>
      <c r="AE120" s="710"/>
      <c r="AF120" s="710"/>
      <c r="AG120" s="583"/>
      <c r="AH120" s="842">
        <v>0.5</v>
      </c>
      <c r="AI120" s="710"/>
      <c r="AJ120" s="710"/>
      <c r="AK120" s="710"/>
      <c r="AL120" s="583"/>
      <c r="AM120" s="842">
        <v>0.46</v>
      </c>
      <c r="AN120" s="710"/>
      <c r="AO120" s="710"/>
      <c r="AP120" s="710"/>
      <c r="AQ120" s="583"/>
      <c r="AR120" s="842">
        <v>0.47</v>
      </c>
      <c r="AS120" s="710"/>
      <c r="AT120" s="710"/>
      <c r="AU120" s="710"/>
      <c r="AV120" s="583"/>
      <c r="AW120" s="842">
        <v>0.44</v>
      </c>
      <c r="AX120" s="710"/>
      <c r="AY120" s="710"/>
      <c r="AZ120" s="710"/>
      <c r="BA120" s="583"/>
      <c r="BB120" s="842">
        <v>0.41</v>
      </c>
      <c r="BC120" s="710"/>
      <c r="BD120" s="710"/>
      <c r="BE120" s="710"/>
      <c r="BF120" s="583"/>
      <c r="BG120" s="842">
        <v>0.39</v>
      </c>
      <c r="BH120" s="710"/>
      <c r="BI120" s="710"/>
      <c r="BJ120" s="710"/>
      <c r="BK120" s="583"/>
      <c r="BL120" s="113"/>
      <c r="BM120" s="113"/>
      <c r="BN120" s="113"/>
      <c r="BO120" s="113"/>
      <c r="BP120" s="113"/>
    </row>
    <row r="121" spans="1:68" ht="12.75" customHeight="1">
      <c r="A121" s="113"/>
      <c r="B121" s="113"/>
      <c r="C121" s="113"/>
      <c r="D121" s="842">
        <v>5</v>
      </c>
      <c r="E121" s="710"/>
      <c r="F121" s="710"/>
      <c r="G121" s="710"/>
      <c r="H121" s="710"/>
      <c r="I121" s="710"/>
      <c r="J121" s="710"/>
      <c r="K121" s="710"/>
      <c r="L121" s="710"/>
      <c r="M121" s="583"/>
      <c r="N121" s="842">
        <v>0.66</v>
      </c>
      <c r="O121" s="710"/>
      <c r="P121" s="710"/>
      <c r="Q121" s="710"/>
      <c r="R121" s="583"/>
      <c r="S121" s="842">
        <v>0.56999999999999995</v>
      </c>
      <c r="T121" s="710"/>
      <c r="U121" s="710"/>
      <c r="V121" s="710"/>
      <c r="W121" s="583"/>
      <c r="X121" s="842">
        <v>0.62</v>
      </c>
      <c r="Y121" s="710"/>
      <c r="Z121" s="710"/>
      <c r="AA121" s="710"/>
      <c r="AB121" s="583"/>
      <c r="AC121" s="842">
        <v>0.54</v>
      </c>
      <c r="AD121" s="710"/>
      <c r="AE121" s="710"/>
      <c r="AF121" s="710"/>
      <c r="AG121" s="583"/>
      <c r="AH121" s="842">
        <v>0.53</v>
      </c>
      <c r="AI121" s="710"/>
      <c r="AJ121" s="710"/>
      <c r="AK121" s="710"/>
      <c r="AL121" s="583"/>
      <c r="AM121" s="842">
        <v>0.48</v>
      </c>
      <c r="AN121" s="710"/>
      <c r="AO121" s="710"/>
      <c r="AP121" s="710"/>
      <c r="AQ121" s="583"/>
      <c r="AR121" s="842">
        <v>0.5</v>
      </c>
      <c r="AS121" s="710"/>
      <c r="AT121" s="710"/>
      <c r="AU121" s="710"/>
      <c r="AV121" s="583"/>
      <c r="AW121" s="842">
        <v>0.46</v>
      </c>
      <c r="AX121" s="710"/>
      <c r="AY121" s="710"/>
      <c r="AZ121" s="710"/>
      <c r="BA121" s="583"/>
      <c r="BB121" s="842">
        <v>0.44</v>
      </c>
      <c r="BC121" s="710"/>
      <c r="BD121" s="710"/>
      <c r="BE121" s="710"/>
      <c r="BF121" s="583"/>
      <c r="BG121" s="842">
        <v>0.4</v>
      </c>
      <c r="BH121" s="710"/>
      <c r="BI121" s="710"/>
      <c r="BJ121" s="710"/>
      <c r="BK121" s="583"/>
      <c r="BL121" s="113"/>
      <c r="BM121" s="113"/>
      <c r="BN121" s="113"/>
      <c r="BO121" s="113"/>
      <c r="BP121" s="113"/>
    </row>
    <row r="122" spans="1:68" ht="6" customHeight="1">
      <c r="A122" s="118"/>
      <c r="B122" s="118"/>
      <c r="C122" s="119"/>
      <c r="D122" s="118"/>
      <c r="E122" s="118"/>
      <c r="F122" s="119"/>
      <c r="G122" s="118"/>
      <c r="H122" s="118"/>
      <c r="I122" s="113"/>
      <c r="J122" s="118"/>
      <c r="K122" s="118"/>
      <c r="L122" s="118"/>
      <c r="M122" s="118"/>
      <c r="N122" s="119"/>
      <c r="O122" s="118"/>
      <c r="P122" s="118"/>
      <c r="Q122" s="118"/>
      <c r="R122" s="119"/>
      <c r="S122" s="113"/>
      <c r="T122" s="113"/>
      <c r="U122" s="113"/>
      <c r="V122" s="119"/>
      <c r="W122" s="119"/>
      <c r="X122" s="119"/>
      <c r="Y122" s="119"/>
      <c r="Z122" s="119"/>
      <c r="AA122" s="113"/>
      <c r="AB122" s="114"/>
      <c r="AC122" s="114"/>
      <c r="AD122" s="114"/>
      <c r="AE122" s="119"/>
      <c r="AF122" s="119"/>
      <c r="AG122" s="119"/>
      <c r="AH122" s="271"/>
      <c r="AI122" s="271"/>
      <c r="AJ122" s="271"/>
      <c r="AK122" s="271"/>
      <c r="AL122" s="271"/>
      <c r="AM122" s="271"/>
      <c r="AN122" s="271"/>
      <c r="AO122" s="271"/>
      <c r="AP122" s="271"/>
      <c r="AQ122" s="271"/>
      <c r="AR122" s="273"/>
      <c r="AS122" s="273"/>
      <c r="AT122" s="273"/>
      <c r="AU122" s="273"/>
      <c r="AV122" s="273"/>
      <c r="AW122" s="115"/>
      <c r="AX122" s="115"/>
      <c r="AY122" s="115"/>
      <c r="AZ122" s="115"/>
      <c r="BA122" s="112"/>
      <c r="BB122" s="112"/>
      <c r="BC122" s="112"/>
      <c r="BD122" s="112"/>
      <c r="BE122" s="112"/>
      <c r="BF122" s="113"/>
      <c r="BG122" s="113"/>
      <c r="BH122" s="113"/>
      <c r="BI122" s="113"/>
      <c r="BJ122" s="113"/>
      <c r="BK122" s="113"/>
      <c r="BL122" s="113"/>
      <c r="BM122" s="113"/>
      <c r="BN122" s="113"/>
      <c r="BO122" s="113"/>
      <c r="BP122" s="113"/>
    </row>
    <row r="123" spans="1:68" ht="12.7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714" t="s">
        <v>880</v>
      </c>
      <c r="M123" s="710"/>
      <c r="N123" s="710"/>
      <c r="O123" s="710"/>
      <c r="P123" s="710"/>
      <c r="Q123" s="710"/>
      <c r="R123" s="710"/>
      <c r="S123" s="710"/>
      <c r="T123" s="710"/>
      <c r="U123" s="710"/>
      <c r="V123" s="710"/>
      <c r="W123" s="710"/>
      <c r="X123" s="710"/>
      <c r="Y123" s="710"/>
      <c r="Z123" s="710"/>
      <c r="AA123" s="710"/>
      <c r="AB123" s="710"/>
      <c r="AC123" s="710"/>
      <c r="AD123" s="710"/>
      <c r="AE123" s="710"/>
      <c r="AF123" s="710"/>
      <c r="AG123" s="710"/>
      <c r="AH123" s="710"/>
      <c r="AI123" s="710"/>
      <c r="AJ123" s="710"/>
      <c r="AK123" s="710"/>
      <c r="AL123" s="710"/>
      <c r="AM123" s="710"/>
      <c r="AN123" s="710"/>
      <c r="AO123" s="710"/>
      <c r="AP123" s="710"/>
      <c r="AQ123" s="710"/>
      <c r="AR123" s="710"/>
      <c r="AS123" s="710"/>
      <c r="AT123" s="710"/>
      <c r="AU123" s="710"/>
      <c r="AV123" s="710"/>
      <c r="AW123" s="710"/>
      <c r="AX123" s="710"/>
      <c r="AY123" s="710"/>
      <c r="AZ123" s="710"/>
      <c r="BA123" s="710"/>
      <c r="BB123" s="710"/>
      <c r="BC123" s="583"/>
      <c r="BD123" s="274"/>
      <c r="BE123" s="113"/>
      <c r="BF123" s="113"/>
      <c r="BG123" s="113"/>
      <c r="BH123" s="113"/>
      <c r="BI123" s="113"/>
      <c r="BJ123" s="113"/>
      <c r="BK123" s="113"/>
      <c r="BL123" s="113"/>
      <c r="BM123" s="113"/>
      <c r="BN123" s="113"/>
      <c r="BO123" s="113"/>
      <c r="BP123" s="113"/>
    </row>
    <row r="124" spans="1:68" ht="12.75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714"/>
      <c r="M124" s="637"/>
      <c r="N124" s="637"/>
      <c r="O124" s="637"/>
      <c r="P124" s="637"/>
      <c r="Q124" s="637"/>
      <c r="R124" s="637"/>
      <c r="S124" s="690"/>
      <c r="T124" s="844" t="s">
        <v>881</v>
      </c>
      <c r="U124" s="710"/>
      <c r="V124" s="710"/>
      <c r="W124" s="710"/>
      <c r="X124" s="710"/>
      <c r="Y124" s="710"/>
      <c r="Z124" s="710"/>
      <c r="AA124" s="710"/>
      <c r="AB124" s="710"/>
      <c r="AC124" s="710"/>
      <c r="AD124" s="710"/>
      <c r="AE124" s="583"/>
      <c r="AF124" s="844" t="s">
        <v>649</v>
      </c>
      <c r="AG124" s="710"/>
      <c r="AH124" s="710"/>
      <c r="AI124" s="710"/>
      <c r="AJ124" s="710"/>
      <c r="AK124" s="710"/>
      <c r="AL124" s="710"/>
      <c r="AM124" s="710"/>
      <c r="AN124" s="710"/>
      <c r="AO124" s="710"/>
      <c r="AP124" s="710"/>
      <c r="AQ124" s="583"/>
      <c r="AR124" s="844" t="s">
        <v>882</v>
      </c>
      <c r="AS124" s="710"/>
      <c r="AT124" s="710"/>
      <c r="AU124" s="710"/>
      <c r="AV124" s="710"/>
      <c r="AW124" s="710"/>
      <c r="AX124" s="710"/>
      <c r="AY124" s="710"/>
      <c r="AZ124" s="710"/>
      <c r="BA124" s="710"/>
      <c r="BB124" s="710"/>
      <c r="BC124" s="583"/>
      <c r="BD124" s="113"/>
      <c r="BE124" s="113"/>
      <c r="BF124" s="113"/>
      <c r="BG124" s="113"/>
      <c r="BH124" s="113"/>
      <c r="BI124" s="113"/>
      <c r="BJ124" s="113"/>
      <c r="BK124" s="113"/>
      <c r="BL124" s="113"/>
      <c r="BM124" s="113"/>
      <c r="BN124" s="113"/>
      <c r="BO124" s="113"/>
      <c r="BP124" s="113"/>
    </row>
    <row r="125" spans="1:68" ht="12.7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726"/>
      <c r="M125" s="724"/>
      <c r="N125" s="724"/>
      <c r="O125" s="724"/>
      <c r="P125" s="724"/>
      <c r="Q125" s="724"/>
      <c r="R125" s="724"/>
      <c r="S125" s="727"/>
      <c r="T125" s="873" t="s">
        <v>883</v>
      </c>
      <c r="U125" s="710"/>
      <c r="V125" s="710"/>
      <c r="W125" s="710"/>
      <c r="X125" s="710"/>
      <c r="Y125" s="710"/>
      <c r="Z125" s="710"/>
      <c r="AA125" s="710"/>
      <c r="AB125" s="710"/>
      <c r="AC125" s="710"/>
      <c r="AD125" s="710"/>
      <c r="AE125" s="583"/>
      <c r="AF125" s="873" t="s">
        <v>884</v>
      </c>
      <c r="AG125" s="710"/>
      <c r="AH125" s="710"/>
      <c r="AI125" s="710"/>
      <c r="AJ125" s="710"/>
      <c r="AK125" s="710"/>
      <c r="AL125" s="710"/>
      <c r="AM125" s="710"/>
      <c r="AN125" s="710"/>
      <c r="AO125" s="710"/>
      <c r="AP125" s="710"/>
      <c r="AQ125" s="583"/>
      <c r="AR125" s="873" t="s">
        <v>885</v>
      </c>
      <c r="AS125" s="710"/>
      <c r="AT125" s="710"/>
      <c r="AU125" s="710"/>
      <c r="AV125" s="710"/>
      <c r="AW125" s="710"/>
      <c r="AX125" s="710"/>
      <c r="AY125" s="710"/>
      <c r="AZ125" s="710"/>
      <c r="BA125" s="710"/>
      <c r="BB125" s="710"/>
      <c r="BC125" s="583"/>
      <c r="BD125" s="113"/>
      <c r="BE125" s="113"/>
      <c r="BF125" s="113"/>
      <c r="BG125" s="113"/>
      <c r="BH125" s="113"/>
      <c r="BI125" s="113"/>
      <c r="BJ125" s="113"/>
      <c r="BK125" s="113"/>
      <c r="BL125" s="113"/>
      <c r="BM125" s="113"/>
      <c r="BN125" s="113"/>
      <c r="BO125" s="113"/>
      <c r="BP125" s="113"/>
    </row>
    <row r="126" spans="1:68" ht="12.75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844" t="s">
        <v>886</v>
      </c>
      <c r="M126" s="710"/>
      <c r="N126" s="710"/>
      <c r="O126" s="710"/>
      <c r="P126" s="710"/>
      <c r="Q126" s="710"/>
      <c r="R126" s="710"/>
      <c r="S126" s="583"/>
      <c r="T126" s="714">
        <v>0.8</v>
      </c>
      <c r="U126" s="710"/>
      <c r="V126" s="710"/>
      <c r="W126" s="710"/>
      <c r="X126" s="710"/>
      <c r="Y126" s="710"/>
      <c r="Z126" s="710"/>
      <c r="AA126" s="710"/>
      <c r="AB126" s="710"/>
      <c r="AC126" s="710"/>
      <c r="AD126" s="710"/>
      <c r="AE126" s="583"/>
      <c r="AF126" s="714">
        <v>0.8</v>
      </c>
      <c r="AG126" s="710"/>
      <c r="AH126" s="710"/>
      <c r="AI126" s="710"/>
      <c r="AJ126" s="710"/>
      <c r="AK126" s="710"/>
      <c r="AL126" s="710"/>
      <c r="AM126" s="710"/>
      <c r="AN126" s="710"/>
      <c r="AO126" s="710"/>
      <c r="AP126" s="710"/>
      <c r="AQ126" s="583"/>
      <c r="AR126" s="714">
        <v>0.3</v>
      </c>
      <c r="AS126" s="710"/>
      <c r="AT126" s="710"/>
      <c r="AU126" s="710"/>
      <c r="AV126" s="710"/>
      <c r="AW126" s="710"/>
      <c r="AX126" s="710"/>
      <c r="AY126" s="710"/>
      <c r="AZ126" s="710"/>
      <c r="BA126" s="710"/>
      <c r="BB126" s="710"/>
      <c r="BC126" s="583"/>
      <c r="BD126" s="113"/>
      <c r="BE126" s="113"/>
      <c r="BF126" s="113"/>
      <c r="BG126" s="113"/>
      <c r="BH126" s="113"/>
      <c r="BI126" s="113"/>
      <c r="BJ126" s="113"/>
      <c r="BK126" s="113"/>
      <c r="BL126" s="113"/>
      <c r="BM126" s="113"/>
      <c r="BN126" s="113"/>
      <c r="BO126" s="113"/>
      <c r="BP126" s="113"/>
    </row>
    <row r="127" spans="1:68" ht="12.7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844" t="s">
        <v>887</v>
      </c>
      <c r="M127" s="710"/>
      <c r="N127" s="710"/>
      <c r="O127" s="710"/>
      <c r="P127" s="710"/>
      <c r="Q127" s="710"/>
      <c r="R127" s="710"/>
      <c r="S127" s="583"/>
      <c r="T127" s="714">
        <v>0.8</v>
      </c>
      <c r="U127" s="710"/>
      <c r="V127" s="710"/>
      <c r="W127" s="710"/>
      <c r="X127" s="710"/>
      <c r="Y127" s="710"/>
      <c r="Z127" s="710"/>
      <c r="AA127" s="710"/>
      <c r="AB127" s="710"/>
      <c r="AC127" s="710"/>
      <c r="AD127" s="710"/>
      <c r="AE127" s="583"/>
      <c r="AF127" s="714">
        <v>0.5</v>
      </c>
      <c r="AG127" s="710"/>
      <c r="AH127" s="710"/>
      <c r="AI127" s="710"/>
      <c r="AJ127" s="710"/>
      <c r="AK127" s="710"/>
      <c r="AL127" s="710"/>
      <c r="AM127" s="710"/>
      <c r="AN127" s="710"/>
      <c r="AO127" s="710"/>
      <c r="AP127" s="710"/>
      <c r="AQ127" s="583"/>
      <c r="AR127" s="714">
        <v>0.3</v>
      </c>
      <c r="AS127" s="710"/>
      <c r="AT127" s="710"/>
      <c r="AU127" s="710"/>
      <c r="AV127" s="710"/>
      <c r="AW127" s="710"/>
      <c r="AX127" s="710"/>
      <c r="AY127" s="710"/>
      <c r="AZ127" s="710"/>
      <c r="BA127" s="710"/>
      <c r="BB127" s="710"/>
      <c r="BC127" s="583"/>
      <c r="BD127" s="113"/>
      <c r="BE127" s="113"/>
      <c r="BF127" s="113"/>
      <c r="BG127" s="113"/>
      <c r="BH127" s="113"/>
      <c r="BI127" s="113"/>
      <c r="BJ127" s="113"/>
      <c r="BK127" s="113"/>
      <c r="BL127" s="113"/>
      <c r="BM127" s="113"/>
      <c r="BN127" s="113"/>
      <c r="BO127" s="113"/>
      <c r="BP127" s="113"/>
    </row>
    <row r="128" spans="1:68" ht="12.7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844" t="s">
        <v>888</v>
      </c>
      <c r="M128" s="710"/>
      <c r="N128" s="710"/>
      <c r="O128" s="710"/>
      <c r="P128" s="710"/>
      <c r="Q128" s="710"/>
      <c r="R128" s="710"/>
      <c r="S128" s="583"/>
      <c r="T128" s="714">
        <v>0.8</v>
      </c>
      <c r="U128" s="710"/>
      <c r="V128" s="710"/>
      <c r="W128" s="710"/>
      <c r="X128" s="710"/>
      <c r="Y128" s="710"/>
      <c r="Z128" s="710"/>
      <c r="AA128" s="710"/>
      <c r="AB128" s="710"/>
      <c r="AC128" s="710"/>
      <c r="AD128" s="710"/>
      <c r="AE128" s="583"/>
      <c r="AF128" s="714">
        <v>0.3</v>
      </c>
      <c r="AG128" s="710"/>
      <c r="AH128" s="710"/>
      <c r="AI128" s="710"/>
      <c r="AJ128" s="710"/>
      <c r="AK128" s="710"/>
      <c r="AL128" s="710"/>
      <c r="AM128" s="710"/>
      <c r="AN128" s="710"/>
      <c r="AO128" s="710"/>
      <c r="AP128" s="710"/>
      <c r="AQ128" s="583"/>
      <c r="AR128" s="714">
        <v>0.3</v>
      </c>
      <c r="AS128" s="710"/>
      <c r="AT128" s="710"/>
      <c r="AU128" s="710"/>
      <c r="AV128" s="710"/>
      <c r="AW128" s="710"/>
      <c r="AX128" s="710"/>
      <c r="AY128" s="710"/>
      <c r="AZ128" s="710"/>
      <c r="BA128" s="710"/>
      <c r="BB128" s="710"/>
      <c r="BC128" s="583"/>
      <c r="BD128" s="113"/>
      <c r="BE128" s="113"/>
      <c r="BF128" s="113"/>
      <c r="BG128" s="113"/>
      <c r="BH128" s="113"/>
      <c r="BI128" s="113"/>
      <c r="BJ128" s="113"/>
      <c r="BK128" s="113"/>
      <c r="BL128" s="113"/>
      <c r="BM128" s="113"/>
      <c r="BN128" s="113"/>
      <c r="BO128" s="113"/>
      <c r="BP128" s="113"/>
    </row>
    <row r="129" spans="1:68" ht="12.7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844" t="s">
        <v>889</v>
      </c>
      <c r="M129" s="710"/>
      <c r="N129" s="710"/>
      <c r="O129" s="710"/>
      <c r="P129" s="710"/>
      <c r="Q129" s="710"/>
      <c r="R129" s="710"/>
      <c r="S129" s="583"/>
      <c r="T129" s="714">
        <v>0.8</v>
      </c>
      <c r="U129" s="710"/>
      <c r="V129" s="710"/>
      <c r="W129" s="710"/>
      <c r="X129" s="710"/>
      <c r="Y129" s="710"/>
      <c r="Z129" s="710"/>
      <c r="AA129" s="710"/>
      <c r="AB129" s="710"/>
      <c r="AC129" s="710"/>
      <c r="AD129" s="710"/>
      <c r="AE129" s="583"/>
      <c r="AF129" s="714">
        <v>0.8</v>
      </c>
      <c r="AG129" s="710"/>
      <c r="AH129" s="710"/>
      <c r="AI129" s="710"/>
      <c r="AJ129" s="710"/>
      <c r="AK129" s="710"/>
      <c r="AL129" s="710"/>
      <c r="AM129" s="710"/>
      <c r="AN129" s="710"/>
      <c r="AO129" s="710"/>
      <c r="AP129" s="710"/>
      <c r="AQ129" s="583"/>
      <c r="AR129" s="714">
        <v>0.8</v>
      </c>
      <c r="AS129" s="710"/>
      <c r="AT129" s="710"/>
      <c r="AU129" s="710"/>
      <c r="AV129" s="710"/>
      <c r="AW129" s="710"/>
      <c r="AX129" s="710"/>
      <c r="AY129" s="710"/>
      <c r="AZ129" s="710"/>
      <c r="BA129" s="710"/>
      <c r="BB129" s="710"/>
      <c r="BC129" s="583"/>
      <c r="BD129" s="113"/>
      <c r="BE129" s="113"/>
      <c r="BF129" s="113"/>
      <c r="BG129" s="113"/>
      <c r="BH129" s="113"/>
      <c r="BI129" s="113"/>
      <c r="BJ129" s="113"/>
      <c r="BK129" s="113"/>
      <c r="BL129" s="113"/>
      <c r="BM129" s="113"/>
      <c r="BN129" s="113"/>
      <c r="BO129" s="113"/>
      <c r="BP129" s="113"/>
    </row>
    <row r="130" spans="1:68" ht="6" customHeight="1">
      <c r="A130" s="118"/>
      <c r="B130" s="118"/>
      <c r="C130" s="119"/>
      <c r="D130" s="118"/>
      <c r="E130" s="118"/>
      <c r="F130" s="119"/>
      <c r="G130" s="118"/>
      <c r="H130" s="118"/>
      <c r="I130" s="113"/>
      <c r="J130" s="118"/>
      <c r="K130" s="118"/>
      <c r="L130" s="118"/>
      <c r="M130" s="118"/>
      <c r="N130" s="119"/>
      <c r="O130" s="118"/>
      <c r="P130" s="118"/>
      <c r="Q130" s="118"/>
      <c r="R130" s="119"/>
      <c r="S130" s="113"/>
      <c r="T130" s="113"/>
      <c r="U130" s="113"/>
      <c r="V130" s="119"/>
      <c r="W130" s="119"/>
      <c r="X130" s="119"/>
      <c r="Y130" s="119"/>
      <c r="Z130" s="119"/>
      <c r="AA130" s="113"/>
      <c r="AB130" s="114"/>
      <c r="AC130" s="114"/>
      <c r="AD130" s="114"/>
      <c r="AE130" s="119"/>
      <c r="AF130" s="119"/>
      <c r="AG130" s="119"/>
      <c r="AH130" s="271"/>
      <c r="AI130" s="271"/>
      <c r="AJ130" s="271"/>
      <c r="AK130" s="271"/>
      <c r="AL130" s="271"/>
      <c r="AM130" s="271"/>
      <c r="AN130" s="271"/>
      <c r="AO130" s="271"/>
      <c r="AP130" s="271"/>
      <c r="AQ130" s="271"/>
      <c r="AR130" s="273"/>
      <c r="AS130" s="273"/>
      <c r="AT130" s="273"/>
      <c r="AU130" s="273"/>
      <c r="AV130" s="273"/>
      <c r="AW130" s="115"/>
      <c r="AX130" s="115"/>
      <c r="AY130" s="115"/>
      <c r="AZ130" s="115"/>
      <c r="BA130" s="112"/>
      <c r="BB130" s="112"/>
      <c r="BC130" s="112"/>
      <c r="BD130" s="112"/>
      <c r="BE130" s="112"/>
      <c r="BF130" s="113"/>
      <c r="BG130" s="113"/>
      <c r="BH130" s="113"/>
      <c r="BI130" s="113"/>
      <c r="BJ130" s="113"/>
      <c r="BK130" s="113"/>
      <c r="BL130" s="113"/>
      <c r="BM130" s="113"/>
      <c r="BN130" s="113"/>
      <c r="BO130" s="113"/>
      <c r="BP130" s="113"/>
    </row>
    <row r="131" spans="1:68" ht="6" customHeight="1">
      <c r="A131" s="118"/>
      <c r="B131" s="118"/>
      <c r="C131" s="119"/>
      <c r="D131" s="118"/>
      <c r="E131" s="118"/>
      <c r="F131" s="119"/>
      <c r="G131" s="118"/>
      <c r="H131" s="118"/>
      <c r="I131" s="113"/>
      <c r="J131" s="118"/>
      <c r="K131" s="118"/>
      <c r="L131" s="118"/>
      <c r="M131" s="118"/>
      <c r="N131" s="119"/>
      <c r="O131" s="118"/>
      <c r="P131" s="118"/>
      <c r="Q131" s="118"/>
      <c r="R131" s="119"/>
      <c r="S131" s="113"/>
      <c r="T131" s="113"/>
      <c r="U131" s="113"/>
      <c r="V131" s="119"/>
      <c r="W131" s="119"/>
      <c r="X131" s="119"/>
      <c r="Y131" s="119"/>
      <c r="Z131" s="119"/>
      <c r="AA131" s="113"/>
      <c r="AB131" s="114"/>
      <c r="AC131" s="114"/>
      <c r="AD131" s="114"/>
      <c r="AE131" s="119"/>
      <c r="AF131" s="119"/>
      <c r="AG131" s="119"/>
      <c r="AH131" s="271"/>
      <c r="AI131" s="271"/>
      <c r="AJ131" s="271"/>
      <c r="AK131" s="271"/>
      <c r="AL131" s="271"/>
      <c r="AM131" s="271"/>
      <c r="AN131" s="271"/>
      <c r="AO131" s="271"/>
      <c r="AP131" s="271"/>
      <c r="AQ131" s="271"/>
      <c r="AR131" s="273"/>
      <c r="AS131" s="273"/>
      <c r="AT131" s="273"/>
      <c r="AU131" s="273"/>
      <c r="AV131" s="273"/>
      <c r="AW131" s="115"/>
      <c r="AX131" s="115"/>
      <c r="AY131" s="115"/>
      <c r="AZ131" s="115"/>
      <c r="BA131" s="112"/>
      <c r="BB131" s="112"/>
      <c r="BC131" s="112"/>
      <c r="BD131" s="112"/>
      <c r="BE131" s="112"/>
      <c r="BF131" s="113"/>
      <c r="BG131" s="113"/>
      <c r="BH131" s="113"/>
      <c r="BI131" s="113"/>
      <c r="BJ131" s="113"/>
      <c r="BK131" s="113"/>
      <c r="BL131" s="113"/>
      <c r="BM131" s="113"/>
      <c r="BN131" s="113"/>
      <c r="BO131" s="113"/>
      <c r="BP131" s="113"/>
    </row>
    <row r="132" spans="1:68" ht="14.25" customHeight="1">
      <c r="A132" s="261" t="s">
        <v>890</v>
      </c>
      <c r="B132" s="120"/>
      <c r="C132" s="120"/>
      <c r="D132" s="112"/>
      <c r="E132" s="112"/>
      <c r="F132" s="112"/>
      <c r="G132" s="112"/>
      <c r="H132" s="120"/>
      <c r="I132" s="112"/>
      <c r="J132" s="112"/>
      <c r="K132" s="112"/>
      <c r="L132" s="112"/>
      <c r="M132" s="112"/>
      <c r="N132" s="112"/>
      <c r="O132" s="120"/>
      <c r="P132" s="120"/>
      <c r="Q132" s="120"/>
      <c r="R132" s="120"/>
      <c r="S132" s="112"/>
      <c r="T132" s="112"/>
      <c r="U132" s="112"/>
      <c r="V132" s="112"/>
      <c r="W132" s="112"/>
      <c r="X132" s="112"/>
      <c r="Y132" s="112"/>
      <c r="Z132" s="112"/>
      <c r="AA132" s="120"/>
      <c r="AB132" s="120"/>
      <c r="AC132" s="112"/>
      <c r="AD132" s="112"/>
      <c r="AE132" s="112"/>
      <c r="AF132" s="112"/>
      <c r="AG132" s="112"/>
      <c r="AH132" s="112"/>
      <c r="AI132" s="112"/>
      <c r="AJ132" s="112"/>
      <c r="AK132" s="120"/>
      <c r="AL132" s="120"/>
      <c r="AM132" s="120"/>
      <c r="AN132" s="120"/>
      <c r="AO132" s="120"/>
      <c r="AP132" s="120"/>
      <c r="AQ132" s="112"/>
      <c r="AR132" s="260"/>
      <c r="AS132" s="260"/>
      <c r="AT132" s="260"/>
      <c r="AU132" s="260"/>
      <c r="AV132" s="260"/>
      <c r="AW132" s="260"/>
      <c r="AX132" s="260"/>
      <c r="AY132" s="260"/>
      <c r="AZ132" s="260"/>
      <c r="BA132" s="260"/>
      <c r="BB132" s="112"/>
      <c r="BC132" s="112"/>
      <c r="BD132" s="112"/>
      <c r="BE132" s="112"/>
      <c r="BF132" s="113"/>
      <c r="BG132" s="113"/>
      <c r="BH132" s="113"/>
      <c r="BI132" s="113"/>
      <c r="BJ132" s="113"/>
      <c r="BK132" s="113"/>
      <c r="BL132" s="113"/>
      <c r="BM132" s="113"/>
      <c r="BN132" s="113"/>
      <c r="BO132" s="113"/>
      <c r="BP132" s="113"/>
    </row>
    <row r="133" spans="1:68" ht="6" customHeight="1">
      <c r="A133" s="118"/>
      <c r="B133" s="118"/>
      <c r="C133" s="119"/>
      <c r="D133" s="118"/>
      <c r="E133" s="118"/>
      <c r="F133" s="119"/>
      <c r="G133" s="118"/>
      <c r="H133" s="118"/>
      <c r="I133" s="113"/>
      <c r="J133" s="118"/>
      <c r="K133" s="118"/>
      <c r="L133" s="118"/>
      <c r="M133" s="118"/>
      <c r="N133" s="119"/>
      <c r="O133" s="118"/>
      <c r="P133" s="118"/>
      <c r="Q133" s="118"/>
      <c r="R133" s="119"/>
      <c r="S133" s="113"/>
      <c r="T133" s="113"/>
      <c r="U133" s="113"/>
      <c r="V133" s="119"/>
      <c r="W133" s="119"/>
      <c r="X133" s="119"/>
      <c r="Y133" s="119"/>
      <c r="Z133" s="119"/>
      <c r="AA133" s="113"/>
      <c r="AB133" s="114"/>
      <c r="AC133" s="114"/>
      <c r="AD133" s="114"/>
      <c r="AE133" s="119"/>
      <c r="AF133" s="119"/>
      <c r="AG133" s="119"/>
      <c r="AH133" s="271"/>
      <c r="AI133" s="271"/>
      <c r="AJ133" s="271"/>
      <c r="AK133" s="271"/>
      <c r="AL133" s="271"/>
      <c r="AM133" s="271"/>
      <c r="AN133" s="271"/>
      <c r="AO133" s="271"/>
      <c r="AP133" s="271"/>
      <c r="AQ133" s="271"/>
      <c r="AR133" s="273"/>
      <c r="AS133" s="273"/>
      <c r="AT133" s="273"/>
      <c r="AU133" s="273"/>
      <c r="AV133" s="273"/>
      <c r="AW133" s="115"/>
      <c r="AX133" s="115"/>
      <c r="AY133" s="115"/>
      <c r="AZ133" s="115"/>
      <c r="BA133" s="112"/>
      <c r="BB133" s="112"/>
      <c r="BC133" s="112"/>
      <c r="BD133" s="112"/>
      <c r="BE133" s="112"/>
      <c r="BF133" s="113"/>
      <c r="BG133" s="113"/>
      <c r="BH133" s="113"/>
      <c r="BI133" s="113"/>
      <c r="BJ133" s="113"/>
      <c r="BK133" s="113"/>
      <c r="BL133" s="113"/>
      <c r="BM133" s="113"/>
      <c r="BN133" s="113"/>
      <c r="BO133" s="113"/>
      <c r="BP133" s="113"/>
    </row>
    <row r="134" spans="1:68" ht="13.5" customHeight="1">
      <c r="A134" s="708" t="s">
        <v>325</v>
      </c>
      <c r="B134" s="707"/>
      <c r="C134" s="256" t="s">
        <v>308</v>
      </c>
      <c r="D134" s="112" t="s">
        <v>891</v>
      </c>
      <c r="E134" s="112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857">
        <f>AG157</f>
        <v>1.0774341937132634</v>
      </c>
      <c r="AH134" s="710"/>
      <c r="AI134" s="710"/>
      <c r="AJ134" s="710"/>
      <c r="AK134" s="583"/>
      <c r="AL134" s="120"/>
      <c r="AM134" s="120"/>
      <c r="AN134" s="120"/>
      <c r="AO134" s="120"/>
      <c r="AP134" s="120"/>
      <c r="AQ134" s="112"/>
      <c r="AR134" s="257"/>
      <c r="AS134" s="257"/>
      <c r="AT134" s="257"/>
      <c r="AU134" s="257"/>
      <c r="AV134" s="257"/>
      <c r="AW134" s="257"/>
      <c r="AX134" s="257"/>
      <c r="AY134" s="257"/>
      <c r="AZ134" s="257"/>
      <c r="BA134" s="257"/>
      <c r="BB134" s="112"/>
      <c r="BC134" s="112"/>
      <c r="BD134" s="112"/>
      <c r="BE134" s="112"/>
      <c r="BF134" s="113"/>
      <c r="BG134" s="113"/>
      <c r="BH134" s="113"/>
      <c r="BI134" s="113"/>
      <c r="BJ134" s="113"/>
      <c r="BK134" s="113"/>
      <c r="BL134" s="113"/>
      <c r="BM134" s="113"/>
      <c r="BN134" s="113"/>
      <c r="BO134" s="113"/>
      <c r="BP134" s="113"/>
    </row>
    <row r="135" spans="1:68" ht="13.5" customHeight="1">
      <c r="A135" s="708" t="s">
        <v>892</v>
      </c>
      <c r="B135" s="707"/>
      <c r="C135" s="256" t="s">
        <v>308</v>
      </c>
      <c r="D135" s="112" t="s">
        <v>893</v>
      </c>
      <c r="E135" s="112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857">
        <f>'Veri Girişi'!F110/1000</f>
        <v>2.4</v>
      </c>
      <c r="AH135" s="710"/>
      <c r="AI135" s="710"/>
      <c r="AJ135" s="710"/>
      <c r="AK135" s="583"/>
      <c r="AL135" s="859" t="s">
        <v>365</v>
      </c>
      <c r="AM135" s="707"/>
      <c r="AN135" s="707"/>
      <c r="AO135" s="120"/>
      <c r="AP135" s="120"/>
      <c r="AQ135" s="112"/>
      <c r="AR135" s="257"/>
      <c r="AS135" s="257"/>
      <c r="AT135" s="257"/>
      <c r="AU135" s="257"/>
      <c r="AV135" s="257"/>
      <c r="AW135" s="257"/>
      <c r="AX135" s="257"/>
      <c r="AY135" s="257"/>
      <c r="AZ135" s="257"/>
      <c r="BA135" s="257"/>
      <c r="BB135" s="112"/>
      <c r="BC135" s="112"/>
      <c r="BD135" s="112"/>
      <c r="BE135" s="112"/>
      <c r="BF135" s="113"/>
      <c r="BG135" s="113"/>
      <c r="BH135" s="113"/>
      <c r="BI135" s="113"/>
      <c r="BJ135" s="113"/>
      <c r="BK135" s="113"/>
      <c r="BL135" s="113"/>
      <c r="BM135" s="113"/>
      <c r="BN135" s="113"/>
      <c r="BO135" s="113"/>
      <c r="BP135" s="113"/>
    </row>
    <row r="136" spans="1:68" ht="13.5" customHeight="1">
      <c r="A136" s="708" t="s">
        <v>894</v>
      </c>
      <c r="B136" s="707"/>
      <c r="C136" s="256" t="s">
        <v>308</v>
      </c>
      <c r="D136" s="112" t="s">
        <v>895</v>
      </c>
      <c r="E136" s="112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857">
        <f>'Veri Girişi'!F111/1000</f>
        <v>1.6</v>
      </c>
      <c r="AH136" s="710"/>
      <c r="AI136" s="710"/>
      <c r="AJ136" s="710"/>
      <c r="AK136" s="583"/>
      <c r="AL136" s="859" t="s">
        <v>365</v>
      </c>
      <c r="AM136" s="707"/>
      <c r="AN136" s="707"/>
      <c r="AO136" s="120"/>
      <c r="AP136" s="120"/>
      <c r="AQ136" s="112"/>
      <c r="AR136" s="257"/>
      <c r="AS136" s="257"/>
      <c r="AT136" s="257"/>
      <c r="AU136" s="257"/>
      <c r="AV136" s="257"/>
      <c r="AW136" s="257"/>
      <c r="AX136" s="257"/>
      <c r="AY136" s="257"/>
      <c r="AZ136" s="257"/>
      <c r="BA136" s="257"/>
      <c r="BB136" s="112"/>
      <c r="BC136" s="112"/>
      <c r="BD136" s="112"/>
      <c r="BE136" s="112"/>
      <c r="BF136" s="113"/>
      <c r="BG136" s="113"/>
      <c r="BH136" s="113"/>
      <c r="BI136" s="113"/>
      <c r="BJ136" s="113"/>
      <c r="BK136" s="113"/>
      <c r="BL136" s="113"/>
      <c r="BM136" s="113"/>
      <c r="BN136" s="113"/>
      <c r="BO136" s="113"/>
      <c r="BP136" s="113"/>
    </row>
    <row r="137" spans="1:68" ht="13.5" customHeight="1">
      <c r="A137" s="708" t="s">
        <v>896</v>
      </c>
      <c r="B137" s="707"/>
      <c r="C137" s="256" t="s">
        <v>308</v>
      </c>
      <c r="D137" s="112" t="s">
        <v>897</v>
      </c>
      <c r="E137" s="112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857">
        <f>(AG135-AG139)</f>
        <v>1.4</v>
      </c>
      <c r="AH137" s="710"/>
      <c r="AI137" s="710"/>
      <c r="AJ137" s="710"/>
      <c r="AK137" s="583"/>
      <c r="AL137" s="859" t="s">
        <v>365</v>
      </c>
      <c r="AM137" s="707"/>
      <c r="AN137" s="707"/>
      <c r="AO137" s="120"/>
      <c r="AP137" s="120"/>
      <c r="AQ137" s="112"/>
      <c r="AR137" s="257"/>
      <c r="AS137" s="257"/>
      <c r="AT137" s="257"/>
      <c r="AU137" s="257"/>
      <c r="AV137" s="257"/>
      <c r="AW137" s="257"/>
      <c r="AX137" s="257"/>
      <c r="AY137" s="257"/>
      <c r="AZ137" s="257"/>
      <c r="BA137" s="257"/>
      <c r="BB137" s="112"/>
      <c r="BC137" s="112"/>
      <c r="BD137" s="112"/>
      <c r="BE137" s="112"/>
      <c r="BF137" s="113"/>
      <c r="BG137" s="113"/>
      <c r="BH137" s="113"/>
      <c r="BI137" s="113"/>
      <c r="BJ137" s="113"/>
      <c r="BK137" s="113"/>
      <c r="BL137" s="113"/>
      <c r="BM137" s="113"/>
      <c r="BN137" s="113"/>
      <c r="BO137" s="113"/>
      <c r="BP137" s="113"/>
    </row>
    <row r="138" spans="1:68" ht="13.5" customHeight="1">
      <c r="A138" s="708" t="s">
        <v>281</v>
      </c>
      <c r="B138" s="707"/>
      <c r="C138" s="256" t="s">
        <v>308</v>
      </c>
      <c r="D138" s="112" t="s">
        <v>898</v>
      </c>
      <c r="E138" s="112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857">
        <f>'Veri Girişi'!C63+(('Veri Girişi'!B132+'Veri Girişi'!F114)/1000)</f>
        <v>26.35</v>
      </c>
      <c r="AH138" s="710"/>
      <c r="AI138" s="710"/>
      <c r="AJ138" s="710"/>
      <c r="AK138" s="583"/>
      <c r="AL138" s="859" t="s">
        <v>365</v>
      </c>
      <c r="AM138" s="707"/>
      <c r="AN138" s="707"/>
      <c r="AO138" s="120"/>
      <c r="AP138" s="120"/>
      <c r="AQ138" s="112"/>
      <c r="AR138" s="257"/>
      <c r="AS138" s="257"/>
      <c r="AT138" s="257"/>
      <c r="AU138" s="257"/>
      <c r="AV138" s="257"/>
      <c r="AW138" s="257"/>
      <c r="AX138" s="257"/>
      <c r="AY138" s="257"/>
      <c r="AZ138" s="257"/>
      <c r="BA138" s="257"/>
      <c r="BB138" s="112"/>
      <c r="BC138" s="112"/>
      <c r="BD138" s="112"/>
      <c r="BE138" s="112"/>
      <c r="BF138" s="113"/>
      <c r="BG138" s="113"/>
      <c r="BH138" s="113"/>
      <c r="BI138" s="113"/>
      <c r="BJ138" s="113"/>
      <c r="BK138" s="113"/>
      <c r="BL138" s="113"/>
      <c r="BM138" s="113"/>
      <c r="BN138" s="113"/>
      <c r="BO138" s="113"/>
      <c r="BP138" s="113"/>
    </row>
    <row r="139" spans="1:68" ht="13.5" customHeight="1">
      <c r="A139" s="708" t="s">
        <v>899</v>
      </c>
      <c r="B139" s="707"/>
      <c r="C139" s="256" t="s">
        <v>308</v>
      </c>
      <c r="D139" s="112" t="s">
        <v>900</v>
      </c>
      <c r="E139" s="112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857">
        <v>1</v>
      </c>
      <c r="AH139" s="710"/>
      <c r="AI139" s="710"/>
      <c r="AJ139" s="710"/>
      <c r="AK139" s="583"/>
      <c r="AL139" s="859" t="s">
        <v>365</v>
      </c>
      <c r="AM139" s="707"/>
      <c r="AN139" s="707"/>
      <c r="AO139" s="120"/>
      <c r="AP139" s="120"/>
      <c r="AQ139" s="112"/>
      <c r="AR139" s="257"/>
      <c r="AS139" s="257"/>
      <c r="AT139" s="257"/>
      <c r="AU139" s="257"/>
      <c r="AV139" s="257"/>
      <c r="AW139" s="257"/>
      <c r="AX139" s="257"/>
      <c r="AY139" s="257"/>
      <c r="AZ139" s="257"/>
      <c r="BA139" s="257"/>
      <c r="BB139" s="112"/>
      <c r="BC139" s="112"/>
      <c r="BD139" s="112"/>
      <c r="BE139" s="112"/>
      <c r="BF139" s="113"/>
      <c r="BG139" s="113"/>
      <c r="BH139" s="113"/>
      <c r="BI139" s="113"/>
      <c r="BJ139" s="113"/>
      <c r="BK139" s="113"/>
      <c r="BL139" s="113"/>
      <c r="BM139" s="113"/>
      <c r="BN139" s="113"/>
      <c r="BO139" s="113"/>
      <c r="BP139" s="113"/>
    </row>
    <row r="140" spans="1:68" ht="13.5" customHeight="1">
      <c r="A140" s="708" t="s">
        <v>629</v>
      </c>
      <c r="B140" s="707"/>
      <c r="C140" s="256" t="s">
        <v>308</v>
      </c>
      <c r="D140" s="112" t="s">
        <v>901</v>
      </c>
      <c r="E140" s="112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858">
        <v>50</v>
      </c>
      <c r="AH140" s="710"/>
      <c r="AI140" s="710"/>
      <c r="AJ140" s="710"/>
      <c r="AK140" s="583"/>
      <c r="AL140" s="859" t="s">
        <v>902</v>
      </c>
      <c r="AM140" s="707"/>
      <c r="AN140" s="707"/>
      <c r="AO140" s="120"/>
      <c r="AP140" s="120"/>
      <c r="AQ140" s="112"/>
      <c r="AR140" s="257"/>
      <c r="AS140" s="257"/>
      <c r="AT140" s="257"/>
      <c r="AU140" s="257"/>
      <c r="AV140" s="257"/>
      <c r="AW140" s="257"/>
      <c r="AX140" s="257"/>
      <c r="AY140" s="257"/>
      <c r="AZ140" s="257"/>
      <c r="BA140" s="257"/>
      <c r="BB140" s="112"/>
      <c r="BC140" s="112"/>
      <c r="BD140" s="112"/>
      <c r="BE140" s="112"/>
      <c r="BF140" s="113"/>
      <c r="BG140" s="113"/>
      <c r="BH140" s="113"/>
      <c r="BI140" s="113"/>
      <c r="BJ140" s="113"/>
      <c r="BK140" s="113"/>
      <c r="BL140" s="113"/>
      <c r="BM140" s="113"/>
      <c r="BN140" s="113"/>
      <c r="BO140" s="113"/>
      <c r="BP140" s="113"/>
    </row>
    <row r="141" spans="1:68" ht="13.5" customHeight="1">
      <c r="A141" s="708" t="s">
        <v>903</v>
      </c>
      <c r="B141" s="707"/>
      <c r="C141" s="256" t="s">
        <v>308</v>
      </c>
      <c r="D141" s="112" t="s">
        <v>904</v>
      </c>
      <c r="E141" s="112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857">
        <f>Z153</f>
        <v>42.160000000000004</v>
      </c>
      <c r="AH141" s="710"/>
      <c r="AI141" s="710"/>
      <c r="AJ141" s="710"/>
      <c r="AK141" s="583"/>
      <c r="AL141" s="859" t="s">
        <v>444</v>
      </c>
      <c r="AM141" s="707"/>
      <c r="AN141" s="707"/>
      <c r="AO141" s="120"/>
      <c r="AP141" s="120"/>
      <c r="AQ141" s="112"/>
      <c r="AR141" s="257"/>
      <c r="AS141" s="257"/>
      <c r="AT141" s="257"/>
      <c r="AU141" s="257"/>
      <c r="AV141" s="257"/>
      <c r="AW141" s="257"/>
      <c r="AX141" s="257"/>
      <c r="AY141" s="257"/>
      <c r="AZ141" s="257"/>
      <c r="BA141" s="257"/>
      <c r="BB141" s="112"/>
      <c r="BC141" s="112"/>
      <c r="BD141" s="112"/>
      <c r="BE141" s="112"/>
      <c r="BF141" s="113"/>
      <c r="BG141" s="113"/>
      <c r="BH141" s="113"/>
      <c r="BI141" s="113"/>
      <c r="BJ141" s="113"/>
      <c r="BK141" s="113"/>
      <c r="BL141" s="113"/>
      <c r="BM141" s="113"/>
      <c r="BN141" s="113"/>
      <c r="BO141" s="113"/>
      <c r="BP141" s="113"/>
    </row>
    <row r="142" spans="1:68" ht="13.5" customHeight="1">
      <c r="A142" s="708" t="s">
        <v>905</v>
      </c>
      <c r="B142" s="707"/>
      <c r="C142" s="256" t="s">
        <v>308</v>
      </c>
      <c r="D142" s="112" t="s">
        <v>906</v>
      </c>
      <c r="E142" s="112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857">
        <v>1.25</v>
      </c>
      <c r="AH142" s="710"/>
      <c r="AI142" s="710"/>
      <c r="AJ142" s="710"/>
      <c r="AK142" s="583"/>
      <c r="AL142" s="859"/>
      <c r="AM142" s="707"/>
      <c r="AN142" s="707"/>
      <c r="AO142" s="120"/>
      <c r="AP142" s="120"/>
      <c r="AQ142" s="112"/>
      <c r="AR142" s="877"/>
      <c r="AS142" s="707"/>
      <c r="AT142" s="707"/>
      <c r="AU142" s="257"/>
      <c r="AV142" s="257"/>
      <c r="AW142" s="257"/>
      <c r="AX142" s="257"/>
      <c r="AY142" s="257"/>
      <c r="AZ142" s="257"/>
      <c r="BA142" s="257"/>
      <c r="BB142" s="112"/>
      <c r="BC142" s="112"/>
      <c r="BD142" s="112"/>
      <c r="BE142" s="112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/>
      <c r="BP142" s="113"/>
    </row>
    <row r="143" spans="1:68" ht="13.5" customHeight="1">
      <c r="A143" s="708" t="s">
        <v>274</v>
      </c>
      <c r="B143" s="707"/>
      <c r="C143" s="256" t="s">
        <v>308</v>
      </c>
      <c r="D143" s="112" t="s">
        <v>907</v>
      </c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  <c r="AB143" s="275"/>
      <c r="AC143" s="275"/>
      <c r="AD143" s="275"/>
      <c r="AE143" s="275"/>
      <c r="AF143" s="276"/>
      <c r="AG143" s="891">
        <f>VLOOKUP(AG157,D111:R121,11,1)</f>
        <v>0.36</v>
      </c>
      <c r="AH143" s="637"/>
      <c r="AI143" s="637"/>
      <c r="AJ143" s="637"/>
      <c r="AK143" s="690"/>
      <c r="AL143" s="859"/>
      <c r="AM143" s="707"/>
      <c r="AN143" s="707"/>
      <c r="AO143" s="120"/>
      <c r="AP143" s="120"/>
      <c r="AQ143" s="112"/>
      <c r="AR143" s="257"/>
      <c r="AS143" s="257"/>
      <c r="AT143" s="257"/>
      <c r="AU143" s="257"/>
      <c r="AV143" s="257"/>
      <c r="AW143" s="257"/>
      <c r="AX143" s="257"/>
      <c r="AY143" s="257"/>
      <c r="AZ143" s="257"/>
      <c r="BA143" s="257"/>
      <c r="BB143" s="112"/>
      <c r="BC143" s="112"/>
      <c r="BD143" s="112"/>
      <c r="BE143" s="112"/>
      <c r="BF143" s="113"/>
      <c r="BG143" s="113"/>
      <c r="BH143" s="113"/>
      <c r="BI143" s="113"/>
      <c r="BJ143" s="113"/>
      <c r="BK143" s="113"/>
      <c r="BL143" s="113"/>
      <c r="BM143" s="113"/>
      <c r="BN143" s="113"/>
      <c r="BO143" s="113"/>
      <c r="BP143" s="113"/>
    </row>
    <row r="144" spans="1:68" ht="13.5" customHeight="1">
      <c r="A144" s="708" t="s">
        <v>374</v>
      </c>
      <c r="B144" s="707"/>
      <c r="C144" s="256" t="s">
        <v>308</v>
      </c>
      <c r="D144" s="112" t="s">
        <v>908</v>
      </c>
      <c r="E144" s="112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858">
        <f>ROUNDUP(T167,0)</f>
        <v>7</v>
      </c>
      <c r="AH144" s="710"/>
      <c r="AI144" s="710"/>
      <c r="AJ144" s="710"/>
      <c r="AK144" s="583"/>
      <c r="AL144" s="859" t="s">
        <v>324</v>
      </c>
      <c r="AM144" s="707"/>
      <c r="AN144" s="707"/>
      <c r="AO144" s="120"/>
      <c r="AP144" s="120"/>
      <c r="AQ144" s="112"/>
      <c r="AR144" s="257"/>
      <c r="AS144" s="257"/>
      <c r="AT144" s="257"/>
      <c r="AU144" s="257"/>
      <c r="AV144" s="257"/>
      <c r="AW144" s="115"/>
      <c r="AX144" s="115"/>
      <c r="AY144" s="257"/>
      <c r="AZ144" s="257"/>
      <c r="BA144" s="257"/>
      <c r="BB144" s="112"/>
      <c r="BC144" s="112"/>
      <c r="BD144" s="112"/>
      <c r="BE144" s="112"/>
      <c r="BF144" s="113"/>
      <c r="BG144" s="113"/>
      <c r="BH144" s="113"/>
      <c r="BI144" s="113"/>
      <c r="BJ144" s="113"/>
      <c r="BK144" s="113"/>
      <c r="BL144" s="113"/>
      <c r="BM144" s="113"/>
      <c r="BN144" s="113"/>
      <c r="BO144" s="113"/>
      <c r="BP144" s="113"/>
    </row>
    <row r="145" spans="1:68" ht="13.5" customHeight="1">
      <c r="A145" s="708" t="s">
        <v>909</v>
      </c>
      <c r="B145" s="707"/>
      <c r="C145" s="256" t="s">
        <v>308</v>
      </c>
      <c r="D145" s="112" t="s">
        <v>910</v>
      </c>
      <c r="E145" s="112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858">
        <f>AG162</f>
        <v>7319.4444444444462</v>
      </c>
      <c r="AH145" s="710"/>
      <c r="AI145" s="710"/>
      <c r="AJ145" s="710"/>
      <c r="AK145" s="583"/>
      <c r="AL145" s="859" t="s">
        <v>911</v>
      </c>
      <c r="AM145" s="707"/>
      <c r="AN145" s="707"/>
      <c r="AO145" s="120"/>
      <c r="AP145" s="120"/>
      <c r="AQ145" s="112"/>
      <c r="AR145" s="257"/>
      <c r="AS145" s="257"/>
      <c r="AT145" s="257"/>
      <c r="AU145" s="257"/>
      <c r="AV145" s="257"/>
      <c r="AW145" s="257"/>
      <c r="AX145" s="257"/>
      <c r="AY145" s="257"/>
      <c r="AZ145" s="257"/>
      <c r="BA145" s="257"/>
      <c r="BB145" s="112"/>
      <c r="BC145" s="112"/>
      <c r="BD145" s="112"/>
      <c r="BE145" s="112"/>
      <c r="BF145" s="113"/>
      <c r="BG145" s="113"/>
      <c r="BH145" s="113"/>
      <c r="BI145" s="113"/>
      <c r="BJ145" s="113"/>
      <c r="BK145" s="113"/>
      <c r="BL145" s="113"/>
      <c r="BM145" s="113"/>
      <c r="BN145" s="113"/>
      <c r="BO145" s="113"/>
      <c r="BP145" s="113"/>
    </row>
    <row r="146" spans="1:68" ht="13.5" customHeight="1">
      <c r="A146" s="708" t="s">
        <v>912</v>
      </c>
      <c r="B146" s="707"/>
      <c r="C146" s="256" t="s">
        <v>308</v>
      </c>
      <c r="D146" s="112" t="s">
        <v>913</v>
      </c>
      <c r="E146" s="112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858">
        <v>1200</v>
      </c>
      <c r="AH146" s="710"/>
      <c r="AI146" s="710"/>
      <c r="AJ146" s="710"/>
      <c r="AK146" s="583"/>
      <c r="AL146" s="859" t="s">
        <v>911</v>
      </c>
      <c r="AM146" s="707"/>
      <c r="AN146" s="707"/>
      <c r="AO146" s="120"/>
      <c r="AP146" s="120"/>
      <c r="AQ146" s="112"/>
      <c r="AR146" s="257"/>
      <c r="AS146" s="257"/>
      <c r="AT146" s="257"/>
      <c r="AU146" s="257"/>
      <c r="AV146" s="257"/>
      <c r="AW146" s="257"/>
      <c r="AX146" s="257"/>
      <c r="AY146" s="257"/>
      <c r="AZ146" s="257"/>
      <c r="BA146" s="257"/>
      <c r="BB146" s="112"/>
      <c r="BC146" s="112"/>
      <c r="BD146" s="112"/>
      <c r="BE146" s="112"/>
      <c r="BF146" s="113"/>
      <c r="BG146" s="113"/>
      <c r="BH146" s="113"/>
      <c r="BI146" s="113"/>
      <c r="BJ146" s="113"/>
      <c r="BK146" s="113"/>
      <c r="BL146" s="113"/>
      <c r="BM146" s="113"/>
      <c r="BN146" s="113"/>
      <c r="BO146" s="113"/>
      <c r="BP146" s="113"/>
    </row>
    <row r="147" spans="1:68" ht="13.5" customHeight="1">
      <c r="A147" s="708" t="s">
        <v>881</v>
      </c>
      <c r="B147" s="707"/>
      <c r="C147" s="256" t="s">
        <v>308</v>
      </c>
      <c r="D147" s="112" t="s">
        <v>914</v>
      </c>
      <c r="E147" s="112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857">
        <v>0.8</v>
      </c>
      <c r="AH147" s="710"/>
      <c r="AI147" s="710"/>
      <c r="AJ147" s="710"/>
      <c r="AK147" s="583"/>
      <c r="AL147" s="859"/>
      <c r="AM147" s="707"/>
      <c r="AN147" s="707"/>
      <c r="AO147" s="120"/>
      <c r="AP147" s="120"/>
      <c r="AQ147" s="112"/>
      <c r="AR147" s="257"/>
      <c r="AS147" s="257"/>
      <c r="AT147" s="257"/>
      <c r="AU147" s="257"/>
      <c r="AV147" s="257"/>
      <c r="AW147" s="257"/>
      <c r="AX147" s="257"/>
      <c r="AY147" s="257"/>
      <c r="AZ147" s="257"/>
      <c r="BA147" s="257"/>
      <c r="BB147" s="112"/>
      <c r="BC147" s="112"/>
      <c r="BD147" s="112"/>
      <c r="BE147" s="112"/>
      <c r="BF147" s="113"/>
      <c r="BG147" s="113"/>
      <c r="BH147" s="113"/>
      <c r="BI147" s="113"/>
      <c r="BJ147" s="113"/>
      <c r="BK147" s="113"/>
      <c r="BL147" s="113"/>
      <c r="BM147" s="113"/>
      <c r="BN147" s="113"/>
      <c r="BO147" s="113"/>
      <c r="BP147" s="113"/>
    </row>
    <row r="148" spans="1:68" ht="13.5" customHeight="1">
      <c r="A148" s="708" t="s">
        <v>649</v>
      </c>
      <c r="B148" s="707"/>
      <c r="C148" s="256" t="s">
        <v>308</v>
      </c>
      <c r="D148" s="112" t="s">
        <v>915</v>
      </c>
      <c r="E148" s="112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857">
        <v>0.5</v>
      </c>
      <c r="AH148" s="710"/>
      <c r="AI148" s="710"/>
      <c r="AJ148" s="710"/>
      <c r="AK148" s="583"/>
      <c r="AL148" s="859"/>
      <c r="AM148" s="707"/>
      <c r="AN148" s="707"/>
      <c r="AO148" s="120"/>
      <c r="AP148" s="120"/>
      <c r="AQ148" s="112"/>
      <c r="AR148" s="257"/>
      <c r="AS148" s="257"/>
      <c r="AT148" s="257"/>
      <c r="AU148" s="257"/>
      <c r="AV148" s="257"/>
      <c r="AW148" s="257"/>
      <c r="AX148" s="257"/>
      <c r="AY148" s="257"/>
      <c r="AZ148" s="257"/>
      <c r="BA148" s="257"/>
      <c r="BB148" s="112"/>
      <c r="BC148" s="112"/>
      <c r="BD148" s="112"/>
      <c r="BE148" s="112"/>
      <c r="BF148" s="113"/>
      <c r="BG148" s="113"/>
      <c r="BH148" s="113"/>
      <c r="BI148" s="113"/>
      <c r="BJ148" s="113"/>
      <c r="BK148" s="113"/>
      <c r="BL148" s="113"/>
      <c r="BM148" s="113"/>
      <c r="BN148" s="113"/>
      <c r="BO148" s="113"/>
      <c r="BP148" s="113"/>
    </row>
    <row r="149" spans="1:68" ht="13.5" customHeight="1">
      <c r="A149" s="708" t="s">
        <v>882</v>
      </c>
      <c r="B149" s="707"/>
      <c r="C149" s="256" t="s">
        <v>308</v>
      </c>
      <c r="D149" s="112" t="s">
        <v>916</v>
      </c>
      <c r="E149" s="112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883">
        <v>0.3</v>
      </c>
      <c r="AH149" s="637"/>
      <c r="AI149" s="637"/>
      <c r="AJ149" s="637"/>
      <c r="AK149" s="690"/>
      <c r="AL149" s="859"/>
      <c r="AM149" s="707"/>
      <c r="AN149" s="707"/>
      <c r="AO149" s="120"/>
      <c r="AP149" s="120"/>
      <c r="AQ149" s="112"/>
      <c r="AR149" s="257"/>
      <c r="AS149" s="257"/>
      <c r="AT149" s="257"/>
      <c r="AU149" s="257"/>
      <c r="AV149" s="257"/>
      <c r="AW149" s="257"/>
      <c r="AX149" s="257"/>
      <c r="AY149" s="257"/>
      <c r="AZ149" s="257"/>
      <c r="BA149" s="257"/>
      <c r="BB149" s="112"/>
      <c r="BC149" s="112"/>
      <c r="BD149" s="112"/>
      <c r="BE149" s="112"/>
      <c r="BF149" s="113"/>
      <c r="BG149" s="113"/>
      <c r="BH149" s="113"/>
      <c r="BI149" s="113"/>
      <c r="BJ149" s="113"/>
      <c r="BK149" s="113"/>
      <c r="BL149" s="113"/>
      <c r="BM149" s="113"/>
      <c r="BN149" s="113"/>
      <c r="BO149" s="113"/>
      <c r="BP149" s="113"/>
    </row>
    <row r="150" spans="1:68" ht="9.75" customHeight="1">
      <c r="A150" s="720"/>
      <c r="B150" s="707"/>
      <c r="C150" s="256"/>
      <c r="D150" s="112"/>
      <c r="E150" s="112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277"/>
      <c r="AH150" s="277"/>
      <c r="AI150" s="277"/>
      <c r="AJ150" s="277"/>
      <c r="AK150" s="277"/>
      <c r="AL150" s="115"/>
      <c r="AM150" s="115"/>
      <c r="AN150" s="115"/>
      <c r="AO150" s="120"/>
      <c r="AP150" s="120"/>
      <c r="AQ150" s="112"/>
      <c r="AR150" s="257"/>
      <c r="AS150" s="257"/>
      <c r="AT150" s="257"/>
      <c r="AU150" s="257"/>
      <c r="AV150" s="257"/>
      <c r="AW150" s="257"/>
      <c r="AX150" s="257"/>
      <c r="AY150" s="257"/>
      <c r="AZ150" s="257"/>
      <c r="BA150" s="257"/>
      <c r="BB150" s="112"/>
      <c r="BC150" s="112"/>
      <c r="BD150" s="112"/>
      <c r="BE150" s="112"/>
      <c r="BF150" s="113"/>
      <c r="BG150" s="113"/>
      <c r="BH150" s="113"/>
      <c r="BI150" s="113"/>
      <c r="BJ150" s="113"/>
      <c r="BK150" s="113"/>
      <c r="BL150" s="113"/>
      <c r="BM150" s="113"/>
      <c r="BN150" s="113"/>
      <c r="BO150" s="113"/>
      <c r="BP150" s="113"/>
    </row>
    <row r="151" spans="1:68" ht="12.75" customHeight="1">
      <c r="A151" s="278" t="s">
        <v>917</v>
      </c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2"/>
      <c r="BE151" s="112"/>
      <c r="BF151" s="113"/>
      <c r="BG151" s="113"/>
      <c r="BH151" s="113"/>
      <c r="BI151" s="113"/>
      <c r="BJ151" s="113"/>
      <c r="BK151" s="113"/>
      <c r="BL151" s="113"/>
      <c r="BM151" s="113"/>
      <c r="BN151" s="113"/>
      <c r="BO151" s="113"/>
      <c r="BP151" s="113"/>
    </row>
    <row r="152" spans="1:68" ht="6" customHeight="1">
      <c r="A152" s="118"/>
      <c r="B152" s="118"/>
      <c r="C152" s="119"/>
      <c r="D152" s="118"/>
      <c r="E152" s="118"/>
      <c r="F152" s="119"/>
      <c r="G152" s="118"/>
      <c r="H152" s="118"/>
      <c r="I152" s="113"/>
      <c r="J152" s="118"/>
      <c r="K152" s="118"/>
      <c r="L152" s="118"/>
      <c r="M152" s="118"/>
      <c r="N152" s="119"/>
      <c r="O152" s="118"/>
      <c r="P152" s="118"/>
      <c r="Q152" s="118"/>
      <c r="R152" s="119"/>
      <c r="S152" s="113"/>
      <c r="T152" s="113"/>
      <c r="U152" s="113"/>
      <c r="V152" s="119"/>
      <c r="W152" s="119"/>
      <c r="X152" s="119"/>
      <c r="Y152" s="119"/>
      <c r="Z152" s="119"/>
      <c r="AA152" s="113"/>
      <c r="AB152" s="114"/>
      <c r="AC152" s="114"/>
      <c r="AD152" s="114"/>
      <c r="AE152" s="119"/>
      <c r="AF152" s="119"/>
      <c r="AG152" s="119"/>
      <c r="AH152" s="271"/>
      <c r="AI152" s="271"/>
      <c r="AJ152" s="271"/>
      <c r="AK152" s="271"/>
      <c r="AL152" s="271"/>
      <c r="AM152" s="271"/>
      <c r="AN152" s="271"/>
      <c r="AO152" s="271"/>
      <c r="AP152" s="271"/>
      <c r="AQ152" s="271"/>
      <c r="AR152" s="273"/>
      <c r="AS152" s="273"/>
      <c r="AT152" s="273"/>
      <c r="AU152" s="273"/>
      <c r="AV152" s="273"/>
      <c r="AW152" s="115"/>
      <c r="AX152" s="115"/>
      <c r="AY152" s="115"/>
      <c r="AZ152" s="115"/>
      <c r="BA152" s="112"/>
      <c r="BB152" s="112"/>
      <c r="BC152" s="112"/>
      <c r="BD152" s="112"/>
      <c r="BE152" s="112"/>
      <c r="BF152" s="113"/>
      <c r="BG152" s="113"/>
      <c r="BH152" s="113"/>
      <c r="BI152" s="113"/>
      <c r="BJ152" s="113"/>
      <c r="BK152" s="113"/>
      <c r="BL152" s="113"/>
      <c r="BM152" s="113"/>
      <c r="BN152" s="113"/>
      <c r="BO152" s="113"/>
      <c r="BP152" s="113"/>
    </row>
    <row r="153" spans="1:68" ht="14.25" customHeight="1">
      <c r="A153" s="737" t="s">
        <v>903</v>
      </c>
      <c r="B153" s="707"/>
      <c r="C153" s="130" t="s">
        <v>262</v>
      </c>
      <c r="D153" s="737" t="s">
        <v>281</v>
      </c>
      <c r="E153" s="707"/>
      <c r="F153" s="130" t="s">
        <v>357</v>
      </c>
      <c r="G153" s="737" t="s">
        <v>894</v>
      </c>
      <c r="H153" s="707"/>
      <c r="I153" s="130"/>
      <c r="J153" s="130"/>
      <c r="K153" s="737" t="s">
        <v>903</v>
      </c>
      <c r="L153" s="707"/>
      <c r="M153" s="130" t="s">
        <v>262</v>
      </c>
      <c r="N153" s="764">
        <f>AG138</f>
        <v>26.35</v>
      </c>
      <c r="O153" s="707"/>
      <c r="P153" s="707"/>
      <c r="Q153" s="130" t="s">
        <v>357</v>
      </c>
      <c r="R153" s="764">
        <f>AG136</f>
        <v>1.6</v>
      </c>
      <c r="S153" s="707"/>
      <c r="T153" s="707"/>
      <c r="U153" s="130"/>
      <c r="V153" s="130"/>
      <c r="W153" s="737" t="s">
        <v>903</v>
      </c>
      <c r="X153" s="707"/>
      <c r="Y153" s="130" t="s">
        <v>262</v>
      </c>
      <c r="Z153" s="764">
        <f>N153*R153</f>
        <v>42.160000000000004</v>
      </c>
      <c r="AA153" s="707"/>
      <c r="AB153" s="707"/>
      <c r="AC153" s="130" t="s">
        <v>444</v>
      </c>
      <c r="AD153" s="130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252"/>
      <c r="AS153" s="252"/>
      <c r="AT153" s="252"/>
      <c r="AU153" s="252"/>
      <c r="AV153" s="252"/>
      <c r="AW153" s="252"/>
      <c r="AX153" s="252"/>
      <c r="AY153" s="112"/>
      <c r="AZ153" s="112"/>
      <c r="BA153" s="112"/>
      <c r="BB153" s="112"/>
      <c r="BC153" s="112"/>
      <c r="BD153" s="112"/>
      <c r="BE153" s="112"/>
      <c r="BF153" s="113"/>
      <c r="BG153" s="113"/>
      <c r="BH153" s="113"/>
      <c r="BI153" s="113"/>
      <c r="BJ153" s="113"/>
      <c r="BK153" s="113"/>
      <c r="BL153" s="113"/>
      <c r="BM153" s="113"/>
      <c r="BN153" s="113"/>
      <c r="BO153" s="113"/>
      <c r="BP153" s="113"/>
    </row>
    <row r="154" spans="1:68" ht="6" customHeight="1">
      <c r="A154" s="118"/>
      <c r="B154" s="118"/>
      <c r="C154" s="119"/>
      <c r="D154" s="118"/>
      <c r="E154" s="118"/>
      <c r="F154" s="119"/>
      <c r="G154" s="118"/>
      <c r="H154" s="118"/>
      <c r="I154" s="113"/>
      <c r="J154" s="118"/>
      <c r="K154" s="118"/>
      <c r="L154" s="118"/>
      <c r="M154" s="118"/>
      <c r="N154" s="119"/>
      <c r="O154" s="118"/>
      <c r="P154" s="118"/>
      <c r="Q154" s="118"/>
      <c r="R154" s="119"/>
      <c r="S154" s="113"/>
      <c r="T154" s="113"/>
      <c r="U154" s="113"/>
      <c r="V154" s="119"/>
      <c r="W154" s="119"/>
      <c r="X154" s="119"/>
      <c r="Y154" s="119"/>
      <c r="Z154" s="119"/>
      <c r="AA154" s="113"/>
      <c r="AB154" s="114"/>
      <c r="AC154" s="114"/>
      <c r="AD154" s="114"/>
      <c r="AE154" s="119"/>
      <c r="AF154" s="119"/>
      <c r="AG154" s="119"/>
      <c r="AH154" s="271"/>
      <c r="AI154" s="271"/>
      <c r="AJ154" s="271"/>
      <c r="AK154" s="271"/>
      <c r="AL154" s="271"/>
      <c r="AM154" s="271"/>
      <c r="AN154" s="271"/>
      <c r="AO154" s="271"/>
      <c r="AP154" s="271"/>
      <c r="AQ154" s="271"/>
      <c r="AR154" s="273"/>
      <c r="AS154" s="273"/>
      <c r="AT154" s="273"/>
      <c r="AU154" s="273"/>
      <c r="AV154" s="273"/>
      <c r="AW154" s="115"/>
      <c r="AX154" s="115"/>
      <c r="AY154" s="115"/>
      <c r="AZ154" s="115"/>
      <c r="BA154" s="112"/>
      <c r="BB154" s="112"/>
      <c r="BC154" s="112"/>
      <c r="BD154" s="112"/>
      <c r="BE154" s="112"/>
      <c r="BF154" s="113"/>
      <c r="BG154" s="113"/>
      <c r="BH154" s="113"/>
      <c r="BI154" s="113"/>
      <c r="BJ154" s="113"/>
      <c r="BK154" s="113"/>
      <c r="BL154" s="113"/>
      <c r="BM154" s="113"/>
      <c r="BN154" s="113"/>
      <c r="BO154" s="113"/>
      <c r="BP154" s="113"/>
    </row>
    <row r="155" spans="1:68" ht="12.75" customHeight="1">
      <c r="A155" s="278" t="s">
        <v>918</v>
      </c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2"/>
      <c r="BE155" s="112"/>
      <c r="BF155" s="113"/>
      <c r="BG155" s="113"/>
      <c r="BH155" s="113"/>
      <c r="BI155" s="113"/>
      <c r="BJ155" s="113"/>
      <c r="BK155" s="113"/>
      <c r="BL155" s="113"/>
      <c r="BM155" s="113"/>
      <c r="BN155" s="113"/>
      <c r="BO155" s="113"/>
      <c r="BP155" s="113"/>
    </row>
    <row r="156" spans="1:68" ht="6" customHeight="1">
      <c r="A156" s="118"/>
      <c r="B156" s="118"/>
      <c r="C156" s="119"/>
      <c r="D156" s="118"/>
      <c r="E156" s="118"/>
      <c r="F156" s="119"/>
      <c r="G156" s="118"/>
      <c r="H156" s="118"/>
      <c r="I156" s="113"/>
      <c r="J156" s="118"/>
      <c r="K156" s="118"/>
      <c r="L156" s="118"/>
      <c r="M156" s="118"/>
      <c r="N156" s="119"/>
      <c r="O156" s="118"/>
      <c r="P156" s="118"/>
      <c r="Q156" s="118"/>
      <c r="R156" s="119"/>
      <c r="S156" s="113"/>
      <c r="T156" s="113"/>
      <c r="U156" s="113"/>
      <c r="V156" s="119"/>
      <c r="W156" s="119"/>
      <c r="X156" s="119"/>
      <c r="Y156" s="119"/>
      <c r="Z156" s="119"/>
      <c r="AA156" s="113"/>
      <c r="AB156" s="114"/>
      <c r="AC156" s="114"/>
      <c r="AD156" s="114"/>
      <c r="AE156" s="119"/>
      <c r="AF156" s="119"/>
      <c r="AG156" s="119"/>
      <c r="AH156" s="271"/>
      <c r="AI156" s="271"/>
      <c r="AJ156" s="271"/>
      <c r="AK156" s="271"/>
      <c r="AL156" s="271"/>
      <c r="AM156" s="271"/>
      <c r="AN156" s="271"/>
      <c r="AO156" s="271"/>
      <c r="AP156" s="271"/>
      <c r="AQ156" s="271"/>
      <c r="AR156" s="273"/>
      <c r="AS156" s="273"/>
      <c r="AT156" s="273"/>
      <c r="AU156" s="273"/>
      <c r="AV156" s="273"/>
      <c r="AW156" s="115"/>
      <c r="AX156" s="115"/>
      <c r="AY156" s="115"/>
      <c r="AZ156" s="115"/>
      <c r="BA156" s="112"/>
      <c r="BB156" s="112"/>
      <c r="BC156" s="112"/>
      <c r="BD156" s="112"/>
      <c r="BE156" s="112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</row>
    <row r="157" spans="1:68" ht="15" customHeight="1">
      <c r="A157" s="721" t="s">
        <v>325</v>
      </c>
      <c r="B157" s="721" t="s">
        <v>262</v>
      </c>
      <c r="C157" s="760" t="s">
        <v>903</v>
      </c>
      <c r="D157" s="724"/>
      <c r="E157" s="724"/>
      <c r="F157" s="724"/>
      <c r="G157" s="724"/>
      <c r="H157" s="724"/>
      <c r="I157" s="724"/>
      <c r="J157" s="144"/>
      <c r="K157" s="144"/>
      <c r="L157" s="144"/>
      <c r="M157" s="721" t="s">
        <v>325</v>
      </c>
      <c r="N157" s="721" t="s">
        <v>262</v>
      </c>
      <c r="O157" s="786">
        <f>Z153</f>
        <v>42.160000000000004</v>
      </c>
      <c r="P157" s="724"/>
      <c r="Q157" s="724"/>
      <c r="R157" s="724"/>
      <c r="S157" s="724"/>
      <c r="T157" s="724"/>
      <c r="U157" s="724"/>
      <c r="V157" s="724"/>
      <c r="W157" s="724"/>
      <c r="X157" s="724"/>
      <c r="Y157" s="724"/>
      <c r="Z157" s="724"/>
      <c r="AA157" s="724"/>
      <c r="AB157" s="144"/>
      <c r="AC157" s="144"/>
      <c r="AD157" s="144"/>
      <c r="AE157" s="721" t="s">
        <v>325</v>
      </c>
      <c r="AF157" s="721" t="s">
        <v>262</v>
      </c>
      <c r="AG157" s="752">
        <f>O157/(O158*(T158+X158))</f>
        <v>1.0774341937132634</v>
      </c>
      <c r="AH157" s="707"/>
      <c r="AI157" s="707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13"/>
    </row>
    <row r="158" spans="1:68" ht="13.5" customHeight="1">
      <c r="A158" s="707"/>
      <c r="B158" s="707"/>
      <c r="C158" s="779" t="s">
        <v>919</v>
      </c>
      <c r="D158" s="637"/>
      <c r="E158" s="637"/>
      <c r="F158" s="637"/>
      <c r="G158" s="637"/>
      <c r="H158" s="637"/>
      <c r="I158" s="637"/>
      <c r="J158" s="130"/>
      <c r="K158" s="137"/>
      <c r="L158" s="137"/>
      <c r="M158" s="707"/>
      <c r="N158" s="707"/>
      <c r="O158" s="848">
        <f>AG135-AG139</f>
        <v>1.4</v>
      </c>
      <c r="P158" s="637"/>
      <c r="Q158" s="637"/>
      <c r="R158" s="239" t="s">
        <v>357</v>
      </c>
      <c r="S158" s="239" t="s">
        <v>413</v>
      </c>
      <c r="T158" s="848">
        <f>AG138</f>
        <v>26.35</v>
      </c>
      <c r="U158" s="637"/>
      <c r="V158" s="637"/>
      <c r="W158" s="179" t="s">
        <v>316</v>
      </c>
      <c r="X158" s="848">
        <f>AG136</f>
        <v>1.6</v>
      </c>
      <c r="Y158" s="637"/>
      <c r="Z158" s="637"/>
      <c r="AA158" s="239" t="s">
        <v>414</v>
      </c>
      <c r="AB158" s="130"/>
      <c r="AC158" s="130"/>
      <c r="AD158" s="130"/>
      <c r="AE158" s="707"/>
      <c r="AF158" s="707"/>
      <c r="AG158" s="707"/>
      <c r="AH158" s="707"/>
      <c r="AI158" s="707"/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119"/>
      <c r="AT158" s="119"/>
      <c r="AU158" s="119"/>
      <c r="AV158" s="119"/>
      <c r="AW158" s="119"/>
      <c r="AX158" s="119"/>
      <c r="AY158" s="119"/>
      <c r="AZ158" s="119"/>
      <c r="BA158" s="119"/>
      <c r="BB158" s="119"/>
      <c r="BC158" s="119"/>
      <c r="BD158" s="119"/>
      <c r="BE158" s="119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13"/>
    </row>
    <row r="159" spans="1:68" ht="6" customHeight="1">
      <c r="A159" s="118"/>
      <c r="B159" s="118"/>
      <c r="C159" s="119"/>
      <c r="D159" s="118"/>
      <c r="E159" s="118"/>
      <c r="F159" s="119"/>
      <c r="G159" s="118"/>
      <c r="H159" s="118"/>
      <c r="I159" s="113"/>
      <c r="J159" s="118"/>
      <c r="K159" s="118"/>
      <c r="L159" s="118"/>
      <c r="M159" s="118"/>
      <c r="N159" s="119"/>
      <c r="O159" s="118"/>
      <c r="P159" s="118"/>
      <c r="Q159" s="118"/>
      <c r="R159" s="119"/>
      <c r="S159" s="113"/>
      <c r="T159" s="113"/>
      <c r="U159" s="113"/>
      <c r="V159" s="119"/>
      <c r="W159" s="119"/>
      <c r="X159" s="119"/>
      <c r="Y159" s="119"/>
      <c r="Z159" s="119"/>
      <c r="AA159" s="113"/>
      <c r="AB159" s="114"/>
      <c r="AC159" s="114"/>
      <c r="AD159" s="114"/>
      <c r="AE159" s="119"/>
      <c r="AF159" s="119"/>
      <c r="AG159" s="119"/>
      <c r="AH159" s="271"/>
      <c r="AI159" s="271"/>
      <c r="AJ159" s="271"/>
      <c r="AK159" s="271"/>
      <c r="AL159" s="271"/>
      <c r="AM159" s="271"/>
      <c r="AN159" s="271"/>
      <c r="AO159" s="271"/>
      <c r="AP159" s="271"/>
      <c r="AQ159" s="271"/>
      <c r="AR159" s="273"/>
      <c r="AS159" s="273"/>
      <c r="AT159" s="273"/>
      <c r="AU159" s="273"/>
      <c r="AV159" s="273"/>
      <c r="AW159" s="115"/>
      <c r="AX159" s="115"/>
      <c r="AY159" s="115"/>
      <c r="AZ159" s="115"/>
      <c r="BA159" s="112"/>
      <c r="BB159" s="112"/>
      <c r="BC159" s="112"/>
      <c r="BD159" s="112"/>
      <c r="BE159" s="112"/>
      <c r="BF159" s="113"/>
      <c r="BG159" s="113"/>
      <c r="BH159" s="113"/>
      <c r="BI159" s="113"/>
      <c r="BJ159" s="113"/>
      <c r="BK159" s="113"/>
      <c r="BL159" s="113"/>
      <c r="BM159" s="113"/>
      <c r="BN159" s="113"/>
      <c r="BO159" s="113"/>
      <c r="BP159" s="113"/>
    </row>
    <row r="160" spans="1:68" ht="12.75" customHeight="1">
      <c r="A160" s="278" t="s">
        <v>920</v>
      </c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  <c r="AA160" s="279"/>
      <c r="AB160" s="279"/>
      <c r="AC160" s="279"/>
      <c r="AD160" s="279"/>
      <c r="AE160" s="279"/>
      <c r="AF160" s="279"/>
      <c r="AG160" s="279"/>
      <c r="AH160" s="279"/>
      <c r="AI160" s="279"/>
      <c r="AJ160" s="279"/>
      <c r="AK160" s="279"/>
      <c r="AL160" s="279"/>
      <c r="AM160" s="279"/>
      <c r="AN160" s="279"/>
      <c r="AO160" s="119"/>
      <c r="AP160" s="119"/>
      <c r="AQ160" s="119"/>
      <c r="AR160" s="119"/>
      <c r="AS160" s="119"/>
      <c r="AT160" s="119"/>
      <c r="AU160" s="119"/>
      <c r="AV160" s="119"/>
      <c r="AW160" s="119"/>
      <c r="AX160" s="113"/>
      <c r="AY160" s="119"/>
      <c r="AZ160" s="119"/>
      <c r="BA160" s="119"/>
      <c r="BB160" s="119"/>
      <c r="BC160" s="119"/>
      <c r="BD160" s="119"/>
      <c r="BE160" s="119"/>
      <c r="BF160" s="113"/>
      <c r="BG160" s="113"/>
      <c r="BH160" s="113"/>
      <c r="BI160" s="113"/>
      <c r="BJ160" s="113"/>
      <c r="BK160" s="113"/>
      <c r="BL160" s="113"/>
      <c r="BM160" s="113"/>
      <c r="BN160" s="113"/>
      <c r="BO160" s="113"/>
      <c r="BP160" s="113"/>
    </row>
    <row r="161" spans="1:68" ht="6" customHeight="1">
      <c r="A161" s="118"/>
      <c r="B161" s="118"/>
      <c r="C161" s="119"/>
      <c r="D161" s="118"/>
      <c r="E161" s="118"/>
      <c r="F161" s="119"/>
      <c r="G161" s="118"/>
      <c r="H161" s="118"/>
      <c r="I161" s="113"/>
      <c r="J161" s="118"/>
      <c r="K161" s="118"/>
      <c r="L161" s="118"/>
      <c r="M161" s="118"/>
      <c r="N161" s="119"/>
      <c r="O161" s="118"/>
      <c r="P161" s="118"/>
      <c r="Q161" s="118"/>
      <c r="R161" s="119"/>
      <c r="S161" s="113"/>
      <c r="T161" s="113"/>
      <c r="U161" s="113"/>
      <c r="V161" s="119"/>
      <c r="W161" s="119"/>
      <c r="X161" s="119"/>
      <c r="Y161" s="119"/>
      <c r="Z161" s="119"/>
      <c r="AA161" s="113"/>
      <c r="AB161" s="114"/>
      <c r="AC161" s="114"/>
      <c r="AD161" s="114"/>
      <c r="AE161" s="119"/>
      <c r="AF161" s="119"/>
      <c r="AG161" s="119"/>
      <c r="AH161" s="271"/>
      <c r="AI161" s="271"/>
      <c r="AJ161" s="271"/>
      <c r="AK161" s="271"/>
      <c r="AL161" s="271"/>
      <c r="AM161" s="271"/>
      <c r="AN161" s="271"/>
      <c r="AO161" s="271"/>
      <c r="AP161" s="271"/>
      <c r="AQ161" s="271"/>
      <c r="AR161" s="273"/>
      <c r="AS161" s="273"/>
      <c r="AT161" s="273"/>
      <c r="AU161" s="273"/>
      <c r="AV161" s="273"/>
      <c r="AW161" s="115"/>
      <c r="AX161" s="115"/>
      <c r="AY161" s="115"/>
      <c r="AZ161" s="115"/>
      <c r="BA161" s="112"/>
      <c r="BB161" s="112"/>
      <c r="BC161" s="112"/>
      <c r="BD161" s="112"/>
      <c r="BE161" s="112"/>
      <c r="BF161" s="113"/>
      <c r="BG161" s="113"/>
      <c r="BH161" s="113"/>
      <c r="BI161" s="113"/>
      <c r="BJ161" s="113"/>
      <c r="BK161" s="113"/>
      <c r="BL161" s="113"/>
      <c r="BM161" s="113"/>
      <c r="BN161" s="113"/>
      <c r="BO161" s="113"/>
      <c r="BP161" s="113"/>
    </row>
    <row r="162" spans="1:68" ht="13.5" customHeight="1">
      <c r="A162" s="721" t="s">
        <v>909</v>
      </c>
      <c r="B162" s="707"/>
      <c r="C162" s="735" t="s">
        <v>262</v>
      </c>
      <c r="D162" s="808" t="s">
        <v>921</v>
      </c>
      <c r="E162" s="724"/>
      <c r="F162" s="724"/>
      <c r="G162" s="724"/>
      <c r="H162" s="724"/>
      <c r="I162" s="724"/>
      <c r="J162" s="724"/>
      <c r="K162" s="140"/>
      <c r="L162" s="140"/>
      <c r="M162" s="140"/>
      <c r="N162" s="721" t="s">
        <v>909</v>
      </c>
      <c r="O162" s="707"/>
      <c r="P162" s="730" t="s">
        <v>262</v>
      </c>
      <c r="Q162" s="723">
        <f>AG142</f>
        <v>1.25</v>
      </c>
      <c r="R162" s="724"/>
      <c r="S162" s="724"/>
      <c r="T162" s="206" t="s">
        <v>357</v>
      </c>
      <c r="U162" s="732">
        <f>AG140</f>
        <v>50</v>
      </c>
      <c r="V162" s="724"/>
      <c r="W162" s="206" t="s">
        <v>357</v>
      </c>
      <c r="X162" s="723">
        <f>Z153</f>
        <v>42.160000000000004</v>
      </c>
      <c r="Y162" s="724"/>
      <c r="Z162" s="724"/>
      <c r="AA162" s="140"/>
      <c r="AB162" s="140"/>
      <c r="AC162" s="140"/>
      <c r="AD162" s="721" t="s">
        <v>909</v>
      </c>
      <c r="AE162" s="707"/>
      <c r="AF162" s="730" t="s">
        <v>262</v>
      </c>
      <c r="AG162" s="785">
        <f>Q162*U162*X162/T163</f>
        <v>7319.4444444444462</v>
      </c>
      <c r="AH162" s="707"/>
      <c r="AI162" s="707"/>
      <c r="AJ162" s="707"/>
      <c r="AK162" s="735" t="s">
        <v>922</v>
      </c>
      <c r="AL162" s="707"/>
      <c r="AM162" s="279"/>
      <c r="AN162" s="279"/>
      <c r="AO162" s="119"/>
      <c r="AP162" s="119"/>
      <c r="AQ162" s="119"/>
      <c r="AR162" s="119"/>
      <c r="AS162" s="119"/>
      <c r="AT162" s="119"/>
      <c r="AU162" s="119"/>
      <c r="AV162" s="119"/>
      <c r="AW162" s="119"/>
      <c r="AX162" s="113"/>
      <c r="AY162" s="119"/>
      <c r="AZ162" s="119"/>
      <c r="BA162" s="119"/>
      <c r="BB162" s="119"/>
      <c r="BC162" s="119"/>
      <c r="BD162" s="119"/>
      <c r="BE162" s="119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113"/>
    </row>
    <row r="163" spans="1:68" ht="12.75" customHeight="1">
      <c r="A163" s="707"/>
      <c r="B163" s="707"/>
      <c r="C163" s="707"/>
      <c r="D163" s="893" t="s">
        <v>274</v>
      </c>
      <c r="E163" s="637"/>
      <c r="F163" s="637"/>
      <c r="G163" s="637"/>
      <c r="H163" s="637"/>
      <c r="I163" s="637"/>
      <c r="J163" s="637"/>
      <c r="K163" s="170"/>
      <c r="L163" s="170"/>
      <c r="M163" s="170"/>
      <c r="N163" s="707"/>
      <c r="O163" s="707"/>
      <c r="P163" s="707"/>
      <c r="Q163" s="174"/>
      <c r="R163" s="174"/>
      <c r="S163" s="280"/>
      <c r="T163" s="871">
        <f>AG143</f>
        <v>0.36</v>
      </c>
      <c r="U163" s="637"/>
      <c r="V163" s="637"/>
      <c r="W163" s="637"/>
      <c r="X163" s="128"/>
      <c r="Y163" s="174"/>
      <c r="Z163" s="174"/>
      <c r="AA163" s="174"/>
      <c r="AB163" s="174"/>
      <c r="AC163" s="174"/>
      <c r="AD163" s="707"/>
      <c r="AE163" s="707"/>
      <c r="AF163" s="707"/>
      <c r="AG163" s="707"/>
      <c r="AH163" s="707"/>
      <c r="AI163" s="707"/>
      <c r="AJ163" s="707"/>
      <c r="AK163" s="707"/>
      <c r="AL163" s="707"/>
      <c r="AM163" s="281"/>
      <c r="AN163" s="281"/>
      <c r="AO163" s="281"/>
      <c r="AP163" s="281"/>
      <c r="AQ163" s="281"/>
      <c r="AR163" s="281"/>
      <c r="AS163" s="281"/>
      <c r="AT163" s="281"/>
      <c r="AU163" s="281"/>
      <c r="AV163" s="281"/>
      <c r="AW163" s="281"/>
      <c r="AX163" s="281"/>
      <c r="AY163" s="281"/>
      <c r="AZ163" s="113"/>
      <c r="BA163" s="113"/>
      <c r="BB163" s="113"/>
      <c r="BC163" s="113"/>
      <c r="BD163" s="113"/>
      <c r="BE163" s="113"/>
      <c r="BF163" s="113"/>
      <c r="BG163" s="113"/>
      <c r="BH163" s="113"/>
      <c r="BI163" s="113"/>
      <c r="BJ163" s="113"/>
      <c r="BK163" s="113"/>
      <c r="BL163" s="113"/>
      <c r="BM163" s="113"/>
      <c r="BN163" s="113"/>
      <c r="BO163" s="113"/>
      <c r="BP163" s="113"/>
    </row>
    <row r="164" spans="1:68" ht="6" customHeight="1">
      <c r="A164" s="118"/>
      <c r="B164" s="118"/>
      <c r="C164" s="119"/>
      <c r="D164" s="118"/>
      <c r="E164" s="118"/>
      <c r="F164" s="119"/>
      <c r="G164" s="118"/>
      <c r="H164" s="118"/>
      <c r="I164" s="113"/>
      <c r="J164" s="118"/>
      <c r="K164" s="118"/>
      <c r="L164" s="118"/>
      <c r="M164" s="118"/>
      <c r="N164" s="119"/>
      <c r="O164" s="118"/>
      <c r="P164" s="118"/>
      <c r="Q164" s="118"/>
      <c r="R164" s="119"/>
      <c r="S164" s="113"/>
      <c r="T164" s="113"/>
      <c r="U164" s="113"/>
      <c r="V164" s="119"/>
      <c r="W164" s="119"/>
      <c r="X164" s="119"/>
      <c r="Y164" s="119"/>
      <c r="Z164" s="119"/>
      <c r="AA164" s="113"/>
      <c r="AB164" s="114"/>
      <c r="AC164" s="114"/>
      <c r="AD164" s="114"/>
      <c r="AE164" s="119"/>
      <c r="AF164" s="119"/>
      <c r="AG164" s="119"/>
      <c r="AH164" s="271"/>
      <c r="AI164" s="271"/>
      <c r="AJ164" s="271"/>
      <c r="AK164" s="271"/>
      <c r="AL164" s="271"/>
      <c r="AM164" s="271"/>
      <c r="AN164" s="271"/>
      <c r="AO164" s="271"/>
      <c r="AP164" s="271"/>
      <c r="AQ164" s="271"/>
      <c r="AR164" s="273"/>
      <c r="AS164" s="273"/>
      <c r="AT164" s="273"/>
      <c r="AU164" s="273"/>
      <c r="AV164" s="273"/>
      <c r="AW164" s="115"/>
      <c r="AX164" s="115"/>
      <c r="AY164" s="115"/>
      <c r="AZ164" s="115"/>
      <c r="BA164" s="112"/>
      <c r="BB164" s="112"/>
      <c r="BC164" s="112"/>
      <c r="BD164" s="112"/>
      <c r="BE164" s="112"/>
      <c r="BF164" s="113"/>
      <c r="BG164" s="113"/>
      <c r="BH164" s="113"/>
      <c r="BI164" s="113"/>
      <c r="BJ164" s="113"/>
      <c r="BK164" s="113"/>
      <c r="BL164" s="113"/>
      <c r="BM164" s="113"/>
      <c r="BN164" s="113"/>
      <c r="BO164" s="113"/>
      <c r="BP164" s="113"/>
    </row>
    <row r="165" spans="1:68" ht="15" customHeight="1">
      <c r="A165" s="278" t="s">
        <v>923</v>
      </c>
      <c r="B165" s="120"/>
      <c r="C165" s="120"/>
      <c r="D165" s="112"/>
      <c r="E165" s="112"/>
      <c r="F165" s="112"/>
      <c r="G165" s="112"/>
      <c r="H165" s="120"/>
      <c r="I165" s="112"/>
      <c r="J165" s="112"/>
      <c r="K165" s="112"/>
      <c r="L165" s="112"/>
      <c r="M165" s="112"/>
      <c r="N165" s="112"/>
      <c r="O165" s="120"/>
      <c r="P165" s="120"/>
      <c r="Q165" s="120"/>
      <c r="R165" s="120"/>
      <c r="S165" s="112"/>
      <c r="T165" s="112"/>
      <c r="U165" s="112"/>
      <c r="V165" s="112"/>
      <c r="W165" s="112"/>
      <c r="X165" s="112"/>
      <c r="Y165" s="112"/>
      <c r="Z165" s="112"/>
      <c r="AA165" s="120"/>
      <c r="AB165" s="120"/>
      <c r="AC165" s="112"/>
      <c r="AD165" s="112"/>
      <c r="AE165" s="112"/>
      <c r="AF165" s="112"/>
      <c r="AG165" s="112"/>
      <c r="AH165" s="112"/>
      <c r="AI165" s="112"/>
      <c r="AJ165" s="112"/>
      <c r="AK165" s="120"/>
      <c r="AL165" s="120"/>
      <c r="AM165" s="120"/>
      <c r="AN165" s="120"/>
      <c r="AO165" s="120"/>
      <c r="AP165" s="120"/>
      <c r="AQ165" s="112"/>
      <c r="AR165" s="260"/>
      <c r="AS165" s="260"/>
      <c r="AT165" s="260"/>
      <c r="AU165" s="260"/>
      <c r="AV165" s="260"/>
      <c r="AW165" s="260"/>
      <c r="AX165" s="260"/>
      <c r="AY165" s="260"/>
      <c r="AZ165" s="260"/>
      <c r="BA165" s="260"/>
      <c r="BB165" s="112"/>
      <c r="BC165" s="112"/>
      <c r="BD165" s="112"/>
      <c r="BE165" s="112"/>
      <c r="BF165" s="113"/>
      <c r="BG165" s="113"/>
      <c r="BH165" s="113"/>
      <c r="BI165" s="113"/>
      <c r="BJ165" s="113"/>
      <c r="BK165" s="113"/>
      <c r="BL165" s="113"/>
      <c r="BM165" s="113"/>
      <c r="BN165" s="113"/>
      <c r="BO165" s="113"/>
      <c r="BP165" s="113"/>
    </row>
    <row r="166" spans="1:68" ht="6" customHeight="1">
      <c r="A166" s="118"/>
      <c r="B166" s="118"/>
      <c r="C166" s="119"/>
      <c r="D166" s="118"/>
      <c r="E166" s="118"/>
      <c r="F166" s="119"/>
      <c r="G166" s="118"/>
      <c r="H166" s="118"/>
      <c r="I166" s="113"/>
      <c r="J166" s="118"/>
      <c r="K166" s="118"/>
      <c r="L166" s="118"/>
      <c r="M166" s="118"/>
      <c r="N166" s="119"/>
      <c r="O166" s="118"/>
      <c r="P166" s="118"/>
      <c r="Q166" s="118"/>
      <c r="R166" s="119"/>
      <c r="S166" s="113"/>
      <c r="T166" s="113"/>
      <c r="U166" s="113"/>
      <c r="V166" s="119"/>
      <c r="W166" s="119"/>
      <c r="X166" s="119"/>
      <c r="Y166" s="119"/>
      <c r="Z166" s="119"/>
      <c r="AA166" s="113"/>
      <c r="AB166" s="114"/>
      <c r="AC166" s="114"/>
      <c r="AD166" s="114"/>
      <c r="AE166" s="119"/>
      <c r="AF166" s="119"/>
      <c r="AG166" s="119"/>
      <c r="AH166" s="271"/>
      <c r="AI166" s="271"/>
      <c r="AJ166" s="271"/>
      <c r="AK166" s="271"/>
      <c r="AL166" s="271"/>
      <c r="AM166" s="271"/>
      <c r="AN166" s="271"/>
      <c r="AO166" s="271"/>
      <c r="AP166" s="271"/>
      <c r="AQ166" s="271"/>
      <c r="AR166" s="273"/>
      <c r="AS166" s="273"/>
      <c r="AT166" s="273"/>
      <c r="AU166" s="273"/>
      <c r="AV166" s="273"/>
      <c r="AW166" s="115"/>
      <c r="AX166" s="115"/>
      <c r="AY166" s="115"/>
      <c r="AZ166" s="115"/>
      <c r="BA166" s="112"/>
      <c r="BB166" s="112"/>
      <c r="BC166" s="112"/>
      <c r="BD166" s="112"/>
      <c r="BE166" s="112"/>
      <c r="BF166" s="113"/>
      <c r="BG166" s="113"/>
      <c r="BH166" s="113"/>
      <c r="BI166" s="113"/>
      <c r="BJ166" s="113"/>
      <c r="BK166" s="113"/>
      <c r="BL166" s="113"/>
      <c r="BM166" s="113"/>
      <c r="BN166" s="113"/>
      <c r="BO166" s="113"/>
      <c r="BP166" s="113"/>
    </row>
    <row r="167" spans="1:68" ht="13.5" customHeight="1">
      <c r="A167" s="721" t="s">
        <v>374</v>
      </c>
      <c r="B167" s="707"/>
      <c r="C167" s="735" t="s">
        <v>262</v>
      </c>
      <c r="D167" s="738" t="s">
        <v>909</v>
      </c>
      <c r="E167" s="724"/>
      <c r="F167" s="724"/>
      <c r="G167" s="188"/>
      <c r="H167" s="188"/>
      <c r="I167" s="721" t="s">
        <v>374</v>
      </c>
      <c r="J167" s="707"/>
      <c r="K167" s="735" t="s">
        <v>262</v>
      </c>
      <c r="L167" s="756">
        <f>AG145</f>
        <v>7319.4444444444462</v>
      </c>
      <c r="M167" s="724"/>
      <c r="N167" s="724"/>
      <c r="O167" s="151"/>
      <c r="P167" s="151"/>
      <c r="Q167" s="721" t="s">
        <v>374</v>
      </c>
      <c r="R167" s="707"/>
      <c r="S167" s="735" t="s">
        <v>262</v>
      </c>
      <c r="T167" s="846">
        <f>L167/L168</f>
        <v>6.0995370370370381</v>
      </c>
      <c r="U167" s="707"/>
      <c r="V167" s="707"/>
      <c r="W167" s="112"/>
      <c r="X167" s="112"/>
      <c r="Y167" s="112"/>
      <c r="Z167" s="112"/>
      <c r="AA167" s="120"/>
      <c r="AB167" s="120"/>
      <c r="AC167" s="112"/>
      <c r="AD167" s="112"/>
      <c r="AE167" s="112"/>
      <c r="AF167" s="112"/>
      <c r="AG167" s="112"/>
      <c r="AH167" s="112"/>
      <c r="AI167" s="112"/>
      <c r="AJ167" s="112"/>
      <c r="AK167" s="120"/>
      <c r="AL167" s="120"/>
      <c r="AM167" s="120"/>
      <c r="AN167" s="120"/>
      <c r="AO167" s="120"/>
      <c r="AP167" s="120"/>
      <c r="AQ167" s="112"/>
      <c r="AR167" s="260"/>
      <c r="AS167" s="260"/>
      <c r="AT167" s="260"/>
      <c r="AU167" s="260"/>
      <c r="AV167" s="260"/>
      <c r="AW167" s="260"/>
      <c r="AX167" s="260"/>
      <c r="AY167" s="260"/>
      <c r="AZ167" s="260"/>
      <c r="BA167" s="260"/>
      <c r="BB167" s="112"/>
      <c r="BC167" s="112"/>
      <c r="BD167" s="112"/>
      <c r="BE167" s="112"/>
      <c r="BF167" s="113"/>
      <c r="BG167" s="113"/>
      <c r="BH167" s="113"/>
      <c r="BI167" s="113"/>
      <c r="BJ167" s="113"/>
      <c r="BK167" s="113"/>
      <c r="BL167" s="113"/>
      <c r="BM167" s="113"/>
      <c r="BN167" s="113"/>
      <c r="BO167" s="113"/>
      <c r="BP167" s="113"/>
    </row>
    <row r="168" spans="1:68" ht="13.5" customHeight="1">
      <c r="A168" s="707"/>
      <c r="B168" s="707"/>
      <c r="C168" s="707"/>
      <c r="D168" s="753" t="s">
        <v>912</v>
      </c>
      <c r="E168" s="637"/>
      <c r="F168" s="637"/>
      <c r="G168" s="282"/>
      <c r="H168" s="282"/>
      <c r="I168" s="707"/>
      <c r="J168" s="707"/>
      <c r="K168" s="707"/>
      <c r="L168" s="800">
        <f>AG146</f>
        <v>1200</v>
      </c>
      <c r="M168" s="637"/>
      <c r="N168" s="637"/>
      <c r="O168" s="151"/>
      <c r="P168" s="151"/>
      <c r="Q168" s="707"/>
      <c r="R168" s="707"/>
      <c r="S168" s="707"/>
      <c r="T168" s="707"/>
      <c r="U168" s="707"/>
      <c r="V168" s="707"/>
      <c r="W168" s="112"/>
      <c r="X168" s="112"/>
      <c r="Y168" s="112"/>
      <c r="Z168" s="112"/>
      <c r="AA168" s="120"/>
      <c r="AB168" s="120"/>
      <c r="AC168" s="112"/>
      <c r="AD168" s="112"/>
      <c r="AE168" s="112"/>
      <c r="AF168" s="112"/>
      <c r="AG168" s="112"/>
      <c r="AH168" s="112"/>
      <c r="AI168" s="112"/>
      <c r="AJ168" s="112"/>
      <c r="AK168" s="120"/>
      <c r="AL168" s="120"/>
      <c r="AM168" s="120"/>
      <c r="AN168" s="120"/>
      <c r="AO168" s="120"/>
      <c r="AP168" s="120"/>
      <c r="AQ168" s="112"/>
      <c r="AR168" s="260"/>
      <c r="AS168" s="260"/>
      <c r="AT168" s="260"/>
      <c r="AU168" s="260"/>
      <c r="AV168" s="260"/>
      <c r="AW168" s="260"/>
      <c r="AX168" s="260"/>
      <c r="AY168" s="260"/>
      <c r="AZ168" s="260"/>
      <c r="BA168" s="260"/>
      <c r="BB168" s="112"/>
      <c r="BC168" s="112"/>
      <c r="BD168" s="112"/>
      <c r="BE168" s="112"/>
      <c r="BF168" s="113"/>
      <c r="BG168" s="113"/>
      <c r="BH168" s="113"/>
      <c r="BI168" s="113"/>
      <c r="BJ168" s="113"/>
      <c r="BK168" s="113"/>
      <c r="BL168" s="113"/>
      <c r="BM168" s="113"/>
      <c r="BN168" s="113"/>
      <c r="BO168" s="113"/>
      <c r="BP168" s="113"/>
    </row>
    <row r="169" spans="1:68" ht="6" customHeight="1">
      <c r="A169" s="118"/>
      <c r="B169" s="118"/>
      <c r="C169" s="119"/>
      <c r="D169" s="118"/>
      <c r="E169" s="118"/>
      <c r="F169" s="119"/>
      <c r="G169" s="118"/>
      <c r="H169" s="118"/>
      <c r="I169" s="113"/>
      <c r="J169" s="118"/>
      <c r="K169" s="118"/>
      <c r="L169" s="118"/>
      <c r="M169" s="118"/>
      <c r="N169" s="119"/>
      <c r="O169" s="118"/>
      <c r="P169" s="118"/>
      <c r="Q169" s="118"/>
      <c r="R169" s="119"/>
      <c r="S169" s="113"/>
      <c r="T169" s="113"/>
      <c r="U169" s="113"/>
      <c r="V169" s="119"/>
      <c r="W169" s="119"/>
      <c r="X169" s="119"/>
      <c r="Y169" s="119"/>
      <c r="Z169" s="119"/>
      <c r="AA169" s="113"/>
      <c r="AB169" s="114"/>
      <c r="AC169" s="114"/>
      <c r="AD169" s="114"/>
      <c r="AE169" s="119"/>
      <c r="AF169" s="119"/>
      <c r="AG169" s="119"/>
      <c r="AH169" s="271"/>
      <c r="AI169" s="271"/>
      <c r="AJ169" s="271"/>
      <c r="AK169" s="271"/>
      <c r="AL169" s="271"/>
      <c r="AM169" s="271"/>
      <c r="AN169" s="271"/>
      <c r="AO169" s="271"/>
      <c r="AP169" s="271"/>
      <c r="AQ169" s="271"/>
      <c r="AR169" s="273"/>
      <c r="AS169" s="273"/>
      <c r="AT169" s="273"/>
      <c r="AU169" s="273"/>
      <c r="AV169" s="273"/>
      <c r="AW169" s="115"/>
      <c r="AX169" s="115"/>
      <c r="AY169" s="115"/>
      <c r="AZ169" s="115"/>
      <c r="BA169" s="112"/>
      <c r="BB169" s="112"/>
      <c r="BC169" s="112"/>
      <c r="BD169" s="112"/>
      <c r="BE169" s="112"/>
      <c r="BF169" s="113"/>
      <c r="BG169" s="113"/>
      <c r="BH169" s="113"/>
      <c r="BI169" s="113"/>
      <c r="BJ169" s="113"/>
      <c r="BK169" s="113"/>
      <c r="BL169" s="113"/>
      <c r="BM169" s="113"/>
      <c r="BN169" s="113"/>
      <c r="BO169" s="113"/>
      <c r="BP169" s="113"/>
    </row>
    <row r="170" spans="1:68" ht="12.75" customHeight="1">
      <c r="A170" s="119" t="s">
        <v>924</v>
      </c>
      <c r="B170" s="119"/>
      <c r="C170" s="119"/>
      <c r="D170" s="119"/>
      <c r="E170" s="119"/>
      <c r="F170" s="119"/>
      <c r="G170" s="118"/>
      <c r="H170" s="118"/>
      <c r="I170" s="118"/>
      <c r="J170" s="119"/>
      <c r="K170" s="119"/>
      <c r="L170" s="119"/>
      <c r="M170" s="887">
        <f>ROUNDUP(T167,0)</f>
        <v>7</v>
      </c>
      <c r="N170" s="583"/>
      <c r="O170" s="113" t="s">
        <v>925</v>
      </c>
      <c r="P170" s="113"/>
      <c r="Q170" s="113"/>
      <c r="R170" s="844">
        <v>12</v>
      </c>
      <c r="S170" s="710"/>
      <c r="T170" s="583"/>
      <c r="U170" s="866" t="s">
        <v>926</v>
      </c>
      <c r="V170" s="707"/>
      <c r="W170" s="707"/>
      <c r="X170" s="707"/>
      <c r="Y170" s="707"/>
      <c r="Z170" s="707"/>
      <c r="AA170" s="707"/>
      <c r="AB170" s="707"/>
      <c r="AC170" s="707"/>
      <c r="AD170" s="707"/>
      <c r="AE170" s="707"/>
      <c r="AF170" s="707"/>
      <c r="AG170" s="707"/>
      <c r="AH170" s="707"/>
      <c r="AI170" s="707"/>
      <c r="AJ170" s="707"/>
      <c r="AK170" s="113"/>
      <c r="AL170" s="113"/>
      <c r="AM170" s="113"/>
      <c r="AN170" s="113"/>
      <c r="AO170" s="120"/>
      <c r="AP170" s="120"/>
      <c r="AQ170" s="112"/>
      <c r="AR170" s="260"/>
      <c r="AS170" s="260"/>
      <c r="AT170" s="260"/>
      <c r="AU170" s="260"/>
      <c r="AV170" s="260"/>
      <c r="AW170" s="260"/>
      <c r="AX170" s="260"/>
      <c r="AY170" s="260"/>
      <c r="AZ170" s="260"/>
      <c r="BA170" s="260"/>
      <c r="BB170" s="112"/>
      <c r="BC170" s="112"/>
      <c r="BD170" s="112"/>
      <c r="BE170" s="112"/>
      <c r="BF170" s="113"/>
      <c r="BG170" s="113"/>
      <c r="BH170" s="113"/>
      <c r="BI170" s="113"/>
      <c r="BJ170" s="113"/>
      <c r="BK170" s="113"/>
      <c r="BL170" s="113"/>
      <c r="BM170" s="113"/>
      <c r="BN170" s="113"/>
      <c r="BO170" s="113"/>
      <c r="BP170" s="113"/>
    </row>
    <row r="171" spans="1:68" ht="6" customHeight="1">
      <c r="A171" s="118"/>
      <c r="B171" s="118"/>
      <c r="C171" s="119"/>
      <c r="D171" s="118"/>
      <c r="E171" s="118"/>
      <c r="F171" s="119"/>
      <c r="G171" s="118"/>
      <c r="H171" s="118"/>
      <c r="I171" s="113"/>
      <c r="J171" s="118"/>
      <c r="K171" s="118"/>
      <c r="L171" s="118"/>
      <c r="M171" s="118"/>
      <c r="N171" s="119"/>
      <c r="O171" s="118"/>
      <c r="P171" s="118"/>
      <c r="Q171" s="118"/>
      <c r="R171" s="119"/>
      <c r="S171" s="113"/>
      <c r="T171" s="113"/>
      <c r="U171" s="113"/>
      <c r="V171" s="119"/>
      <c r="W171" s="119"/>
      <c r="X171" s="119"/>
      <c r="Y171" s="119"/>
      <c r="Z171" s="119"/>
      <c r="AA171" s="113"/>
      <c r="AB171" s="114"/>
      <c r="AC171" s="114"/>
      <c r="AD171" s="114"/>
      <c r="AE171" s="119"/>
      <c r="AF171" s="119"/>
      <c r="AG171" s="119"/>
      <c r="AH171" s="271"/>
      <c r="AI171" s="271"/>
      <c r="AJ171" s="271"/>
      <c r="AK171" s="271"/>
      <c r="AL171" s="271"/>
      <c r="AM171" s="271"/>
      <c r="AN171" s="271"/>
      <c r="AO171" s="271"/>
      <c r="AP171" s="271"/>
      <c r="AQ171" s="271"/>
      <c r="AR171" s="273"/>
      <c r="AS171" s="273"/>
      <c r="AT171" s="273"/>
      <c r="AU171" s="273"/>
      <c r="AV171" s="273"/>
      <c r="AW171" s="115"/>
      <c r="AX171" s="115"/>
      <c r="AY171" s="115"/>
      <c r="AZ171" s="115"/>
      <c r="BA171" s="112"/>
      <c r="BB171" s="112"/>
      <c r="BC171" s="112"/>
      <c r="BD171" s="112"/>
      <c r="BE171" s="112"/>
      <c r="BF171" s="113"/>
      <c r="BG171" s="113"/>
      <c r="BH171" s="113"/>
      <c r="BI171" s="113"/>
      <c r="BJ171" s="113"/>
      <c r="BK171" s="113"/>
      <c r="BL171" s="113"/>
      <c r="BM171" s="113"/>
      <c r="BN171" s="113"/>
      <c r="BO171" s="113"/>
      <c r="BP171" s="113"/>
    </row>
    <row r="172" spans="1:68" ht="6" customHeight="1">
      <c r="A172" s="118"/>
      <c r="B172" s="118"/>
      <c r="C172" s="119"/>
      <c r="D172" s="118"/>
      <c r="E172" s="118"/>
      <c r="F172" s="119"/>
      <c r="G172" s="118"/>
      <c r="H172" s="118"/>
      <c r="I172" s="113"/>
      <c r="J172" s="118"/>
      <c r="K172" s="118"/>
      <c r="L172" s="118"/>
      <c r="M172" s="118"/>
      <c r="N172" s="119"/>
      <c r="O172" s="118"/>
      <c r="P172" s="118"/>
      <c r="Q172" s="118"/>
      <c r="R172" s="119"/>
      <c r="S172" s="113"/>
      <c r="T172" s="113"/>
      <c r="U172" s="113"/>
      <c r="V172" s="119"/>
      <c r="W172" s="119"/>
      <c r="X172" s="119"/>
      <c r="Y172" s="119"/>
      <c r="Z172" s="119"/>
      <c r="AA172" s="113"/>
      <c r="AB172" s="114"/>
      <c r="AC172" s="114"/>
      <c r="AD172" s="114"/>
      <c r="AE172" s="119"/>
      <c r="AF172" s="119"/>
      <c r="AG172" s="119"/>
      <c r="AH172" s="271"/>
      <c r="AI172" s="271"/>
      <c r="AJ172" s="271"/>
      <c r="AK172" s="271"/>
      <c r="AL172" s="271"/>
      <c r="AM172" s="271"/>
      <c r="AN172" s="271"/>
      <c r="AO172" s="271"/>
      <c r="AP172" s="271"/>
      <c r="AQ172" s="271"/>
      <c r="AR172" s="273"/>
      <c r="AS172" s="273"/>
      <c r="AT172" s="273"/>
      <c r="AU172" s="273"/>
      <c r="AV172" s="273"/>
      <c r="AW172" s="115"/>
      <c r="AX172" s="115"/>
      <c r="AY172" s="115"/>
      <c r="AZ172" s="115"/>
      <c r="BA172" s="112"/>
      <c r="BB172" s="112"/>
      <c r="BC172" s="112"/>
      <c r="BD172" s="112"/>
      <c r="BE172" s="112"/>
      <c r="BF172" s="113"/>
      <c r="BG172" s="113"/>
      <c r="BH172" s="113"/>
      <c r="BI172" s="113"/>
      <c r="BJ172" s="113"/>
      <c r="BK172" s="113"/>
      <c r="BL172" s="113"/>
      <c r="BM172" s="113"/>
      <c r="BN172" s="113"/>
      <c r="BO172" s="113"/>
      <c r="BP172" s="113"/>
    </row>
    <row r="173" spans="1:68" ht="14.25" customHeight="1">
      <c r="A173" s="261" t="s">
        <v>927</v>
      </c>
      <c r="B173" s="120"/>
      <c r="C173" s="120"/>
      <c r="D173" s="112"/>
      <c r="E173" s="112"/>
      <c r="F173" s="112"/>
      <c r="G173" s="112"/>
      <c r="H173" s="120"/>
      <c r="I173" s="112"/>
      <c r="J173" s="112"/>
      <c r="K173" s="112"/>
      <c r="L173" s="112"/>
      <c r="M173" s="112"/>
      <c r="N173" s="112"/>
      <c r="O173" s="120"/>
      <c r="P173" s="120"/>
      <c r="Q173" s="120"/>
      <c r="R173" s="120"/>
      <c r="S173" s="112"/>
      <c r="T173" s="112"/>
      <c r="U173" s="112"/>
      <c r="V173" s="112"/>
      <c r="W173" s="112"/>
      <c r="X173" s="112"/>
      <c r="Y173" s="112"/>
      <c r="Z173" s="112"/>
      <c r="AA173" s="120"/>
      <c r="AB173" s="120"/>
      <c r="AC173" s="112"/>
      <c r="AD173" s="112"/>
      <c r="AE173" s="112"/>
      <c r="AF173" s="112"/>
      <c r="AG173" s="112"/>
      <c r="AH173" s="112"/>
      <c r="AI173" s="112"/>
      <c r="AJ173" s="112"/>
      <c r="AK173" s="120"/>
      <c r="AL173" s="120"/>
      <c r="AM173" s="120"/>
      <c r="AN173" s="120"/>
      <c r="AO173" s="120"/>
      <c r="AP173" s="120"/>
      <c r="AQ173" s="112"/>
      <c r="AR173" s="260"/>
      <c r="AS173" s="260"/>
      <c r="AT173" s="260"/>
      <c r="AU173" s="260"/>
      <c r="AV173" s="260"/>
      <c r="AW173" s="260"/>
      <c r="AX173" s="260"/>
      <c r="AY173" s="260"/>
      <c r="AZ173" s="260"/>
      <c r="BA173" s="260"/>
      <c r="BB173" s="112"/>
      <c r="BC173" s="112"/>
      <c r="BD173" s="112"/>
      <c r="BE173" s="112"/>
      <c r="BF173" s="113"/>
      <c r="BG173" s="113"/>
      <c r="BH173" s="113"/>
      <c r="BI173" s="113"/>
      <c r="BJ173" s="113"/>
      <c r="BK173" s="113"/>
      <c r="BL173" s="113"/>
      <c r="BM173" s="113"/>
      <c r="BN173" s="113"/>
      <c r="BO173" s="113"/>
      <c r="BP173" s="113"/>
    </row>
    <row r="174" spans="1:68" ht="6" customHeight="1">
      <c r="A174" s="118"/>
      <c r="B174" s="118"/>
      <c r="C174" s="119"/>
      <c r="D174" s="118"/>
      <c r="E174" s="118"/>
      <c r="F174" s="119"/>
      <c r="G174" s="118"/>
      <c r="H174" s="118"/>
      <c r="I174" s="113"/>
      <c r="J174" s="118"/>
      <c r="K174" s="118"/>
      <c r="L174" s="118"/>
      <c r="M174" s="118"/>
      <c r="N174" s="119"/>
      <c r="O174" s="118"/>
      <c r="P174" s="118"/>
      <c r="Q174" s="118"/>
      <c r="R174" s="119"/>
      <c r="S174" s="113"/>
      <c r="T174" s="113"/>
      <c r="U174" s="113"/>
      <c r="V174" s="119"/>
      <c r="W174" s="119"/>
      <c r="X174" s="119"/>
      <c r="Y174" s="119"/>
      <c r="Z174" s="119"/>
      <c r="AA174" s="113"/>
      <c r="AB174" s="114"/>
      <c r="AC174" s="114"/>
      <c r="AD174" s="114"/>
      <c r="AE174" s="119"/>
      <c r="AF174" s="119"/>
      <c r="AG174" s="119"/>
      <c r="AH174" s="271"/>
      <c r="AI174" s="271"/>
      <c r="AJ174" s="271"/>
      <c r="AK174" s="271"/>
      <c r="AL174" s="271"/>
      <c r="AM174" s="271"/>
      <c r="AN174" s="271"/>
      <c r="AO174" s="271"/>
      <c r="AP174" s="271"/>
      <c r="AQ174" s="271"/>
      <c r="AR174" s="273"/>
      <c r="AS174" s="273"/>
      <c r="AT174" s="273"/>
      <c r="AU174" s="273"/>
      <c r="AV174" s="273"/>
      <c r="AW174" s="115"/>
      <c r="AX174" s="115"/>
      <c r="AY174" s="115"/>
      <c r="AZ174" s="115"/>
      <c r="BA174" s="112"/>
      <c r="BB174" s="112"/>
      <c r="BC174" s="112"/>
      <c r="BD174" s="112"/>
      <c r="BE174" s="112"/>
      <c r="BF174" s="113"/>
      <c r="BG174" s="113"/>
      <c r="BH174" s="113"/>
      <c r="BI174" s="113"/>
      <c r="BJ174" s="113"/>
      <c r="BK174" s="113"/>
      <c r="BL174" s="113"/>
      <c r="BM174" s="113"/>
      <c r="BN174" s="113"/>
      <c r="BO174" s="113"/>
      <c r="BP174" s="113"/>
    </row>
    <row r="175" spans="1:68" ht="13.5" customHeight="1">
      <c r="A175" s="708" t="s">
        <v>325</v>
      </c>
      <c r="B175" s="707"/>
      <c r="C175" s="256" t="s">
        <v>308</v>
      </c>
      <c r="D175" s="112" t="s">
        <v>891</v>
      </c>
      <c r="E175" s="112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857">
        <f>AG198</f>
        <v>0.43360433604336046</v>
      </c>
      <c r="AH175" s="710"/>
      <c r="AI175" s="710"/>
      <c r="AJ175" s="710"/>
      <c r="AK175" s="583"/>
      <c r="AL175" s="859"/>
      <c r="AM175" s="707"/>
      <c r="AN175" s="707"/>
      <c r="AO175" s="120"/>
      <c r="AP175" s="120"/>
      <c r="AQ175" s="112"/>
      <c r="AR175" s="257"/>
      <c r="AS175" s="257"/>
      <c r="AT175" s="257"/>
      <c r="AU175" s="257"/>
      <c r="AV175" s="257"/>
      <c r="AW175" s="257"/>
      <c r="AX175" s="257"/>
      <c r="AY175" s="257"/>
      <c r="AZ175" s="257"/>
      <c r="BA175" s="257"/>
      <c r="BB175" s="112"/>
      <c r="BC175" s="112"/>
      <c r="BD175" s="112"/>
      <c r="BE175" s="112"/>
      <c r="BF175" s="113"/>
      <c r="BG175" s="113"/>
      <c r="BH175" s="113"/>
      <c r="BI175" s="113"/>
      <c r="BJ175" s="113"/>
      <c r="BK175" s="113"/>
      <c r="BL175" s="113"/>
      <c r="BM175" s="113"/>
      <c r="BN175" s="113"/>
      <c r="BO175" s="113"/>
      <c r="BP175" s="113"/>
    </row>
    <row r="176" spans="1:68" ht="13.5" customHeight="1">
      <c r="A176" s="708" t="s">
        <v>928</v>
      </c>
      <c r="B176" s="707"/>
      <c r="C176" s="256" t="s">
        <v>308</v>
      </c>
      <c r="D176" s="112" t="s">
        <v>929</v>
      </c>
      <c r="E176" s="112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857">
        <f>'Veri Girişi'!E79</f>
        <v>2.5</v>
      </c>
      <c r="AH176" s="710"/>
      <c r="AI176" s="710"/>
      <c r="AJ176" s="710"/>
      <c r="AK176" s="583"/>
      <c r="AL176" s="859" t="s">
        <v>365</v>
      </c>
      <c r="AM176" s="707"/>
      <c r="AN176" s="707"/>
      <c r="AO176" s="120"/>
      <c r="AP176" s="120"/>
      <c r="AQ176" s="112"/>
      <c r="AR176" s="257"/>
      <c r="AS176" s="257"/>
      <c r="AT176" s="257"/>
      <c r="AU176" s="257"/>
      <c r="AV176" s="257"/>
      <c r="AW176" s="257"/>
      <c r="AX176" s="257"/>
      <c r="AY176" s="257"/>
      <c r="AZ176" s="257"/>
      <c r="BA176" s="257"/>
      <c r="BB176" s="112"/>
      <c r="BC176" s="112"/>
      <c r="BD176" s="112"/>
      <c r="BE176" s="112"/>
      <c r="BF176" s="113"/>
      <c r="BG176" s="113"/>
      <c r="BH176" s="113"/>
      <c r="BI176" s="113"/>
      <c r="BJ176" s="113"/>
      <c r="BK176" s="113"/>
      <c r="BL176" s="113"/>
      <c r="BM176" s="113"/>
      <c r="BN176" s="113"/>
      <c r="BO176" s="113"/>
      <c r="BP176" s="113"/>
    </row>
    <row r="177" spans="1:68" ht="13.5" customHeight="1">
      <c r="A177" s="708" t="s">
        <v>930</v>
      </c>
      <c r="B177" s="707"/>
      <c r="C177" s="256" t="s">
        <v>308</v>
      </c>
      <c r="D177" s="112" t="s">
        <v>931</v>
      </c>
      <c r="E177" s="112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857">
        <f>'Veri Girişi'!F79</f>
        <v>1.6</v>
      </c>
      <c r="AH177" s="710"/>
      <c r="AI177" s="710"/>
      <c r="AJ177" s="710"/>
      <c r="AK177" s="583"/>
      <c r="AL177" s="859" t="s">
        <v>365</v>
      </c>
      <c r="AM177" s="707"/>
      <c r="AN177" s="707"/>
      <c r="AO177" s="120"/>
      <c r="AP177" s="120"/>
      <c r="AQ177" s="112"/>
      <c r="AR177" s="257"/>
      <c r="AS177" s="257"/>
      <c r="AT177" s="257"/>
      <c r="AU177" s="257"/>
      <c r="AV177" s="257"/>
      <c r="AW177" s="257"/>
      <c r="AX177" s="257"/>
      <c r="AY177" s="257"/>
      <c r="AZ177" s="257"/>
      <c r="BA177" s="257"/>
      <c r="BB177" s="112"/>
      <c r="BC177" s="112"/>
      <c r="BD177" s="112"/>
      <c r="BE177" s="112"/>
      <c r="BF177" s="113"/>
      <c r="BG177" s="113"/>
      <c r="BH177" s="113"/>
      <c r="BI177" s="113"/>
      <c r="BJ177" s="113"/>
      <c r="BK177" s="113"/>
      <c r="BL177" s="113"/>
      <c r="BM177" s="113"/>
      <c r="BN177" s="113"/>
      <c r="BO177" s="113"/>
      <c r="BP177" s="113"/>
    </row>
    <row r="178" spans="1:68" ht="13.5" customHeight="1">
      <c r="A178" s="708" t="s">
        <v>932</v>
      </c>
      <c r="B178" s="707"/>
      <c r="C178" s="256" t="s">
        <v>308</v>
      </c>
      <c r="D178" s="112" t="s">
        <v>897</v>
      </c>
      <c r="E178" s="112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857">
        <f>(AG179-AG180)</f>
        <v>2.25</v>
      </c>
      <c r="AH178" s="710"/>
      <c r="AI178" s="710"/>
      <c r="AJ178" s="710"/>
      <c r="AK178" s="583"/>
      <c r="AL178" s="859" t="s">
        <v>365</v>
      </c>
      <c r="AM178" s="707"/>
      <c r="AN178" s="707"/>
      <c r="AO178" s="120"/>
      <c r="AP178" s="120"/>
      <c r="AQ178" s="112"/>
      <c r="AR178" s="257"/>
      <c r="AS178" s="257"/>
      <c r="AT178" s="257"/>
      <c r="AU178" s="257"/>
      <c r="AV178" s="257"/>
      <c r="AW178" s="257"/>
      <c r="AX178" s="257"/>
      <c r="AY178" s="257"/>
      <c r="AZ178" s="257"/>
      <c r="BA178" s="257"/>
      <c r="BB178" s="112"/>
      <c r="BC178" s="112"/>
      <c r="BD178" s="112"/>
      <c r="BE178" s="112"/>
      <c r="BF178" s="113"/>
      <c r="BG178" s="113"/>
      <c r="BH178" s="113"/>
      <c r="BI178" s="113"/>
      <c r="BJ178" s="113"/>
      <c r="BK178" s="113"/>
      <c r="BL178" s="113"/>
      <c r="BM178" s="113"/>
      <c r="BN178" s="113"/>
      <c r="BO178" s="113"/>
      <c r="BP178" s="113"/>
    </row>
    <row r="179" spans="1:68" ht="13.5" customHeight="1">
      <c r="A179" s="708" t="s">
        <v>281</v>
      </c>
      <c r="B179" s="707"/>
      <c r="C179" s="256" t="s">
        <v>308</v>
      </c>
      <c r="D179" s="112" t="s">
        <v>933</v>
      </c>
      <c r="E179" s="112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857">
        <f>'Veri Girişi'!G79</f>
        <v>3</v>
      </c>
      <c r="AH179" s="710"/>
      <c r="AI179" s="710"/>
      <c r="AJ179" s="710"/>
      <c r="AK179" s="583"/>
      <c r="AL179" s="859" t="s">
        <v>365</v>
      </c>
      <c r="AM179" s="707"/>
      <c r="AN179" s="707"/>
      <c r="AO179" s="120"/>
      <c r="AP179" s="120"/>
      <c r="AQ179" s="112"/>
      <c r="AR179" s="257"/>
      <c r="AS179" s="257"/>
      <c r="AT179" s="257"/>
      <c r="AU179" s="257"/>
      <c r="AV179" s="257"/>
      <c r="AW179" s="257"/>
      <c r="AX179" s="257"/>
      <c r="AY179" s="257"/>
      <c r="AZ179" s="257"/>
      <c r="BA179" s="257"/>
      <c r="BB179" s="112"/>
      <c r="BC179" s="112"/>
      <c r="BD179" s="112"/>
      <c r="BE179" s="112"/>
      <c r="BF179" s="113"/>
      <c r="BG179" s="113"/>
      <c r="BH179" s="113"/>
      <c r="BI179" s="113"/>
      <c r="BJ179" s="113"/>
      <c r="BK179" s="113"/>
      <c r="BL179" s="113"/>
      <c r="BM179" s="113"/>
      <c r="BN179" s="113"/>
      <c r="BO179" s="113"/>
      <c r="BP179" s="113"/>
    </row>
    <row r="180" spans="1:68" ht="13.5" customHeight="1">
      <c r="A180" s="708" t="s">
        <v>899</v>
      </c>
      <c r="B180" s="707"/>
      <c r="C180" s="256" t="s">
        <v>308</v>
      </c>
      <c r="D180" s="112" t="s">
        <v>900</v>
      </c>
      <c r="E180" s="112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857">
        <f>'Veri Girişi'!F107/1000</f>
        <v>0.75</v>
      </c>
      <c r="AH180" s="710"/>
      <c r="AI180" s="710"/>
      <c r="AJ180" s="710"/>
      <c r="AK180" s="583"/>
      <c r="AL180" s="859" t="s">
        <v>365</v>
      </c>
      <c r="AM180" s="707"/>
      <c r="AN180" s="707"/>
      <c r="AO180" s="120"/>
      <c r="AP180" s="120"/>
      <c r="AQ180" s="112"/>
      <c r="AR180" s="257"/>
      <c r="AS180" s="257"/>
      <c r="AT180" s="257"/>
      <c r="AU180" s="257"/>
      <c r="AV180" s="257"/>
      <c r="AW180" s="257"/>
      <c r="AX180" s="257"/>
      <c r="AY180" s="257"/>
      <c r="AZ180" s="257"/>
      <c r="BA180" s="257"/>
      <c r="BB180" s="112"/>
      <c r="BC180" s="112"/>
      <c r="BD180" s="112"/>
      <c r="BE180" s="112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/>
      <c r="BP180" s="113"/>
    </row>
    <row r="181" spans="1:68" ht="13.5" customHeight="1">
      <c r="A181" s="708" t="s">
        <v>629</v>
      </c>
      <c r="B181" s="707"/>
      <c r="C181" s="256" t="s">
        <v>308</v>
      </c>
      <c r="D181" s="112" t="s">
        <v>901</v>
      </c>
      <c r="E181" s="112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858">
        <v>200</v>
      </c>
      <c r="AH181" s="710"/>
      <c r="AI181" s="710"/>
      <c r="AJ181" s="710"/>
      <c r="AK181" s="583"/>
      <c r="AL181" s="859" t="s">
        <v>902</v>
      </c>
      <c r="AM181" s="707"/>
      <c r="AN181" s="707"/>
      <c r="AO181" s="120"/>
      <c r="AP181" s="120"/>
      <c r="AQ181" s="112"/>
      <c r="AR181" s="257"/>
      <c r="AS181" s="257"/>
      <c r="AT181" s="257"/>
      <c r="AU181" s="257"/>
      <c r="AV181" s="257"/>
      <c r="AW181" s="257"/>
      <c r="AX181" s="257"/>
      <c r="AY181" s="257"/>
      <c r="AZ181" s="257"/>
      <c r="BA181" s="257"/>
      <c r="BB181" s="112"/>
      <c r="BC181" s="112"/>
      <c r="BD181" s="112"/>
      <c r="BE181" s="112"/>
      <c r="BF181" s="113"/>
      <c r="BG181" s="113"/>
      <c r="BH181" s="113"/>
      <c r="BI181" s="113"/>
      <c r="BJ181" s="113"/>
      <c r="BK181" s="113"/>
      <c r="BL181" s="113"/>
      <c r="BM181" s="113"/>
      <c r="BN181" s="113"/>
      <c r="BO181" s="113"/>
      <c r="BP181" s="113"/>
    </row>
    <row r="182" spans="1:68" ht="13.5" customHeight="1">
      <c r="A182" s="708" t="s">
        <v>934</v>
      </c>
      <c r="B182" s="707"/>
      <c r="C182" s="256" t="s">
        <v>308</v>
      </c>
      <c r="D182" s="112" t="s">
        <v>935</v>
      </c>
      <c r="E182" s="112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857">
        <f>AG176*AG177</f>
        <v>4</v>
      </c>
      <c r="AH182" s="710"/>
      <c r="AI182" s="710"/>
      <c r="AJ182" s="710"/>
      <c r="AK182" s="583"/>
      <c r="AL182" s="859" t="s">
        <v>444</v>
      </c>
      <c r="AM182" s="707"/>
      <c r="AN182" s="707"/>
      <c r="AO182" s="120"/>
      <c r="AP182" s="120"/>
      <c r="AQ182" s="112"/>
      <c r="AR182" s="257"/>
      <c r="AS182" s="257"/>
      <c r="AT182" s="257"/>
      <c r="AU182" s="257"/>
      <c r="AV182" s="257"/>
      <c r="AW182" s="257"/>
      <c r="AX182" s="257"/>
      <c r="AY182" s="257"/>
      <c r="AZ182" s="257"/>
      <c r="BA182" s="257"/>
      <c r="BB182" s="112"/>
      <c r="BC182" s="112"/>
      <c r="BD182" s="112"/>
      <c r="BE182" s="112"/>
      <c r="BF182" s="113"/>
      <c r="BG182" s="113"/>
      <c r="BH182" s="113"/>
      <c r="BI182" s="113"/>
      <c r="BJ182" s="113"/>
      <c r="BK182" s="113"/>
      <c r="BL182" s="113"/>
      <c r="BM182" s="113"/>
      <c r="BN182" s="113"/>
      <c r="BO182" s="113"/>
      <c r="BP182" s="113"/>
    </row>
    <row r="183" spans="1:68" ht="13.5" customHeight="1">
      <c r="A183" s="708" t="s">
        <v>905</v>
      </c>
      <c r="B183" s="707"/>
      <c r="C183" s="256" t="s">
        <v>308</v>
      </c>
      <c r="D183" s="112" t="s">
        <v>906</v>
      </c>
      <c r="E183" s="112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883">
        <v>1.25</v>
      </c>
      <c r="AH183" s="637"/>
      <c r="AI183" s="637"/>
      <c r="AJ183" s="637"/>
      <c r="AK183" s="690"/>
      <c r="AL183" s="859"/>
      <c r="AM183" s="707"/>
      <c r="AN183" s="707"/>
      <c r="AO183" s="120"/>
      <c r="AP183" s="120"/>
      <c r="AQ183" s="112"/>
      <c r="AR183" s="257"/>
      <c r="AS183" s="257"/>
      <c r="AT183" s="257"/>
      <c r="AU183" s="257"/>
      <c r="AV183" s="257"/>
      <c r="AW183" s="257"/>
      <c r="AX183" s="257"/>
      <c r="AY183" s="257"/>
      <c r="AZ183" s="257"/>
      <c r="BA183" s="257"/>
      <c r="BB183" s="112"/>
      <c r="BC183" s="112"/>
      <c r="BD183" s="112"/>
      <c r="BE183" s="112"/>
      <c r="BF183" s="113"/>
      <c r="BG183" s="113"/>
      <c r="BH183" s="113"/>
      <c r="BI183" s="113"/>
      <c r="BJ183" s="113"/>
      <c r="BK183" s="113"/>
      <c r="BL183" s="113"/>
      <c r="BM183" s="113"/>
      <c r="BN183" s="113"/>
      <c r="BO183" s="113"/>
      <c r="BP183" s="113"/>
    </row>
    <row r="184" spans="1:68" ht="13.5" customHeight="1">
      <c r="A184" s="708" t="s">
        <v>274</v>
      </c>
      <c r="B184" s="707"/>
      <c r="C184" s="256" t="s">
        <v>308</v>
      </c>
      <c r="D184" s="112" t="s">
        <v>907</v>
      </c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  <c r="AB184" s="275"/>
      <c r="AC184" s="275"/>
      <c r="AD184" s="275"/>
      <c r="AE184" s="275"/>
      <c r="AF184" s="275"/>
      <c r="AG184" s="888">
        <f>VLOOKUP(AG198,D111:R121,11,1)</f>
        <v>0.17</v>
      </c>
      <c r="AH184" s="710"/>
      <c r="AI184" s="710"/>
      <c r="AJ184" s="710"/>
      <c r="AK184" s="583"/>
      <c r="AL184" s="720"/>
      <c r="AM184" s="707"/>
      <c r="AN184" s="707"/>
      <c r="AO184" s="120"/>
      <c r="AP184" s="120"/>
      <c r="AQ184" s="112"/>
      <c r="AR184" s="257"/>
      <c r="AS184" s="257"/>
      <c r="AT184" s="257"/>
      <c r="AU184" s="257"/>
      <c r="AV184" s="257"/>
      <c r="AW184" s="257"/>
      <c r="AX184" s="257"/>
      <c r="AY184" s="257"/>
      <c r="AZ184" s="257"/>
      <c r="BA184" s="257"/>
      <c r="BB184" s="112"/>
      <c r="BC184" s="112"/>
      <c r="BD184" s="112"/>
      <c r="BE184" s="112"/>
      <c r="BF184" s="113"/>
      <c r="BG184" s="113"/>
      <c r="BH184" s="113"/>
      <c r="BI184" s="113"/>
      <c r="BJ184" s="113"/>
      <c r="BK184" s="113"/>
      <c r="BL184" s="113"/>
      <c r="BM184" s="113"/>
      <c r="BN184" s="113"/>
      <c r="BO184" s="113"/>
      <c r="BP184" s="113"/>
    </row>
    <row r="185" spans="1:68" ht="13.5" customHeight="1">
      <c r="A185" s="708" t="s">
        <v>374</v>
      </c>
      <c r="B185" s="707"/>
      <c r="C185" s="256" t="s">
        <v>308</v>
      </c>
      <c r="D185" s="112" t="s">
        <v>908</v>
      </c>
      <c r="E185" s="112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892">
        <f>ROUNDUP(T208,0)</f>
        <v>3</v>
      </c>
      <c r="AH185" s="724"/>
      <c r="AI185" s="724"/>
      <c r="AJ185" s="724"/>
      <c r="AK185" s="727"/>
      <c r="AL185" s="859" t="s">
        <v>324</v>
      </c>
      <c r="AM185" s="707"/>
      <c r="AN185" s="707"/>
      <c r="AO185" s="120"/>
      <c r="AP185" s="120"/>
      <c r="AQ185" s="112"/>
      <c r="AR185" s="257"/>
      <c r="AS185" s="257"/>
      <c r="AT185" s="257"/>
      <c r="AU185" s="257"/>
      <c r="AV185" s="257"/>
      <c r="AW185" s="257"/>
      <c r="AX185" s="257"/>
      <c r="AY185" s="257"/>
      <c r="AZ185" s="257"/>
      <c r="BA185" s="257"/>
      <c r="BB185" s="112"/>
      <c r="BC185" s="112"/>
      <c r="BD185" s="112"/>
      <c r="BE185" s="112"/>
      <c r="BF185" s="113"/>
      <c r="BG185" s="113"/>
      <c r="BH185" s="113"/>
      <c r="BI185" s="113"/>
      <c r="BJ185" s="113"/>
      <c r="BK185" s="113"/>
      <c r="BL185" s="113"/>
      <c r="BM185" s="113"/>
      <c r="BN185" s="113"/>
      <c r="BO185" s="113"/>
      <c r="BP185" s="113"/>
    </row>
    <row r="186" spans="1:68" ht="13.5" customHeight="1">
      <c r="A186" s="708" t="s">
        <v>909</v>
      </c>
      <c r="B186" s="707"/>
      <c r="C186" s="256" t="s">
        <v>308</v>
      </c>
      <c r="D186" s="112" t="s">
        <v>910</v>
      </c>
      <c r="E186" s="112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858">
        <f>AG203</f>
        <v>5882.3529411764703</v>
      </c>
      <c r="AH186" s="710"/>
      <c r="AI186" s="710"/>
      <c r="AJ186" s="710"/>
      <c r="AK186" s="583"/>
      <c r="AL186" s="859" t="s">
        <v>911</v>
      </c>
      <c r="AM186" s="707"/>
      <c r="AN186" s="707"/>
      <c r="AO186" s="120"/>
      <c r="AP186" s="120"/>
      <c r="AQ186" s="112"/>
      <c r="AR186" s="257"/>
      <c r="AS186" s="257"/>
      <c r="AT186" s="257"/>
      <c r="AU186" s="257"/>
      <c r="AV186" s="257"/>
      <c r="AW186" s="257"/>
      <c r="AX186" s="257"/>
      <c r="AY186" s="257"/>
      <c r="AZ186" s="257"/>
      <c r="BA186" s="257"/>
      <c r="BB186" s="112"/>
      <c r="BC186" s="112"/>
      <c r="BD186" s="112"/>
      <c r="BE186" s="112"/>
      <c r="BF186" s="113"/>
      <c r="BG186" s="113"/>
      <c r="BH186" s="113"/>
      <c r="BI186" s="113"/>
      <c r="BJ186" s="113"/>
      <c r="BK186" s="113"/>
      <c r="BL186" s="113"/>
      <c r="BM186" s="113"/>
      <c r="BN186" s="113"/>
      <c r="BO186" s="113"/>
      <c r="BP186" s="113"/>
    </row>
    <row r="187" spans="1:68" ht="13.5" customHeight="1">
      <c r="A187" s="708" t="s">
        <v>912</v>
      </c>
      <c r="B187" s="707"/>
      <c r="C187" s="256" t="s">
        <v>308</v>
      </c>
      <c r="D187" s="112" t="s">
        <v>913</v>
      </c>
      <c r="E187" s="112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858">
        <v>2100</v>
      </c>
      <c r="AH187" s="710"/>
      <c r="AI187" s="710"/>
      <c r="AJ187" s="710"/>
      <c r="AK187" s="583"/>
      <c r="AL187" s="859" t="s">
        <v>911</v>
      </c>
      <c r="AM187" s="707"/>
      <c r="AN187" s="707"/>
      <c r="AO187" s="120"/>
      <c r="AP187" s="120"/>
      <c r="AQ187" s="112"/>
      <c r="AR187" s="257"/>
      <c r="AS187" s="257"/>
      <c r="AT187" s="257"/>
      <c r="AU187" s="257"/>
      <c r="AV187" s="257"/>
      <c r="AW187" s="257"/>
      <c r="AX187" s="257"/>
      <c r="AY187" s="257"/>
      <c r="AZ187" s="257"/>
      <c r="BA187" s="257"/>
      <c r="BB187" s="112"/>
      <c r="BC187" s="112"/>
      <c r="BD187" s="112"/>
      <c r="BE187" s="112"/>
      <c r="BF187" s="113"/>
      <c r="BG187" s="113"/>
      <c r="BH187" s="113"/>
      <c r="BI187" s="113"/>
      <c r="BJ187" s="113"/>
      <c r="BK187" s="113"/>
      <c r="BL187" s="113"/>
      <c r="BM187" s="113"/>
      <c r="BN187" s="113"/>
      <c r="BO187" s="113"/>
      <c r="BP187" s="113"/>
    </row>
    <row r="188" spans="1:68" ht="13.5" customHeight="1">
      <c r="A188" s="708" t="s">
        <v>881</v>
      </c>
      <c r="B188" s="707"/>
      <c r="C188" s="256" t="s">
        <v>308</v>
      </c>
      <c r="D188" s="112" t="s">
        <v>914</v>
      </c>
      <c r="E188" s="112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857">
        <v>0.8</v>
      </c>
      <c r="AH188" s="710"/>
      <c r="AI188" s="710"/>
      <c r="AJ188" s="710"/>
      <c r="AK188" s="583"/>
      <c r="AL188" s="859"/>
      <c r="AM188" s="707"/>
      <c r="AN188" s="707"/>
      <c r="AO188" s="120"/>
      <c r="AP188" s="120"/>
      <c r="AQ188" s="112"/>
      <c r="AR188" s="257"/>
      <c r="AS188" s="257"/>
      <c r="AT188" s="257"/>
      <c r="AU188" s="257"/>
      <c r="AV188" s="257"/>
      <c r="AW188" s="257"/>
      <c r="AX188" s="257"/>
      <c r="AY188" s="257"/>
      <c r="AZ188" s="257"/>
      <c r="BA188" s="257"/>
      <c r="BB188" s="112"/>
      <c r="BC188" s="112"/>
      <c r="BD188" s="112"/>
      <c r="BE188" s="112"/>
      <c r="BF188" s="113"/>
      <c r="BG188" s="113"/>
      <c r="BH188" s="113"/>
      <c r="BI188" s="113"/>
      <c r="BJ188" s="113"/>
      <c r="BK188" s="113"/>
      <c r="BL188" s="113"/>
      <c r="BM188" s="113"/>
      <c r="BN188" s="113"/>
      <c r="BO188" s="113"/>
      <c r="BP188" s="113"/>
    </row>
    <row r="189" spans="1:68" ht="13.5" customHeight="1">
      <c r="A189" s="708" t="s">
        <v>649</v>
      </c>
      <c r="B189" s="707"/>
      <c r="C189" s="256" t="s">
        <v>308</v>
      </c>
      <c r="D189" s="112" t="s">
        <v>915</v>
      </c>
      <c r="E189" s="112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857">
        <v>0.5</v>
      </c>
      <c r="AH189" s="710"/>
      <c r="AI189" s="710"/>
      <c r="AJ189" s="710"/>
      <c r="AK189" s="583"/>
      <c r="AL189" s="859"/>
      <c r="AM189" s="707"/>
      <c r="AN189" s="707"/>
      <c r="AO189" s="120"/>
      <c r="AP189" s="120"/>
      <c r="AQ189" s="112"/>
      <c r="AR189" s="257"/>
      <c r="AS189" s="257"/>
      <c r="AT189" s="257"/>
      <c r="AU189" s="257"/>
      <c r="AV189" s="257"/>
      <c r="AW189" s="257"/>
      <c r="AX189" s="257"/>
      <c r="AY189" s="257"/>
      <c r="AZ189" s="257"/>
      <c r="BA189" s="257"/>
      <c r="BB189" s="112"/>
      <c r="BC189" s="112"/>
      <c r="BD189" s="112"/>
      <c r="BE189" s="112"/>
      <c r="BF189" s="113"/>
      <c r="BG189" s="113"/>
      <c r="BH189" s="113"/>
      <c r="BI189" s="113"/>
      <c r="BJ189" s="113"/>
      <c r="BK189" s="113"/>
      <c r="BL189" s="113"/>
      <c r="BM189" s="113"/>
      <c r="BN189" s="113"/>
      <c r="BO189" s="113"/>
      <c r="BP189" s="113"/>
    </row>
    <row r="190" spans="1:68" ht="13.5" customHeight="1">
      <c r="A190" s="708" t="s">
        <v>882</v>
      </c>
      <c r="B190" s="707"/>
      <c r="C190" s="256" t="s">
        <v>308</v>
      </c>
      <c r="D190" s="112" t="s">
        <v>916</v>
      </c>
      <c r="E190" s="112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883">
        <v>0.3</v>
      </c>
      <c r="AH190" s="637"/>
      <c r="AI190" s="637"/>
      <c r="AJ190" s="637"/>
      <c r="AK190" s="690"/>
      <c r="AL190" s="859"/>
      <c r="AM190" s="707"/>
      <c r="AN190" s="707"/>
      <c r="AO190" s="120"/>
      <c r="AP190" s="120"/>
      <c r="AQ190" s="112"/>
      <c r="AR190" s="257"/>
      <c r="AS190" s="257"/>
      <c r="AT190" s="257"/>
      <c r="AU190" s="257"/>
      <c r="AV190" s="257"/>
      <c r="AW190" s="257"/>
      <c r="AX190" s="257"/>
      <c r="AY190" s="257"/>
      <c r="AZ190" s="257"/>
      <c r="BA190" s="257"/>
      <c r="BB190" s="112"/>
      <c r="BC190" s="112"/>
      <c r="BD190" s="112"/>
      <c r="BE190" s="112"/>
      <c r="BF190" s="113"/>
      <c r="BG190" s="113"/>
      <c r="BH190" s="113"/>
      <c r="BI190" s="113"/>
      <c r="BJ190" s="113"/>
      <c r="BK190" s="113"/>
      <c r="BL190" s="113"/>
      <c r="BM190" s="113"/>
      <c r="BN190" s="113"/>
      <c r="BO190" s="113"/>
      <c r="BP190" s="113"/>
    </row>
    <row r="191" spans="1:68" ht="9.75" customHeight="1">
      <c r="A191" s="720"/>
      <c r="B191" s="707"/>
      <c r="C191" s="256"/>
      <c r="D191" s="112"/>
      <c r="E191" s="112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277"/>
      <c r="AH191" s="277"/>
      <c r="AI191" s="277"/>
      <c r="AJ191" s="277"/>
      <c r="AK191" s="277"/>
      <c r="AL191" s="115"/>
      <c r="AM191" s="115"/>
      <c r="AN191" s="115"/>
      <c r="AO191" s="120"/>
      <c r="AP191" s="120"/>
      <c r="AQ191" s="112"/>
      <c r="AR191" s="257"/>
      <c r="AS191" s="257"/>
      <c r="AT191" s="257"/>
      <c r="AU191" s="257"/>
      <c r="AV191" s="257"/>
      <c r="AW191" s="257"/>
      <c r="AX191" s="257"/>
      <c r="AY191" s="257"/>
      <c r="AZ191" s="257"/>
      <c r="BA191" s="257"/>
      <c r="BB191" s="112"/>
      <c r="BC191" s="112"/>
      <c r="BD191" s="112"/>
      <c r="BE191" s="112"/>
      <c r="BF191" s="113"/>
      <c r="BG191" s="113"/>
      <c r="BH191" s="113"/>
      <c r="BI191" s="113"/>
      <c r="BJ191" s="113"/>
      <c r="BK191" s="113"/>
      <c r="BL191" s="113"/>
      <c r="BM191" s="113"/>
      <c r="BN191" s="113"/>
      <c r="BO191" s="113"/>
      <c r="BP191" s="113"/>
    </row>
    <row r="192" spans="1:68" ht="12.75" customHeight="1">
      <c r="A192" s="278" t="s">
        <v>917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  <c r="BE192" s="112"/>
      <c r="BF192" s="113"/>
      <c r="BG192" s="113"/>
      <c r="BH192" s="113"/>
      <c r="BI192" s="113"/>
      <c r="BJ192" s="113"/>
      <c r="BK192" s="113"/>
      <c r="BL192" s="113"/>
      <c r="BM192" s="113"/>
      <c r="BN192" s="113"/>
      <c r="BO192" s="113"/>
      <c r="BP192" s="113"/>
    </row>
    <row r="193" spans="1:68" ht="6" customHeight="1">
      <c r="A193" s="118"/>
      <c r="B193" s="118"/>
      <c r="C193" s="119"/>
      <c r="D193" s="118"/>
      <c r="E193" s="118"/>
      <c r="F193" s="119"/>
      <c r="G193" s="118"/>
      <c r="H193" s="118"/>
      <c r="I193" s="113"/>
      <c r="J193" s="118"/>
      <c r="K193" s="118"/>
      <c r="L193" s="118"/>
      <c r="M193" s="118"/>
      <c r="N193" s="119"/>
      <c r="O193" s="118"/>
      <c r="P193" s="118"/>
      <c r="Q193" s="118"/>
      <c r="R193" s="119"/>
      <c r="S193" s="113"/>
      <c r="T193" s="113"/>
      <c r="U193" s="113"/>
      <c r="V193" s="119"/>
      <c r="W193" s="119"/>
      <c r="X193" s="119"/>
      <c r="Y193" s="119"/>
      <c r="Z193" s="119"/>
      <c r="AA193" s="113"/>
      <c r="AB193" s="114"/>
      <c r="AC193" s="114"/>
      <c r="AD193" s="114"/>
      <c r="AE193" s="119"/>
      <c r="AF193" s="119"/>
      <c r="AG193" s="119"/>
      <c r="AH193" s="271"/>
      <c r="AI193" s="271"/>
      <c r="AJ193" s="271"/>
      <c r="AK193" s="271"/>
      <c r="AL193" s="271"/>
      <c r="AM193" s="271"/>
      <c r="AN193" s="271"/>
      <c r="AO193" s="271"/>
      <c r="AP193" s="271"/>
      <c r="AQ193" s="271"/>
      <c r="AR193" s="273"/>
      <c r="AS193" s="273"/>
      <c r="AT193" s="273"/>
      <c r="AU193" s="273"/>
      <c r="AV193" s="273"/>
      <c r="AW193" s="115"/>
      <c r="AX193" s="115"/>
      <c r="AY193" s="115"/>
      <c r="AZ193" s="115"/>
      <c r="BA193" s="112"/>
      <c r="BB193" s="112"/>
      <c r="BC193" s="112"/>
      <c r="BD193" s="112"/>
      <c r="BE193" s="112"/>
      <c r="BF193" s="113"/>
      <c r="BG193" s="113"/>
      <c r="BH193" s="113"/>
      <c r="BI193" s="113"/>
      <c r="BJ193" s="113"/>
      <c r="BK193" s="113"/>
      <c r="BL193" s="113"/>
      <c r="BM193" s="113"/>
      <c r="BN193" s="113"/>
      <c r="BO193" s="113"/>
      <c r="BP193" s="113"/>
    </row>
    <row r="194" spans="1:68" ht="14.25" customHeight="1">
      <c r="A194" s="737" t="s">
        <v>934</v>
      </c>
      <c r="B194" s="707"/>
      <c r="C194" s="130" t="s">
        <v>262</v>
      </c>
      <c r="D194" s="737" t="s">
        <v>928</v>
      </c>
      <c r="E194" s="707"/>
      <c r="F194" s="130" t="s">
        <v>357</v>
      </c>
      <c r="G194" s="737" t="s">
        <v>930</v>
      </c>
      <c r="H194" s="707"/>
      <c r="I194" s="130"/>
      <c r="J194" s="130"/>
      <c r="K194" s="737" t="s">
        <v>934</v>
      </c>
      <c r="L194" s="707"/>
      <c r="M194" s="130" t="s">
        <v>262</v>
      </c>
      <c r="N194" s="764">
        <f>AG176</f>
        <v>2.5</v>
      </c>
      <c r="O194" s="707"/>
      <c r="P194" s="707"/>
      <c r="Q194" s="130" t="s">
        <v>357</v>
      </c>
      <c r="R194" s="764">
        <f>AG177</f>
        <v>1.6</v>
      </c>
      <c r="S194" s="707"/>
      <c r="T194" s="707"/>
      <c r="U194" s="130"/>
      <c r="V194" s="130"/>
      <c r="W194" s="737" t="s">
        <v>934</v>
      </c>
      <c r="X194" s="707"/>
      <c r="Y194" s="130" t="s">
        <v>262</v>
      </c>
      <c r="Z194" s="764">
        <f>N194*R194</f>
        <v>4</v>
      </c>
      <c r="AA194" s="707"/>
      <c r="AB194" s="707"/>
      <c r="AC194" s="130" t="s">
        <v>444</v>
      </c>
      <c r="AD194" s="130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860"/>
      <c r="AS194" s="707"/>
      <c r="AT194" s="252"/>
      <c r="AU194" s="252"/>
      <c r="AV194" s="252"/>
      <c r="AW194" s="252"/>
      <c r="AX194" s="252"/>
      <c r="AY194" s="112"/>
      <c r="AZ194" s="112"/>
      <c r="BA194" s="112"/>
      <c r="BB194" s="112"/>
      <c r="BC194" s="112"/>
      <c r="BD194" s="112"/>
      <c r="BE194" s="112"/>
      <c r="BF194" s="113"/>
      <c r="BG194" s="113"/>
      <c r="BH194" s="113"/>
      <c r="BI194" s="113"/>
      <c r="BJ194" s="113"/>
      <c r="BK194" s="113"/>
      <c r="BL194" s="113"/>
      <c r="BM194" s="113"/>
      <c r="BN194" s="113"/>
      <c r="BO194" s="113"/>
      <c r="BP194" s="113"/>
    </row>
    <row r="195" spans="1:68" ht="6" customHeight="1">
      <c r="A195" s="118"/>
      <c r="B195" s="118"/>
      <c r="C195" s="119"/>
      <c r="D195" s="118"/>
      <c r="E195" s="118"/>
      <c r="F195" s="119"/>
      <c r="G195" s="118"/>
      <c r="H195" s="118"/>
      <c r="I195" s="113"/>
      <c r="J195" s="118"/>
      <c r="K195" s="118"/>
      <c r="L195" s="118"/>
      <c r="M195" s="118"/>
      <c r="N195" s="119"/>
      <c r="O195" s="118"/>
      <c r="P195" s="118"/>
      <c r="Q195" s="118"/>
      <c r="R195" s="119"/>
      <c r="S195" s="113"/>
      <c r="T195" s="113"/>
      <c r="U195" s="113"/>
      <c r="V195" s="119"/>
      <c r="W195" s="119"/>
      <c r="X195" s="119"/>
      <c r="Y195" s="119"/>
      <c r="Z195" s="119"/>
      <c r="AA195" s="113"/>
      <c r="AB195" s="114"/>
      <c r="AC195" s="114"/>
      <c r="AD195" s="114"/>
      <c r="AE195" s="119"/>
      <c r="AF195" s="119"/>
      <c r="AG195" s="119"/>
      <c r="AH195" s="271"/>
      <c r="AI195" s="271"/>
      <c r="AJ195" s="271"/>
      <c r="AK195" s="271"/>
      <c r="AL195" s="271"/>
      <c r="AM195" s="271"/>
      <c r="AN195" s="271"/>
      <c r="AO195" s="271"/>
      <c r="AP195" s="271"/>
      <c r="AQ195" s="271"/>
      <c r="AR195" s="273"/>
      <c r="AS195" s="273"/>
      <c r="AT195" s="273"/>
      <c r="AU195" s="273"/>
      <c r="AV195" s="273"/>
      <c r="AW195" s="115"/>
      <c r="AX195" s="115"/>
      <c r="AY195" s="115"/>
      <c r="AZ195" s="115"/>
      <c r="BA195" s="112"/>
      <c r="BB195" s="112"/>
      <c r="BC195" s="112"/>
      <c r="BD195" s="112"/>
      <c r="BE195" s="112"/>
      <c r="BF195" s="113"/>
      <c r="BG195" s="113"/>
      <c r="BH195" s="113"/>
      <c r="BI195" s="113"/>
      <c r="BJ195" s="113"/>
      <c r="BK195" s="113"/>
      <c r="BL195" s="113"/>
      <c r="BM195" s="113"/>
      <c r="BN195" s="113"/>
      <c r="BO195" s="113"/>
      <c r="BP195" s="113"/>
    </row>
    <row r="196" spans="1:68" ht="12.75" customHeight="1">
      <c r="A196" s="278" t="s">
        <v>918</v>
      </c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  <c r="BE196" s="112"/>
      <c r="BF196" s="113"/>
      <c r="BG196" s="113"/>
      <c r="BH196" s="113"/>
      <c r="BI196" s="113"/>
      <c r="BJ196" s="113"/>
      <c r="BK196" s="113"/>
      <c r="BL196" s="113"/>
      <c r="BM196" s="113"/>
      <c r="BN196" s="113"/>
      <c r="BO196" s="113"/>
      <c r="BP196" s="113"/>
    </row>
    <row r="197" spans="1:68" ht="6" customHeight="1">
      <c r="A197" s="118"/>
      <c r="B197" s="118"/>
      <c r="C197" s="119"/>
      <c r="D197" s="118"/>
      <c r="E197" s="118"/>
      <c r="F197" s="119"/>
      <c r="G197" s="118"/>
      <c r="H197" s="118"/>
      <c r="I197" s="113"/>
      <c r="J197" s="118"/>
      <c r="K197" s="118"/>
      <c r="L197" s="118"/>
      <c r="M197" s="118"/>
      <c r="N197" s="119"/>
      <c r="O197" s="118"/>
      <c r="P197" s="118"/>
      <c r="Q197" s="118"/>
      <c r="R197" s="119"/>
      <c r="S197" s="113"/>
      <c r="T197" s="113"/>
      <c r="U197" s="113"/>
      <c r="V197" s="119"/>
      <c r="W197" s="119"/>
      <c r="X197" s="119"/>
      <c r="Y197" s="119"/>
      <c r="Z197" s="119"/>
      <c r="AA197" s="113"/>
      <c r="AB197" s="114"/>
      <c r="AC197" s="114"/>
      <c r="AD197" s="114"/>
      <c r="AE197" s="119"/>
      <c r="AF197" s="119"/>
      <c r="AG197" s="119"/>
      <c r="AH197" s="271"/>
      <c r="AI197" s="271"/>
      <c r="AJ197" s="271"/>
      <c r="AK197" s="271"/>
      <c r="AL197" s="271"/>
      <c r="AM197" s="271"/>
      <c r="AN197" s="271"/>
      <c r="AO197" s="271"/>
      <c r="AP197" s="271"/>
      <c r="AQ197" s="271"/>
      <c r="AR197" s="273"/>
      <c r="AS197" s="273"/>
      <c r="AT197" s="273"/>
      <c r="AU197" s="273"/>
      <c r="AV197" s="273"/>
      <c r="AW197" s="115"/>
      <c r="AX197" s="115"/>
      <c r="AY197" s="115"/>
      <c r="AZ197" s="115"/>
      <c r="BA197" s="112"/>
      <c r="BB197" s="112"/>
      <c r="BC197" s="112"/>
      <c r="BD197" s="112"/>
      <c r="BE197" s="112"/>
      <c r="BF197" s="113"/>
      <c r="BG197" s="113"/>
      <c r="BH197" s="113"/>
      <c r="BI197" s="113"/>
      <c r="BJ197" s="113"/>
      <c r="BK197" s="113"/>
      <c r="BL197" s="113"/>
      <c r="BM197" s="113"/>
      <c r="BN197" s="113"/>
      <c r="BO197" s="113"/>
      <c r="BP197" s="113"/>
    </row>
    <row r="198" spans="1:68" ht="15" customHeight="1">
      <c r="A198" s="721" t="s">
        <v>325</v>
      </c>
      <c r="B198" s="721" t="s">
        <v>262</v>
      </c>
      <c r="C198" s="760" t="s">
        <v>934</v>
      </c>
      <c r="D198" s="724"/>
      <c r="E198" s="724"/>
      <c r="F198" s="724"/>
      <c r="G198" s="724"/>
      <c r="H198" s="724"/>
      <c r="I198" s="724"/>
      <c r="J198" s="144"/>
      <c r="K198" s="144"/>
      <c r="L198" s="144"/>
      <c r="M198" s="721" t="s">
        <v>325</v>
      </c>
      <c r="N198" s="721" t="s">
        <v>262</v>
      </c>
      <c r="O198" s="786">
        <f>Z194</f>
        <v>4</v>
      </c>
      <c r="P198" s="724"/>
      <c r="Q198" s="724"/>
      <c r="R198" s="724"/>
      <c r="S198" s="724"/>
      <c r="T198" s="724"/>
      <c r="U198" s="724"/>
      <c r="V198" s="724"/>
      <c r="W198" s="724"/>
      <c r="X198" s="724"/>
      <c r="Y198" s="724"/>
      <c r="Z198" s="724"/>
      <c r="AA198" s="724"/>
      <c r="AB198" s="144"/>
      <c r="AC198" s="144"/>
      <c r="AD198" s="144"/>
      <c r="AE198" s="721" t="s">
        <v>325</v>
      </c>
      <c r="AF198" s="721" t="s">
        <v>262</v>
      </c>
      <c r="AG198" s="734">
        <f>O198/(O199*(T199+X199))</f>
        <v>0.43360433604336046</v>
      </c>
      <c r="AH198" s="707"/>
      <c r="AI198" s="707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  <c r="BE198" s="112"/>
      <c r="BF198" s="113"/>
      <c r="BG198" s="113"/>
      <c r="BH198" s="113"/>
      <c r="BI198" s="113"/>
      <c r="BJ198" s="113"/>
      <c r="BK198" s="113"/>
      <c r="BL198" s="113"/>
      <c r="BM198" s="113"/>
      <c r="BN198" s="113"/>
      <c r="BO198" s="113"/>
      <c r="BP198" s="113"/>
    </row>
    <row r="199" spans="1:68" ht="13.5" customHeight="1">
      <c r="A199" s="707"/>
      <c r="B199" s="707"/>
      <c r="C199" s="779" t="s">
        <v>936</v>
      </c>
      <c r="D199" s="637"/>
      <c r="E199" s="637"/>
      <c r="F199" s="637"/>
      <c r="G199" s="637"/>
      <c r="H199" s="637"/>
      <c r="I199" s="637"/>
      <c r="J199" s="130"/>
      <c r="K199" s="137"/>
      <c r="L199" s="137"/>
      <c r="M199" s="707"/>
      <c r="N199" s="707"/>
      <c r="O199" s="848">
        <f>AG179-AG180</f>
        <v>2.25</v>
      </c>
      <c r="P199" s="637"/>
      <c r="Q199" s="637"/>
      <c r="R199" s="239" t="s">
        <v>357</v>
      </c>
      <c r="S199" s="239" t="s">
        <v>413</v>
      </c>
      <c r="T199" s="848">
        <f>AG176</f>
        <v>2.5</v>
      </c>
      <c r="U199" s="637"/>
      <c r="V199" s="637"/>
      <c r="W199" s="179" t="s">
        <v>316</v>
      </c>
      <c r="X199" s="848">
        <f>AG177</f>
        <v>1.6</v>
      </c>
      <c r="Y199" s="637"/>
      <c r="Z199" s="637"/>
      <c r="AA199" s="239" t="s">
        <v>414</v>
      </c>
      <c r="AB199" s="130"/>
      <c r="AC199" s="130"/>
      <c r="AD199" s="130"/>
      <c r="AE199" s="707"/>
      <c r="AF199" s="707"/>
      <c r="AG199" s="707"/>
      <c r="AH199" s="707"/>
      <c r="AI199" s="707"/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9"/>
      <c r="BC199" s="119"/>
      <c r="BD199" s="119"/>
      <c r="BE199" s="119"/>
      <c r="BF199" s="113"/>
      <c r="BG199" s="113"/>
      <c r="BH199" s="113"/>
      <c r="BI199" s="113"/>
      <c r="BJ199" s="113"/>
      <c r="BK199" s="113"/>
      <c r="BL199" s="113"/>
      <c r="BM199" s="113"/>
      <c r="BN199" s="113"/>
      <c r="BO199" s="113"/>
      <c r="BP199" s="113"/>
    </row>
    <row r="200" spans="1:68" ht="6" customHeight="1">
      <c r="A200" s="118"/>
      <c r="B200" s="118"/>
      <c r="C200" s="119"/>
      <c r="D200" s="118"/>
      <c r="E200" s="118"/>
      <c r="F200" s="119"/>
      <c r="G200" s="118"/>
      <c r="H200" s="118"/>
      <c r="I200" s="113"/>
      <c r="J200" s="118"/>
      <c r="K200" s="118"/>
      <c r="L200" s="118"/>
      <c r="M200" s="118"/>
      <c r="N200" s="119"/>
      <c r="O200" s="118"/>
      <c r="P200" s="118"/>
      <c r="Q200" s="118"/>
      <c r="R200" s="119"/>
      <c r="S200" s="113"/>
      <c r="T200" s="113"/>
      <c r="U200" s="113"/>
      <c r="V200" s="119"/>
      <c r="W200" s="119"/>
      <c r="X200" s="119"/>
      <c r="Y200" s="119"/>
      <c r="Z200" s="119"/>
      <c r="AA200" s="113"/>
      <c r="AB200" s="114"/>
      <c r="AC200" s="114"/>
      <c r="AD200" s="114"/>
      <c r="AE200" s="119"/>
      <c r="AF200" s="119"/>
      <c r="AG200" s="119"/>
      <c r="AH200" s="271"/>
      <c r="AI200" s="271"/>
      <c r="AJ200" s="271"/>
      <c r="AK200" s="271"/>
      <c r="AL200" s="271"/>
      <c r="AM200" s="271"/>
      <c r="AN200" s="271"/>
      <c r="AO200" s="271"/>
      <c r="AP200" s="271"/>
      <c r="AQ200" s="271"/>
      <c r="AR200" s="273"/>
      <c r="AS200" s="273"/>
      <c r="AT200" s="273"/>
      <c r="AU200" s="273"/>
      <c r="AV200" s="273"/>
      <c r="AW200" s="115"/>
      <c r="AX200" s="115"/>
      <c r="AY200" s="115"/>
      <c r="AZ200" s="115"/>
      <c r="BA200" s="112"/>
      <c r="BB200" s="112"/>
      <c r="BC200" s="112"/>
      <c r="BD200" s="112"/>
      <c r="BE200" s="112"/>
      <c r="BF200" s="113"/>
      <c r="BG200" s="113"/>
      <c r="BH200" s="113"/>
      <c r="BI200" s="113"/>
      <c r="BJ200" s="113"/>
      <c r="BK200" s="113"/>
      <c r="BL200" s="113"/>
      <c r="BM200" s="113"/>
      <c r="BN200" s="113"/>
      <c r="BO200" s="113"/>
      <c r="BP200" s="113"/>
    </row>
    <row r="201" spans="1:68" ht="12.75" customHeight="1">
      <c r="A201" s="278" t="s">
        <v>920</v>
      </c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  <c r="AA201" s="279"/>
      <c r="AB201" s="279"/>
      <c r="AC201" s="279"/>
      <c r="AD201" s="279"/>
      <c r="AE201" s="279"/>
      <c r="AF201" s="279"/>
      <c r="AG201" s="279"/>
      <c r="AH201" s="279"/>
      <c r="AI201" s="279"/>
      <c r="AJ201" s="279"/>
      <c r="AK201" s="279"/>
      <c r="AL201" s="279"/>
      <c r="AM201" s="279"/>
      <c r="AN201" s="279"/>
      <c r="AO201" s="119"/>
      <c r="AP201" s="119"/>
      <c r="AQ201" s="119"/>
      <c r="AR201" s="119"/>
      <c r="AS201" s="119"/>
      <c r="AT201" s="119"/>
      <c r="AU201" s="119"/>
      <c r="AV201" s="119"/>
      <c r="AW201" s="119"/>
      <c r="AX201" s="113"/>
      <c r="AY201" s="119"/>
      <c r="AZ201" s="119"/>
      <c r="BA201" s="119"/>
      <c r="BB201" s="119"/>
      <c r="BC201" s="119"/>
      <c r="BD201" s="119"/>
      <c r="BE201" s="119"/>
      <c r="BF201" s="113"/>
      <c r="BG201" s="113"/>
      <c r="BH201" s="113"/>
      <c r="BI201" s="113"/>
      <c r="BJ201" s="113"/>
      <c r="BK201" s="113"/>
      <c r="BL201" s="113"/>
      <c r="BM201" s="113"/>
      <c r="BN201" s="113"/>
      <c r="BO201" s="113"/>
      <c r="BP201" s="113"/>
    </row>
    <row r="202" spans="1:68" ht="6" customHeight="1">
      <c r="A202" s="118"/>
      <c r="B202" s="118"/>
      <c r="C202" s="119"/>
      <c r="D202" s="118"/>
      <c r="E202" s="118"/>
      <c r="F202" s="119"/>
      <c r="G202" s="118"/>
      <c r="H202" s="118"/>
      <c r="I202" s="113"/>
      <c r="J202" s="118"/>
      <c r="K202" s="118"/>
      <c r="L202" s="118"/>
      <c r="M202" s="118"/>
      <c r="N202" s="119"/>
      <c r="O202" s="118"/>
      <c r="P202" s="118"/>
      <c r="Q202" s="118"/>
      <c r="R202" s="119"/>
      <c r="S202" s="113"/>
      <c r="T202" s="113"/>
      <c r="U202" s="113"/>
      <c r="V202" s="119"/>
      <c r="W202" s="119"/>
      <c r="X202" s="119"/>
      <c r="Y202" s="119"/>
      <c r="Z202" s="119"/>
      <c r="AA202" s="113"/>
      <c r="AB202" s="114"/>
      <c r="AC202" s="114"/>
      <c r="AD202" s="114"/>
      <c r="AE202" s="119"/>
      <c r="AF202" s="119"/>
      <c r="AG202" s="119"/>
      <c r="AH202" s="271"/>
      <c r="AI202" s="271"/>
      <c r="AJ202" s="271"/>
      <c r="AK202" s="271"/>
      <c r="AL202" s="271"/>
      <c r="AM202" s="271"/>
      <c r="AN202" s="271"/>
      <c r="AO202" s="271"/>
      <c r="AP202" s="271"/>
      <c r="AQ202" s="271"/>
      <c r="AR202" s="273"/>
      <c r="AS202" s="273"/>
      <c r="AT202" s="273"/>
      <c r="AU202" s="273"/>
      <c r="AV202" s="273"/>
      <c r="AW202" s="115"/>
      <c r="AX202" s="115"/>
      <c r="AY202" s="115"/>
      <c r="AZ202" s="115"/>
      <c r="BA202" s="112"/>
      <c r="BB202" s="112"/>
      <c r="BC202" s="112"/>
      <c r="BD202" s="112"/>
      <c r="BE202" s="112"/>
      <c r="BF202" s="113"/>
      <c r="BG202" s="113"/>
      <c r="BH202" s="113"/>
      <c r="BI202" s="113"/>
      <c r="BJ202" s="113"/>
      <c r="BK202" s="113"/>
      <c r="BL202" s="113"/>
      <c r="BM202" s="113"/>
      <c r="BN202" s="113"/>
      <c r="BO202" s="113"/>
      <c r="BP202" s="113"/>
    </row>
    <row r="203" spans="1:68" ht="13.5" customHeight="1">
      <c r="A203" s="721" t="s">
        <v>909</v>
      </c>
      <c r="B203" s="707"/>
      <c r="C203" s="735" t="s">
        <v>262</v>
      </c>
      <c r="D203" s="808" t="s">
        <v>921</v>
      </c>
      <c r="E203" s="724"/>
      <c r="F203" s="724"/>
      <c r="G203" s="724"/>
      <c r="H203" s="724"/>
      <c r="I203" s="724"/>
      <c r="J203" s="724"/>
      <c r="K203" s="140"/>
      <c r="L203" s="140"/>
      <c r="M203" s="140"/>
      <c r="N203" s="721" t="s">
        <v>909</v>
      </c>
      <c r="O203" s="707"/>
      <c r="P203" s="730" t="s">
        <v>262</v>
      </c>
      <c r="Q203" s="723">
        <f>AG183</f>
        <v>1.25</v>
      </c>
      <c r="R203" s="724"/>
      <c r="S203" s="724"/>
      <c r="T203" s="206" t="s">
        <v>357</v>
      </c>
      <c r="U203" s="732">
        <f>AG181</f>
        <v>200</v>
      </c>
      <c r="V203" s="724"/>
      <c r="W203" s="206" t="s">
        <v>357</v>
      </c>
      <c r="X203" s="723">
        <f>Z194</f>
        <v>4</v>
      </c>
      <c r="Y203" s="724"/>
      <c r="Z203" s="724"/>
      <c r="AA203" s="140"/>
      <c r="AB203" s="140"/>
      <c r="AC203" s="140"/>
      <c r="AD203" s="721" t="s">
        <v>909</v>
      </c>
      <c r="AE203" s="707"/>
      <c r="AF203" s="730" t="s">
        <v>262</v>
      </c>
      <c r="AG203" s="785">
        <f>Q203*U203*X203/T204</f>
        <v>5882.3529411764703</v>
      </c>
      <c r="AH203" s="707"/>
      <c r="AI203" s="707"/>
      <c r="AJ203" s="707"/>
      <c r="AK203" s="735" t="s">
        <v>922</v>
      </c>
      <c r="AL203" s="707"/>
      <c r="AM203" s="279"/>
      <c r="AN203" s="279"/>
      <c r="AO203" s="119"/>
      <c r="AP203" s="119"/>
      <c r="AQ203" s="119"/>
      <c r="AR203" s="119"/>
      <c r="AS203" s="119"/>
      <c r="AT203" s="119"/>
      <c r="AU203" s="119"/>
      <c r="AV203" s="119"/>
      <c r="AW203" s="119"/>
      <c r="AX203" s="113"/>
      <c r="AY203" s="119"/>
      <c r="AZ203" s="119"/>
      <c r="BA203" s="119"/>
      <c r="BB203" s="119"/>
      <c r="BC203" s="119"/>
      <c r="BD203" s="119"/>
      <c r="BE203" s="119"/>
      <c r="BF203" s="113"/>
      <c r="BG203" s="113"/>
      <c r="BH203" s="113"/>
      <c r="BI203" s="113"/>
      <c r="BJ203" s="113"/>
      <c r="BK203" s="113"/>
      <c r="BL203" s="113"/>
      <c r="BM203" s="113"/>
      <c r="BN203" s="113"/>
      <c r="BO203" s="113"/>
      <c r="BP203" s="113"/>
    </row>
    <row r="204" spans="1:68" ht="12.75" customHeight="1">
      <c r="A204" s="707"/>
      <c r="B204" s="707"/>
      <c r="C204" s="707"/>
      <c r="D204" s="743" t="s">
        <v>274</v>
      </c>
      <c r="E204" s="637"/>
      <c r="F204" s="637"/>
      <c r="G204" s="637"/>
      <c r="H204" s="637"/>
      <c r="I204" s="637"/>
      <c r="J204" s="637"/>
      <c r="K204" s="170"/>
      <c r="L204" s="170"/>
      <c r="M204" s="170"/>
      <c r="N204" s="707"/>
      <c r="O204" s="707"/>
      <c r="P204" s="707"/>
      <c r="Q204" s="174"/>
      <c r="R204" s="174"/>
      <c r="S204" s="280"/>
      <c r="T204" s="871">
        <f>AG184</f>
        <v>0.17</v>
      </c>
      <c r="U204" s="637"/>
      <c r="V204" s="637"/>
      <c r="W204" s="637"/>
      <c r="X204" s="128"/>
      <c r="Y204" s="174"/>
      <c r="Z204" s="174"/>
      <c r="AA204" s="174"/>
      <c r="AB204" s="174"/>
      <c r="AC204" s="174"/>
      <c r="AD204" s="707"/>
      <c r="AE204" s="707"/>
      <c r="AF204" s="707"/>
      <c r="AG204" s="707"/>
      <c r="AH204" s="707"/>
      <c r="AI204" s="707"/>
      <c r="AJ204" s="707"/>
      <c r="AK204" s="707"/>
      <c r="AL204" s="707"/>
      <c r="AM204" s="281"/>
      <c r="AN204" s="281"/>
      <c r="AO204" s="281"/>
      <c r="AP204" s="281"/>
      <c r="AQ204" s="281"/>
      <c r="AR204" s="281"/>
      <c r="AS204" s="281"/>
      <c r="AT204" s="281"/>
      <c r="AU204" s="281"/>
      <c r="AV204" s="281"/>
      <c r="AW204" s="281"/>
      <c r="AX204" s="281"/>
      <c r="AY204" s="281"/>
      <c r="AZ204" s="113"/>
      <c r="BA204" s="113"/>
      <c r="BB204" s="113"/>
      <c r="BC204" s="113"/>
      <c r="BD204" s="113"/>
      <c r="BE204" s="113"/>
      <c r="BF204" s="113"/>
      <c r="BG204" s="113"/>
      <c r="BH204" s="113"/>
      <c r="BI204" s="113"/>
      <c r="BJ204" s="113"/>
      <c r="BK204" s="113"/>
      <c r="BL204" s="113"/>
      <c r="BM204" s="113"/>
      <c r="BN204" s="113"/>
      <c r="BO204" s="113"/>
      <c r="BP204" s="113"/>
    </row>
    <row r="205" spans="1:68" ht="6" customHeight="1">
      <c r="A205" s="118"/>
      <c r="B205" s="118"/>
      <c r="C205" s="119"/>
      <c r="D205" s="118"/>
      <c r="E205" s="118"/>
      <c r="F205" s="119"/>
      <c r="G205" s="118"/>
      <c r="H205" s="118"/>
      <c r="I205" s="113"/>
      <c r="J205" s="118"/>
      <c r="K205" s="118"/>
      <c r="L205" s="118"/>
      <c r="M205" s="118"/>
      <c r="N205" s="119"/>
      <c r="O205" s="118"/>
      <c r="P205" s="118"/>
      <c r="Q205" s="118"/>
      <c r="R205" s="119"/>
      <c r="S205" s="113"/>
      <c r="T205" s="113"/>
      <c r="U205" s="113"/>
      <c r="V205" s="119"/>
      <c r="W205" s="119"/>
      <c r="X205" s="119"/>
      <c r="Y205" s="119"/>
      <c r="Z205" s="119"/>
      <c r="AA205" s="113"/>
      <c r="AB205" s="114"/>
      <c r="AC205" s="114"/>
      <c r="AD205" s="114"/>
      <c r="AE205" s="119"/>
      <c r="AF205" s="119"/>
      <c r="AG205" s="119"/>
      <c r="AH205" s="271"/>
      <c r="AI205" s="271"/>
      <c r="AJ205" s="271"/>
      <c r="AK205" s="271"/>
      <c r="AL205" s="271"/>
      <c r="AM205" s="271"/>
      <c r="AN205" s="271"/>
      <c r="AO205" s="271"/>
      <c r="AP205" s="271"/>
      <c r="AQ205" s="271"/>
      <c r="AR205" s="273"/>
      <c r="AS205" s="273"/>
      <c r="AT205" s="273"/>
      <c r="AU205" s="273"/>
      <c r="AV205" s="273"/>
      <c r="AW205" s="115"/>
      <c r="AX205" s="115"/>
      <c r="AY205" s="115"/>
      <c r="AZ205" s="115"/>
      <c r="BA205" s="112"/>
      <c r="BB205" s="112"/>
      <c r="BC205" s="112"/>
      <c r="BD205" s="112"/>
      <c r="BE205" s="112"/>
      <c r="BF205" s="113"/>
      <c r="BG205" s="113"/>
      <c r="BH205" s="113"/>
      <c r="BI205" s="113"/>
      <c r="BJ205" s="113"/>
      <c r="BK205" s="113"/>
      <c r="BL205" s="113"/>
      <c r="BM205" s="113"/>
      <c r="BN205" s="113"/>
      <c r="BO205" s="113"/>
      <c r="BP205" s="113"/>
    </row>
    <row r="206" spans="1:68" ht="15" customHeight="1">
      <c r="A206" s="278" t="s">
        <v>923</v>
      </c>
      <c r="B206" s="120"/>
      <c r="C206" s="120"/>
      <c r="D206" s="112"/>
      <c r="E206" s="112"/>
      <c r="F206" s="112"/>
      <c r="G206" s="112"/>
      <c r="H206" s="120"/>
      <c r="I206" s="112"/>
      <c r="J206" s="112"/>
      <c r="K206" s="112"/>
      <c r="L206" s="112"/>
      <c r="M206" s="112"/>
      <c r="N206" s="112"/>
      <c r="O206" s="120"/>
      <c r="P206" s="120"/>
      <c r="Q206" s="120"/>
      <c r="R206" s="120"/>
      <c r="S206" s="112"/>
      <c r="T206" s="112"/>
      <c r="U206" s="112"/>
      <c r="V206" s="112"/>
      <c r="W206" s="112"/>
      <c r="X206" s="112"/>
      <c r="Y206" s="112"/>
      <c r="Z206" s="112"/>
      <c r="AA206" s="120"/>
      <c r="AB206" s="120"/>
      <c r="AC206" s="112"/>
      <c r="AD206" s="112"/>
      <c r="AE206" s="112"/>
      <c r="AF206" s="112"/>
      <c r="AG206" s="112"/>
      <c r="AH206" s="112"/>
      <c r="AI206" s="112"/>
      <c r="AJ206" s="112"/>
      <c r="AK206" s="120"/>
      <c r="AL206" s="120"/>
      <c r="AM206" s="120"/>
      <c r="AN206" s="120"/>
      <c r="AO206" s="120"/>
      <c r="AP206" s="120"/>
      <c r="AQ206" s="112"/>
      <c r="AR206" s="260"/>
      <c r="AS206" s="260"/>
      <c r="AT206" s="260"/>
      <c r="AU206" s="260"/>
      <c r="AV206" s="260"/>
      <c r="AW206" s="260"/>
      <c r="AX206" s="260"/>
      <c r="AY206" s="260"/>
      <c r="AZ206" s="260"/>
      <c r="BA206" s="260"/>
      <c r="BB206" s="112"/>
      <c r="BC206" s="112"/>
      <c r="BD206" s="112"/>
      <c r="BE206" s="112"/>
      <c r="BF206" s="113"/>
      <c r="BG206" s="113"/>
      <c r="BH206" s="113"/>
      <c r="BI206" s="113"/>
      <c r="BJ206" s="113"/>
      <c r="BK206" s="113"/>
      <c r="BL206" s="113"/>
      <c r="BM206" s="113"/>
      <c r="BN206" s="113"/>
      <c r="BO206" s="113"/>
      <c r="BP206" s="113"/>
    </row>
    <row r="207" spans="1:68" ht="6" customHeight="1">
      <c r="A207" s="118"/>
      <c r="B207" s="118"/>
      <c r="C207" s="119"/>
      <c r="D207" s="118"/>
      <c r="E207" s="118"/>
      <c r="F207" s="119"/>
      <c r="G207" s="118"/>
      <c r="H207" s="118"/>
      <c r="I207" s="113"/>
      <c r="J207" s="118"/>
      <c r="K207" s="118"/>
      <c r="L207" s="118"/>
      <c r="M207" s="118"/>
      <c r="N207" s="119"/>
      <c r="O207" s="118"/>
      <c r="P207" s="118"/>
      <c r="Q207" s="118"/>
      <c r="R207" s="119"/>
      <c r="S207" s="113"/>
      <c r="T207" s="113"/>
      <c r="U207" s="113"/>
      <c r="V207" s="119"/>
      <c r="W207" s="119"/>
      <c r="X207" s="119"/>
      <c r="Y207" s="119"/>
      <c r="Z207" s="119"/>
      <c r="AA207" s="113"/>
      <c r="AB207" s="114"/>
      <c r="AC207" s="114"/>
      <c r="AD207" s="114"/>
      <c r="AE207" s="119"/>
      <c r="AF207" s="119"/>
      <c r="AG207" s="119"/>
      <c r="AH207" s="271"/>
      <c r="AI207" s="271"/>
      <c r="AJ207" s="271"/>
      <c r="AK207" s="271"/>
      <c r="AL207" s="271"/>
      <c r="AM207" s="271"/>
      <c r="AN207" s="271"/>
      <c r="AO207" s="271"/>
      <c r="AP207" s="271"/>
      <c r="AQ207" s="271"/>
      <c r="AR207" s="273"/>
      <c r="AS207" s="273"/>
      <c r="AT207" s="273"/>
      <c r="AU207" s="273"/>
      <c r="AV207" s="273"/>
      <c r="AW207" s="115"/>
      <c r="AX207" s="115"/>
      <c r="AY207" s="115"/>
      <c r="AZ207" s="115"/>
      <c r="BA207" s="112"/>
      <c r="BB207" s="112"/>
      <c r="BC207" s="112"/>
      <c r="BD207" s="112"/>
      <c r="BE207" s="112"/>
      <c r="BF207" s="113"/>
      <c r="BG207" s="113"/>
      <c r="BH207" s="113"/>
      <c r="BI207" s="113"/>
      <c r="BJ207" s="113"/>
      <c r="BK207" s="113"/>
      <c r="BL207" s="113"/>
      <c r="BM207" s="113"/>
      <c r="BN207" s="113"/>
      <c r="BO207" s="113"/>
      <c r="BP207" s="113"/>
    </row>
    <row r="208" spans="1:68" ht="13.5" customHeight="1">
      <c r="A208" s="721" t="s">
        <v>374</v>
      </c>
      <c r="B208" s="707"/>
      <c r="C208" s="735" t="s">
        <v>262</v>
      </c>
      <c r="D208" s="760" t="s">
        <v>909</v>
      </c>
      <c r="E208" s="724"/>
      <c r="F208" s="724"/>
      <c r="G208" s="188"/>
      <c r="H208" s="188"/>
      <c r="I208" s="721" t="s">
        <v>374</v>
      </c>
      <c r="J208" s="707"/>
      <c r="K208" s="735" t="s">
        <v>262</v>
      </c>
      <c r="L208" s="756">
        <f>AG186</f>
        <v>5882.3529411764703</v>
      </c>
      <c r="M208" s="724"/>
      <c r="N208" s="724"/>
      <c r="O208" s="151"/>
      <c r="P208" s="151"/>
      <c r="Q208" s="721" t="s">
        <v>374</v>
      </c>
      <c r="R208" s="707"/>
      <c r="S208" s="735" t="s">
        <v>262</v>
      </c>
      <c r="T208" s="846">
        <f>L208/L209</f>
        <v>2.8011204481792715</v>
      </c>
      <c r="U208" s="707"/>
      <c r="V208" s="707"/>
      <c r="W208" s="112"/>
      <c r="X208" s="112"/>
      <c r="Y208" s="112"/>
      <c r="Z208" s="112"/>
      <c r="AA208" s="120"/>
      <c r="AB208" s="120"/>
      <c r="AC208" s="112"/>
      <c r="AD208" s="112"/>
      <c r="AE208" s="112"/>
      <c r="AF208" s="112"/>
      <c r="AG208" s="112"/>
      <c r="AH208" s="112"/>
      <c r="AI208" s="112"/>
      <c r="AJ208" s="112"/>
      <c r="AK208" s="120"/>
      <c r="AL208" s="120"/>
      <c r="AM208" s="120"/>
      <c r="AN208" s="120"/>
      <c r="AO208" s="120"/>
      <c r="AP208" s="120"/>
      <c r="AQ208" s="112"/>
      <c r="AR208" s="260"/>
      <c r="AS208" s="260"/>
      <c r="AT208" s="260"/>
      <c r="AU208" s="260"/>
      <c r="AV208" s="260"/>
      <c r="AW208" s="260"/>
      <c r="AX208" s="260"/>
      <c r="AY208" s="260"/>
      <c r="AZ208" s="260"/>
      <c r="BA208" s="260"/>
      <c r="BB208" s="112"/>
      <c r="BC208" s="112"/>
      <c r="BD208" s="112"/>
      <c r="BE208" s="112"/>
      <c r="BF208" s="113"/>
      <c r="BG208" s="113"/>
      <c r="BH208" s="113"/>
      <c r="BI208" s="113"/>
      <c r="BJ208" s="113"/>
      <c r="BK208" s="113"/>
      <c r="BL208" s="113"/>
      <c r="BM208" s="113"/>
      <c r="BN208" s="113"/>
      <c r="BO208" s="113"/>
      <c r="BP208" s="113"/>
    </row>
    <row r="209" spans="1:68" ht="13.5" customHeight="1">
      <c r="A209" s="707"/>
      <c r="B209" s="707"/>
      <c r="C209" s="707"/>
      <c r="D209" s="779" t="s">
        <v>912</v>
      </c>
      <c r="E209" s="637"/>
      <c r="F209" s="637"/>
      <c r="G209" s="282"/>
      <c r="H209" s="282"/>
      <c r="I209" s="707"/>
      <c r="J209" s="707"/>
      <c r="K209" s="707"/>
      <c r="L209" s="800">
        <f>AG187</f>
        <v>2100</v>
      </c>
      <c r="M209" s="637"/>
      <c r="N209" s="637"/>
      <c r="O209" s="151"/>
      <c r="P209" s="151"/>
      <c r="Q209" s="707"/>
      <c r="R209" s="707"/>
      <c r="S209" s="707"/>
      <c r="T209" s="707"/>
      <c r="U209" s="707"/>
      <c r="V209" s="707"/>
      <c r="W209" s="112"/>
      <c r="X209" s="112"/>
      <c r="Y209" s="112"/>
      <c r="Z209" s="112"/>
      <c r="AA209" s="120"/>
      <c r="AB209" s="120"/>
      <c r="AC209" s="112"/>
      <c r="AD209" s="112"/>
      <c r="AE209" s="112"/>
      <c r="AF209" s="112"/>
      <c r="AG209" s="112"/>
      <c r="AH209" s="112"/>
      <c r="AI209" s="112"/>
      <c r="AJ209" s="112"/>
      <c r="AK209" s="120"/>
      <c r="AL209" s="120"/>
      <c r="AM209" s="120"/>
      <c r="AN209" s="120"/>
      <c r="AO209" s="120"/>
      <c r="AP209" s="120"/>
      <c r="AQ209" s="112"/>
      <c r="AR209" s="260"/>
      <c r="AS209" s="260"/>
      <c r="AT209" s="260"/>
      <c r="AU209" s="260"/>
      <c r="AV209" s="260"/>
      <c r="AW209" s="260"/>
      <c r="AX209" s="260"/>
      <c r="AY209" s="260"/>
      <c r="AZ209" s="260"/>
      <c r="BA209" s="260"/>
      <c r="BB209" s="112"/>
      <c r="BC209" s="112"/>
      <c r="BD209" s="112"/>
      <c r="BE209" s="112"/>
      <c r="BF209" s="113"/>
      <c r="BG209" s="113"/>
      <c r="BH209" s="113"/>
      <c r="BI209" s="113"/>
      <c r="BJ209" s="113"/>
      <c r="BK209" s="113"/>
      <c r="BL209" s="113"/>
      <c r="BM209" s="113"/>
      <c r="BN209" s="113"/>
      <c r="BO209" s="113"/>
      <c r="BP209" s="113"/>
    </row>
    <row r="210" spans="1:68" ht="6" customHeight="1">
      <c r="A210" s="118"/>
      <c r="B210" s="118"/>
      <c r="C210" s="119"/>
      <c r="D210" s="118"/>
      <c r="E210" s="118"/>
      <c r="F210" s="119"/>
      <c r="G210" s="118"/>
      <c r="H210" s="118"/>
      <c r="I210" s="113"/>
      <c r="J210" s="118"/>
      <c r="K210" s="118"/>
      <c r="L210" s="118"/>
      <c r="M210" s="118"/>
      <c r="N210" s="119"/>
      <c r="O210" s="118"/>
      <c r="P210" s="118"/>
      <c r="Q210" s="118"/>
      <c r="R210" s="119"/>
      <c r="S210" s="113"/>
      <c r="T210" s="113"/>
      <c r="U210" s="113"/>
      <c r="V210" s="119"/>
      <c r="W210" s="119"/>
      <c r="X210" s="119"/>
      <c r="Y210" s="119"/>
      <c r="Z210" s="119"/>
      <c r="AA210" s="113"/>
      <c r="AB210" s="114"/>
      <c r="AC210" s="114"/>
      <c r="AD210" s="114"/>
      <c r="AE210" s="119"/>
      <c r="AF210" s="119"/>
      <c r="AG210" s="119"/>
      <c r="AH210" s="271"/>
      <c r="AI210" s="271"/>
      <c r="AJ210" s="271"/>
      <c r="AK210" s="271"/>
      <c r="AL210" s="271"/>
      <c r="AM210" s="271"/>
      <c r="AN210" s="271"/>
      <c r="AO210" s="271"/>
      <c r="AP210" s="271"/>
      <c r="AQ210" s="271"/>
      <c r="AR210" s="273"/>
      <c r="AS210" s="273"/>
      <c r="AT210" s="273"/>
      <c r="AU210" s="273"/>
      <c r="AV210" s="273"/>
      <c r="AW210" s="115"/>
      <c r="AX210" s="115"/>
      <c r="AY210" s="115"/>
      <c r="AZ210" s="115"/>
      <c r="BA210" s="112"/>
      <c r="BB210" s="112"/>
      <c r="BC210" s="112"/>
      <c r="BD210" s="112"/>
      <c r="BE210" s="112"/>
      <c r="BF210" s="113"/>
      <c r="BG210" s="113"/>
      <c r="BH210" s="113"/>
      <c r="BI210" s="113"/>
      <c r="BJ210" s="113"/>
      <c r="BK210" s="113"/>
      <c r="BL210" s="113"/>
      <c r="BM210" s="113"/>
      <c r="BN210" s="113"/>
      <c r="BO210" s="113"/>
      <c r="BP210" s="113"/>
    </row>
    <row r="211" spans="1:68" ht="13.5" customHeight="1">
      <c r="A211" s="119" t="s">
        <v>937</v>
      </c>
      <c r="B211" s="119"/>
      <c r="C211" s="119"/>
      <c r="D211" s="119"/>
      <c r="E211" s="119"/>
      <c r="F211" s="119"/>
      <c r="G211" s="118"/>
      <c r="H211" s="118"/>
      <c r="I211" s="118"/>
      <c r="J211" s="119"/>
      <c r="K211" s="119"/>
      <c r="L211" s="119"/>
      <c r="M211" s="887">
        <f>ROUNDUP(T208,0)</f>
        <v>3</v>
      </c>
      <c r="N211" s="583"/>
      <c r="O211" s="113" t="s">
        <v>925</v>
      </c>
      <c r="P211" s="113"/>
      <c r="Q211" s="113"/>
      <c r="R211" s="844">
        <v>40</v>
      </c>
      <c r="S211" s="710"/>
      <c r="T211" s="583"/>
      <c r="U211" s="866" t="s">
        <v>938</v>
      </c>
      <c r="V211" s="707"/>
      <c r="W211" s="707"/>
      <c r="X211" s="707"/>
      <c r="Y211" s="707"/>
      <c r="Z211" s="707"/>
      <c r="AA211" s="707"/>
      <c r="AB211" s="707"/>
      <c r="AC211" s="707"/>
      <c r="AD211" s="707"/>
      <c r="AE211" s="707"/>
      <c r="AF211" s="707"/>
      <c r="AG211" s="707"/>
      <c r="AH211" s="112"/>
      <c r="AI211" s="112"/>
      <c r="AJ211" s="112"/>
      <c r="AK211" s="120"/>
      <c r="AL211" s="115"/>
      <c r="AM211" s="115"/>
      <c r="AN211" s="115"/>
      <c r="AO211" s="120"/>
      <c r="AP211" s="120"/>
      <c r="AQ211" s="112"/>
      <c r="AR211" s="257"/>
      <c r="AS211" s="257"/>
      <c r="AT211" s="257"/>
      <c r="AU211" s="257"/>
      <c r="AV211" s="257"/>
      <c r="AW211" s="257"/>
      <c r="AX211" s="257"/>
      <c r="AY211" s="257"/>
      <c r="AZ211" s="257"/>
      <c r="BA211" s="257"/>
      <c r="BB211" s="112"/>
      <c r="BC211" s="112"/>
      <c r="BD211" s="112"/>
      <c r="BE211" s="112"/>
      <c r="BF211" s="113"/>
      <c r="BG211" s="113"/>
      <c r="BH211" s="113"/>
      <c r="BI211" s="113"/>
      <c r="BJ211" s="113"/>
      <c r="BK211" s="113"/>
      <c r="BL211" s="113"/>
      <c r="BM211" s="113"/>
      <c r="BN211" s="113"/>
      <c r="BO211" s="113"/>
      <c r="BP211" s="113"/>
    </row>
    <row r="212" spans="1:68" ht="6" customHeight="1">
      <c r="A212" s="118"/>
      <c r="B212" s="118"/>
      <c r="C212" s="119"/>
      <c r="D212" s="118"/>
      <c r="E212" s="118"/>
      <c r="F212" s="119"/>
      <c r="G212" s="118"/>
      <c r="H212" s="118"/>
      <c r="I212" s="113"/>
      <c r="J212" s="118"/>
      <c r="K212" s="118"/>
      <c r="L212" s="118"/>
      <c r="M212" s="118"/>
      <c r="N212" s="119"/>
      <c r="O212" s="118"/>
      <c r="P212" s="118"/>
      <c r="Q212" s="118"/>
      <c r="R212" s="119"/>
      <c r="S212" s="113"/>
      <c r="T212" s="113"/>
      <c r="U212" s="113"/>
      <c r="V212" s="119"/>
      <c r="W212" s="119"/>
      <c r="X212" s="119"/>
      <c r="Y212" s="119"/>
      <c r="Z212" s="119"/>
      <c r="AA212" s="113"/>
      <c r="AB212" s="114"/>
      <c r="AC212" s="114"/>
      <c r="AD212" s="114"/>
      <c r="AE212" s="119"/>
      <c r="AF212" s="119"/>
      <c r="AG212" s="119"/>
      <c r="AH212" s="271"/>
      <c r="AI212" s="271"/>
      <c r="AJ212" s="271"/>
      <c r="AK212" s="271"/>
      <c r="AL212" s="271"/>
      <c r="AM212" s="271"/>
      <c r="AN212" s="271"/>
      <c r="AO212" s="271"/>
      <c r="AP212" s="271"/>
      <c r="AQ212" s="271"/>
      <c r="AR212" s="273"/>
      <c r="AS212" s="273"/>
      <c r="AT212" s="273"/>
      <c r="AU212" s="273"/>
      <c r="AV212" s="273"/>
      <c r="AW212" s="115"/>
      <c r="AX212" s="115"/>
      <c r="AY212" s="115"/>
      <c r="AZ212" s="115"/>
      <c r="BA212" s="112"/>
      <c r="BB212" s="112"/>
      <c r="BC212" s="112"/>
      <c r="BD212" s="112"/>
      <c r="BE212" s="112"/>
      <c r="BF212" s="113"/>
      <c r="BG212" s="113"/>
      <c r="BH212" s="113"/>
      <c r="BI212" s="113"/>
      <c r="BJ212" s="113"/>
      <c r="BK212" s="113"/>
      <c r="BL212" s="113"/>
      <c r="BM212" s="113"/>
      <c r="BN212" s="113"/>
      <c r="BO212" s="113"/>
      <c r="BP212" s="113"/>
    </row>
    <row r="213" spans="1:68" ht="15" customHeight="1">
      <c r="A213" s="261" t="s">
        <v>939</v>
      </c>
      <c r="B213" s="120"/>
      <c r="C213" s="120"/>
      <c r="D213" s="112"/>
      <c r="E213" s="112"/>
      <c r="F213" s="112"/>
      <c r="G213" s="112"/>
      <c r="H213" s="120"/>
      <c r="I213" s="112"/>
      <c r="J213" s="112"/>
      <c r="K213" s="112"/>
      <c r="L213" s="112"/>
      <c r="M213" s="112"/>
      <c r="N213" s="112"/>
      <c r="O213" s="120"/>
      <c r="P213" s="120"/>
      <c r="Q213" s="120"/>
      <c r="R213" s="120"/>
      <c r="S213" s="112"/>
      <c r="T213" s="112"/>
      <c r="U213" s="112"/>
      <c r="V213" s="112"/>
      <c r="W213" s="112"/>
      <c r="X213" s="112"/>
      <c r="Y213" s="112"/>
      <c r="Z213" s="112"/>
      <c r="AA213" s="120"/>
      <c r="AB213" s="120"/>
      <c r="AC213" s="112"/>
      <c r="AD213" s="112"/>
      <c r="AE213" s="112"/>
      <c r="AF213" s="112"/>
      <c r="AG213" s="112"/>
      <c r="AH213" s="112"/>
      <c r="AI213" s="112"/>
      <c r="AJ213" s="112"/>
      <c r="AK213" s="120"/>
      <c r="AL213" s="120"/>
      <c r="AM213" s="120"/>
      <c r="AN213" s="120"/>
      <c r="AO213" s="120"/>
      <c r="AP213" s="120"/>
      <c r="AQ213" s="112"/>
      <c r="AR213" s="260"/>
      <c r="AS213" s="260"/>
      <c r="AT213" s="260"/>
      <c r="AU213" s="260"/>
      <c r="AV213" s="260"/>
      <c r="AW213" s="260"/>
      <c r="AX213" s="260"/>
      <c r="AY213" s="260"/>
      <c r="AZ213" s="260"/>
      <c r="BA213" s="260"/>
      <c r="BB213" s="112"/>
      <c r="BC213" s="112"/>
      <c r="BD213" s="112"/>
      <c r="BE213" s="112"/>
      <c r="BF213" s="113"/>
      <c r="BG213" s="113"/>
      <c r="BH213" s="113"/>
      <c r="BI213" s="113"/>
      <c r="BJ213" s="113"/>
      <c r="BK213" s="113"/>
      <c r="BL213" s="113"/>
      <c r="BM213" s="113"/>
      <c r="BN213" s="113"/>
      <c r="BO213" s="113"/>
      <c r="BP213" s="113"/>
    </row>
    <row r="214" spans="1:68" ht="6" customHeight="1">
      <c r="A214" s="118"/>
      <c r="B214" s="118"/>
      <c r="C214" s="119"/>
      <c r="D214" s="118"/>
      <c r="E214" s="118"/>
      <c r="F214" s="119"/>
      <c r="G214" s="118"/>
      <c r="H214" s="118"/>
      <c r="I214" s="113"/>
      <c r="J214" s="118"/>
      <c r="K214" s="118"/>
      <c r="L214" s="118"/>
      <c r="M214" s="118"/>
      <c r="N214" s="119"/>
      <c r="O214" s="118"/>
      <c r="P214" s="118"/>
      <c r="Q214" s="118"/>
      <c r="R214" s="119"/>
      <c r="S214" s="113"/>
      <c r="T214" s="113"/>
      <c r="U214" s="113"/>
      <c r="V214" s="119"/>
      <c r="W214" s="119"/>
      <c r="X214" s="119"/>
      <c r="Y214" s="119"/>
      <c r="Z214" s="119"/>
      <c r="AA214" s="113"/>
      <c r="AB214" s="114"/>
      <c r="AC214" s="114"/>
      <c r="AD214" s="114"/>
      <c r="AE214" s="119"/>
      <c r="AF214" s="119"/>
      <c r="AG214" s="119"/>
      <c r="AH214" s="271"/>
      <c r="AI214" s="271"/>
      <c r="AJ214" s="271"/>
      <c r="AK214" s="271"/>
      <c r="AL214" s="271"/>
      <c r="AM214" s="271"/>
      <c r="AN214" s="271"/>
      <c r="AO214" s="271"/>
      <c r="AP214" s="271"/>
      <c r="AQ214" s="271"/>
      <c r="AR214" s="273"/>
      <c r="AS214" s="273"/>
      <c r="AT214" s="273"/>
      <c r="AU214" s="273"/>
      <c r="AV214" s="273"/>
      <c r="AW214" s="115"/>
      <c r="AX214" s="115"/>
      <c r="AY214" s="115"/>
      <c r="AZ214" s="115"/>
      <c r="BA214" s="112"/>
      <c r="BB214" s="112"/>
      <c r="BC214" s="112"/>
      <c r="BD214" s="112"/>
      <c r="BE214" s="112"/>
      <c r="BF214" s="113"/>
      <c r="BG214" s="113"/>
      <c r="BH214" s="113"/>
      <c r="BI214" s="113"/>
      <c r="BJ214" s="113"/>
      <c r="BK214" s="113"/>
      <c r="BL214" s="113"/>
      <c r="BM214" s="113"/>
      <c r="BN214" s="113"/>
      <c r="BO214" s="113"/>
      <c r="BP214" s="113"/>
    </row>
    <row r="215" spans="1:68" ht="15" customHeight="1">
      <c r="A215" s="889" t="s">
        <v>940</v>
      </c>
      <c r="B215" s="707"/>
      <c r="C215" s="707"/>
      <c r="D215" s="707"/>
      <c r="E215" s="707"/>
      <c r="F215" s="707"/>
      <c r="G215" s="707"/>
      <c r="H215" s="707"/>
      <c r="I215" s="707"/>
      <c r="J215" s="707"/>
      <c r="K215" s="707"/>
      <c r="L215" s="707"/>
      <c r="M215" s="707"/>
      <c r="N215" s="707"/>
      <c r="O215" s="707"/>
      <c r="P215" s="707"/>
      <c r="Q215" s="707"/>
      <c r="R215" s="707"/>
      <c r="S215" s="707"/>
      <c r="T215" s="707"/>
      <c r="U215" s="707"/>
      <c r="V215" s="707"/>
      <c r="W215" s="707"/>
      <c r="X215" s="707"/>
      <c r="Y215" s="707"/>
      <c r="Z215" s="707"/>
      <c r="AA215" s="707"/>
      <c r="AB215" s="707"/>
      <c r="AC215" s="707"/>
      <c r="AD215" s="707"/>
      <c r="AE215" s="707"/>
      <c r="AF215" s="707"/>
      <c r="AG215" s="707"/>
      <c r="AH215" s="707"/>
      <c r="AI215" s="707"/>
      <c r="AJ215" s="707"/>
      <c r="AK215" s="707"/>
      <c r="AL215" s="707"/>
      <c r="AM215" s="707"/>
      <c r="AN215" s="707"/>
      <c r="AO215" s="707"/>
      <c r="AP215" s="707"/>
      <c r="AQ215" s="707"/>
      <c r="AR215" s="707"/>
      <c r="AS215" s="707"/>
      <c r="AT215" s="707"/>
      <c r="AU215" s="707"/>
      <c r="AV215" s="707"/>
      <c r="AW215" s="707"/>
      <c r="AX215" s="707"/>
      <c r="AY215" s="707"/>
      <c r="AZ215" s="707"/>
      <c r="BA215" s="707"/>
      <c r="BB215" s="707"/>
      <c r="BC215" s="707"/>
      <c r="BD215" s="707"/>
      <c r="BE215" s="707"/>
      <c r="BF215" s="707"/>
      <c r="BG215" s="707"/>
      <c r="BH215" s="707"/>
      <c r="BI215" s="707"/>
      <c r="BJ215" s="707"/>
      <c r="BK215" s="707"/>
      <c r="BL215" s="707"/>
      <c r="BM215" s="707"/>
      <c r="BN215" s="113"/>
      <c r="BO215" s="113"/>
      <c r="BP215" s="113"/>
    </row>
    <row r="216" spans="1:68" ht="15" customHeight="1">
      <c r="A216" s="707"/>
      <c r="B216" s="707"/>
      <c r="C216" s="707"/>
      <c r="D216" s="707"/>
      <c r="E216" s="707"/>
      <c r="F216" s="707"/>
      <c r="G216" s="707"/>
      <c r="H216" s="707"/>
      <c r="I216" s="707"/>
      <c r="J216" s="707"/>
      <c r="K216" s="707"/>
      <c r="L216" s="707"/>
      <c r="M216" s="707"/>
      <c r="N216" s="707"/>
      <c r="O216" s="707"/>
      <c r="P216" s="707"/>
      <c r="Q216" s="707"/>
      <c r="R216" s="707"/>
      <c r="S216" s="707"/>
      <c r="T216" s="707"/>
      <c r="U216" s="707"/>
      <c r="V216" s="707"/>
      <c r="W216" s="707"/>
      <c r="X216" s="707"/>
      <c r="Y216" s="707"/>
      <c r="Z216" s="707"/>
      <c r="AA216" s="707"/>
      <c r="AB216" s="707"/>
      <c r="AC216" s="707"/>
      <c r="AD216" s="707"/>
      <c r="AE216" s="707"/>
      <c r="AF216" s="707"/>
      <c r="AG216" s="707"/>
      <c r="AH216" s="707"/>
      <c r="AI216" s="707"/>
      <c r="AJ216" s="707"/>
      <c r="AK216" s="707"/>
      <c r="AL216" s="707"/>
      <c r="AM216" s="707"/>
      <c r="AN216" s="707"/>
      <c r="AO216" s="707"/>
      <c r="AP216" s="707"/>
      <c r="AQ216" s="707"/>
      <c r="AR216" s="707"/>
      <c r="AS216" s="707"/>
      <c r="AT216" s="707"/>
      <c r="AU216" s="707"/>
      <c r="AV216" s="707"/>
      <c r="AW216" s="707"/>
      <c r="AX216" s="707"/>
      <c r="AY216" s="707"/>
      <c r="AZ216" s="707"/>
      <c r="BA216" s="707"/>
      <c r="BB216" s="707"/>
      <c r="BC216" s="707"/>
      <c r="BD216" s="707"/>
      <c r="BE216" s="707"/>
      <c r="BF216" s="707"/>
      <c r="BG216" s="707"/>
      <c r="BH216" s="707"/>
      <c r="BI216" s="707"/>
      <c r="BJ216" s="707"/>
      <c r="BK216" s="707"/>
      <c r="BL216" s="707"/>
      <c r="BM216" s="707"/>
      <c r="BN216" s="113"/>
      <c r="BO216" s="113"/>
      <c r="BP216" s="113"/>
    </row>
    <row r="217" spans="1:68" ht="15" customHeight="1">
      <c r="A217" s="707"/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707"/>
      <c r="AB217" s="707"/>
      <c r="AC217" s="707"/>
      <c r="AD217" s="707"/>
      <c r="AE217" s="707"/>
      <c r="AF217" s="707"/>
      <c r="AG217" s="707"/>
      <c r="AH217" s="707"/>
      <c r="AI217" s="707"/>
      <c r="AJ217" s="707"/>
      <c r="AK217" s="707"/>
      <c r="AL217" s="707"/>
      <c r="AM217" s="707"/>
      <c r="AN217" s="707"/>
      <c r="AO217" s="707"/>
      <c r="AP217" s="707"/>
      <c r="AQ217" s="707"/>
      <c r="AR217" s="707"/>
      <c r="AS217" s="707"/>
      <c r="AT217" s="707"/>
      <c r="AU217" s="707"/>
      <c r="AV217" s="707"/>
      <c r="AW217" s="707"/>
      <c r="AX217" s="707"/>
      <c r="AY217" s="707"/>
      <c r="AZ217" s="707"/>
      <c r="BA217" s="707"/>
      <c r="BB217" s="707"/>
      <c r="BC217" s="707"/>
      <c r="BD217" s="707"/>
      <c r="BE217" s="707"/>
      <c r="BF217" s="707"/>
      <c r="BG217" s="707"/>
      <c r="BH217" s="707"/>
      <c r="BI217" s="707"/>
      <c r="BJ217" s="707"/>
      <c r="BK217" s="707"/>
      <c r="BL217" s="707"/>
      <c r="BM217" s="707"/>
      <c r="BN217" s="113"/>
      <c r="BO217" s="113"/>
      <c r="BP217" s="113"/>
    </row>
    <row r="218" spans="1:68" ht="6" customHeight="1">
      <c r="A218" s="118"/>
      <c r="B218" s="118"/>
      <c r="C218" s="119"/>
      <c r="D218" s="118"/>
      <c r="E218" s="118"/>
      <c r="F218" s="119"/>
      <c r="G218" s="118"/>
      <c r="H218" s="118"/>
      <c r="I218" s="113"/>
      <c r="J218" s="118"/>
      <c r="K218" s="118"/>
      <c r="L218" s="118"/>
      <c r="M218" s="118"/>
      <c r="N218" s="119"/>
      <c r="O218" s="118"/>
      <c r="P218" s="118"/>
      <c r="Q218" s="118"/>
      <c r="R218" s="119"/>
      <c r="S218" s="113"/>
      <c r="T218" s="113"/>
      <c r="U218" s="113"/>
      <c r="V218" s="119"/>
      <c r="W218" s="119"/>
      <c r="X218" s="119"/>
      <c r="Y218" s="119"/>
      <c r="Z218" s="119"/>
      <c r="AA218" s="113"/>
      <c r="AB218" s="114"/>
      <c r="AC218" s="114"/>
      <c r="AD218" s="114"/>
      <c r="AE218" s="119"/>
      <c r="AF218" s="119"/>
      <c r="AG218" s="119"/>
      <c r="AH218" s="271"/>
      <c r="AI218" s="271"/>
      <c r="AJ218" s="271"/>
      <c r="AK218" s="271"/>
      <c r="AL218" s="271"/>
      <c r="AM218" s="271"/>
      <c r="AN218" s="271"/>
      <c r="AO218" s="271"/>
      <c r="AP218" s="271"/>
      <c r="AQ218" s="271"/>
      <c r="AR218" s="273"/>
      <c r="AS218" s="273"/>
      <c r="AT218" s="273"/>
      <c r="AU218" s="273"/>
      <c r="AV218" s="273"/>
      <c r="AW218" s="115"/>
      <c r="AX218" s="115"/>
      <c r="AY218" s="115"/>
      <c r="AZ218" s="115"/>
      <c r="BA218" s="112"/>
      <c r="BB218" s="112"/>
      <c r="BC218" s="112"/>
      <c r="BD218" s="112"/>
      <c r="BE218" s="112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/>
      <c r="BP218" s="113"/>
    </row>
    <row r="219" spans="1:68" ht="15" customHeight="1">
      <c r="A219" s="278"/>
      <c r="B219" s="120"/>
      <c r="C219" s="120"/>
      <c r="D219" s="112"/>
      <c r="E219" s="112"/>
      <c r="F219" s="112"/>
      <c r="G219" s="112"/>
      <c r="H219" s="120"/>
      <c r="I219" s="112"/>
      <c r="J219" s="112"/>
      <c r="K219" s="112"/>
      <c r="L219" s="112"/>
      <c r="M219" s="112"/>
      <c r="N219" s="112"/>
      <c r="O219" s="120"/>
      <c r="P219" s="120"/>
      <c r="Q219" s="120"/>
      <c r="R219" s="120"/>
      <c r="S219" s="112"/>
      <c r="T219" s="112"/>
      <c r="U219" s="112"/>
      <c r="V219" s="112"/>
      <c r="W219" s="112"/>
      <c r="X219" s="112"/>
      <c r="Y219" s="112"/>
      <c r="Z219" s="112"/>
      <c r="AA219" s="120"/>
      <c r="AB219" s="120"/>
      <c r="AC219" s="112"/>
      <c r="AD219" s="112"/>
      <c r="AE219" s="112"/>
      <c r="AF219" s="112"/>
      <c r="AG219" s="112"/>
      <c r="AH219" s="112"/>
      <c r="AI219" s="112"/>
      <c r="AJ219" s="112"/>
      <c r="AK219" s="120"/>
      <c r="AL219" s="120"/>
      <c r="AM219" s="120"/>
      <c r="AN219" s="120"/>
      <c r="AO219" s="120"/>
      <c r="AP219" s="120"/>
      <c r="AQ219" s="112"/>
      <c r="AR219" s="260"/>
      <c r="AS219" s="260"/>
      <c r="AT219" s="260"/>
      <c r="AU219" s="260"/>
      <c r="AV219" s="260"/>
      <c r="AW219" s="260"/>
      <c r="AX219" s="260"/>
      <c r="AY219" s="260"/>
      <c r="AZ219" s="260"/>
      <c r="BA219" s="260"/>
      <c r="BB219" s="112"/>
      <c r="BC219" s="112"/>
      <c r="BD219" s="112"/>
      <c r="BE219" s="112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13"/>
    </row>
    <row r="220" spans="1:68" ht="15" customHeight="1">
      <c r="A220" s="278"/>
      <c r="B220" s="120"/>
      <c r="C220" s="120"/>
      <c r="D220" s="112"/>
      <c r="E220" s="112"/>
      <c r="F220" s="112"/>
      <c r="G220" s="112"/>
      <c r="H220" s="120"/>
      <c r="I220" s="112"/>
      <c r="J220" s="112"/>
      <c r="K220" s="112"/>
      <c r="L220" s="112"/>
      <c r="M220" s="112"/>
      <c r="N220" s="112"/>
      <c r="O220" s="120"/>
      <c r="P220" s="120"/>
      <c r="Q220" s="120"/>
      <c r="R220" s="120"/>
      <c r="S220" s="112"/>
      <c r="T220" s="112"/>
      <c r="U220" s="112"/>
      <c r="V220" s="112"/>
      <c r="W220" s="112"/>
      <c r="X220" s="112"/>
      <c r="Y220" s="112"/>
      <c r="Z220" s="112"/>
      <c r="AA220" s="120"/>
      <c r="AB220" s="120"/>
      <c r="AC220" s="112"/>
      <c r="AD220" s="112"/>
      <c r="AE220" s="112"/>
      <c r="AF220" s="112"/>
      <c r="AG220" s="112"/>
      <c r="AH220" s="112"/>
      <c r="AI220" s="112"/>
      <c r="AJ220" s="112"/>
      <c r="AK220" s="120"/>
      <c r="AL220" s="120"/>
      <c r="AM220" s="120"/>
      <c r="AN220" s="120"/>
      <c r="AO220" s="120"/>
      <c r="AP220" s="120"/>
      <c r="AQ220" s="112"/>
      <c r="AR220" s="260"/>
      <c r="AS220" s="260"/>
      <c r="AT220" s="260"/>
      <c r="AU220" s="260"/>
      <c r="AV220" s="260"/>
      <c r="AW220" s="260"/>
      <c r="AX220" s="260"/>
      <c r="AY220" s="260"/>
      <c r="AZ220" s="260"/>
      <c r="BA220" s="260"/>
      <c r="BB220" s="112"/>
      <c r="BC220" s="112"/>
      <c r="BD220" s="112"/>
      <c r="BE220" s="112"/>
      <c r="BF220" s="113"/>
      <c r="BG220" s="113"/>
      <c r="BH220" s="113"/>
      <c r="BI220" s="113"/>
      <c r="BJ220" s="113"/>
      <c r="BK220" s="113"/>
      <c r="BL220" s="113"/>
      <c r="BM220" s="113"/>
      <c r="BN220" s="113"/>
      <c r="BO220" s="113"/>
      <c r="BP220" s="113"/>
    </row>
    <row r="221" spans="1:68" ht="12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272"/>
      <c r="AI221" s="272"/>
      <c r="AJ221" s="272"/>
      <c r="AK221" s="272"/>
      <c r="AL221" s="27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3"/>
      <c r="BG221" s="113"/>
      <c r="BH221" s="113"/>
      <c r="BI221" s="113"/>
      <c r="BJ221" s="113"/>
      <c r="BK221" s="113"/>
      <c r="BL221" s="113"/>
      <c r="BM221" s="113"/>
      <c r="BN221" s="113"/>
      <c r="BO221" s="113"/>
      <c r="BP221" s="113"/>
    </row>
    <row r="222" spans="1:68" ht="12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272"/>
      <c r="AI222" s="272"/>
      <c r="AJ222" s="272"/>
      <c r="AK222" s="272"/>
      <c r="AL222" s="27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2"/>
      <c r="BE222" s="112"/>
      <c r="BF222" s="113"/>
      <c r="BG222" s="113"/>
      <c r="BH222" s="113"/>
      <c r="BI222" s="113"/>
      <c r="BJ222" s="113"/>
      <c r="BK222" s="113"/>
      <c r="BL222" s="113"/>
      <c r="BM222" s="113"/>
      <c r="BN222" s="113"/>
      <c r="BO222" s="113"/>
      <c r="BP222" s="113"/>
    </row>
    <row r="223" spans="1:68" ht="12" customHeight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9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3"/>
      <c r="BJ223" s="113"/>
      <c r="BK223" s="113"/>
      <c r="BL223" s="113"/>
      <c r="BM223" s="113"/>
      <c r="BN223" s="113"/>
      <c r="BO223" s="113"/>
      <c r="BP223" s="113"/>
    </row>
    <row r="224" spans="1:68" ht="12" customHeight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9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13"/>
      <c r="AU224" s="113"/>
      <c r="AV224" s="113"/>
      <c r="AW224" s="113"/>
      <c r="AX224" s="113"/>
      <c r="AY224" s="113"/>
      <c r="AZ224" s="113"/>
      <c r="BA224" s="113"/>
      <c r="BB224" s="113"/>
      <c r="BC224" s="113"/>
      <c r="BD224" s="113"/>
      <c r="BE224" s="113"/>
      <c r="BF224" s="113"/>
      <c r="BG224" s="113"/>
      <c r="BH224" s="113"/>
      <c r="BI224" s="113"/>
      <c r="BJ224" s="113"/>
      <c r="BK224" s="113"/>
      <c r="BL224" s="113"/>
      <c r="BM224" s="113"/>
      <c r="BN224" s="113"/>
      <c r="BO224" s="113"/>
      <c r="BP224" s="113"/>
    </row>
    <row r="225" spans="1:68" ht="12" customHeight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9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  <c r="BD225" s="113"/>
      <c r="BE225" s="113"/>
      <c r="BF225" s="113"/>
      <c r="BG225" s="113"/>
      <c r="BH225" s="113"/>
      <c r="BI225" s="113"/>
      <c r="BJ225" s="113"/>
      <c r="BK225" s="113"/>
      <c r="BL225" s="113"/>
      <c r="BM225" s="113"/>
      <c r="BN225" s="113"/>
      <c r="BO225" s="113"/>
      <c r="BP225" s="113"/>
    </row>
    <row r="226" spans="1:68" ht="12" customHeight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9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  <c r="AV226" s="113"/>
      <c r="AW226" s="113"/>
      <c r="AX226" s="113"/>
      <c r="AY226" s="113"/>
      <c r="AZ226" s="113"/>
      <c r="BA226" s="113"/>
      <c r="BB226" s="113"/>
      <c r="BC226" s="113"/>
      <c r="BD226" s="113"/>
      <c r="BE226" s="113"/>
      <c r="BF226" s="113"/>
      <c r="BG226" s="113"/>
      <c r="BH226" s="113"/>
      <c r="BI226" s="113"/>
      <c r="BJ226" s="113"/>
      <c r="BK226" s="113"/>
      <c r="BL226" s="113"/>
      <c r="BM226" s="113"/>
      <c r="BN226" s="113"/>
      <c r="BO226" s="113"/>
      <c r="BP226" s="113"/>
    </row>
    <row r="227" spans="1:68" ht="12" customHeight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9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13"/>
      <c r="AV227" s="113"/>
      <c r="AW227" s="113"/>
      <c r="AX227" s="113"/>
      <c r="AY227" s="113"/>
      <c r="AZ227" s="113"/>
      <c r="BA227" s="113"/>
      <c r="BB227" s="113"/>
      <c r="BC227" s="113"/>
      <c r="BD227" s="113"/>
      <c r="BE227" s="113"/>
      <c r="BF227" s="113"/>
      <c r="BG227" s="113"/>
      <c r="BH227" s="113"/>
      <c r="BI227" s="113"/>
      <c r="BJ227" s="113"/>
      <c r="BK227" s="113"/>
      <c r="BL227" s="113"/>
      <c r="BM227" s="113"/>
      <c r="BN227" s="113"/>
      <c r="BO227" s="113"/>
      <c r="BP227" s="113"/>
    </row>
    <row r="228" spans="1:68" ht="12" customHeight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9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  <c r="AR228" s="113"/>
      <c r="AS228" s="113"/>
      <c r="AT228" s="113"/>
      <c r="AU228" s="113"/>
      <c r="AV228" s="113"/>
      <c r="AW228" s="113"/>
      <c r="AX228" s="113"/>
      <c r="AY228" s="113"/>
      <c r="AZ228" s="113"/>
      <c r="BA228" s="113"/>
      <c r="BB228" s="113"/>
      <c r="BC228" s="113"/>
      <c r="BD228" s="113"/>
      <c r="BE228" s="113"/>
      <c r="BF228" s="113"/>
      <c r="BG228" s="113"/>
      <c r="BH228" s="113"/>
      <c r="BI228" s="113"/>
      <c r="BJ228" s="113"/>
      <c r="BK228" s="113"/>
      <c r="BL228" s="113"/>
      <c r="BM228" s="113"/>
      <c r="BN228" s="113"/>
      <c r="BO228" s="113"/>
      <c r="BP228" s="113"/>
    </row>
    <row r="229" spans="1:68" ht="12" customHeight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9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  <c r="AV229" s="113"/>
      <c r="AW229" s="113"/>
      <c r="AX229" s="113"/>
      <c r="AY229" s="113"/>
      <c r="AZ229" s="113"/>
      <c r="BA229" s="113"/>
      <c r="BB229" s="113"/>
      <c r="BC229" s="113"/>
      <c r="BD229" s="113"/>
      <c r="BE229" s="113"/>
      <c r="BF229" s="113"/>
      <c r="BG229" s="113"/>
      <c r="BH229" s="113"/>
      <c r="BI229" s="113"/>
      <c r="BJ229" s="113"/>
      <c r="BK229" s="113"/>
      <c r="BL229" s="113"/>
      <c r="BM229" s="113"/>
      <c r="BN229" s="113"/>
      <c r="BO229" s="113"/>
      <c r="BP229" s="113"/>
    </row>
    <row r="230" spans="1:68" ht="12" customHeight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9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  <c r="BD230" s="113"/>
      <c r="BE230" s="113"/>
      <c r="BF230" s="113"/>
      <c r="BG230" s="113"/>
      <c r="BH230" s="113"/>
      <c r="BI230" s="113"/>
      <c r="BJ230" s="113"/>
      <c r="BK230" s="113"/>
      <c r="BL230" s="113"/>
      <c r="BM230" s="113"/>
      <c r="BN230" s="113"/>
      <c r="BO230" s="113"/>
      <c r="BP230" s="113"/>
    </row>
    <row r="231" spans="1:68" ht="12" customHeight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9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  <c r="BD231" s="113"/>
      <c r="BE231" s="113"/>
      <c r="BF231" s="113"/>
      <c r="BG231" s="113"/>
      <c r="BH231" s="113"/>
      <c r="BI231" s="113"/>
      <c r="BJ231" s="113"/>
      <c r="BK231" s="113"/>
      <c r="BL231" s="113"/>
      <c r="BM231" s="113"/>
      <c r="BN231" s="113"/>
      <c r="BO231" s="113"/>
      <c r="BP231" s="113"/>
    </row>
    <row r="232" spans="1:68" ht="12" customHeight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9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  <c r="BI232" s="113"/>
      <c r="BJ232" s="113"/>
      <c r="BK232" s="113"/>
      <c r="BL232" s="113"/>
      <c r="BM232" s="113"/>
      <c r="BN232" s="113"/>
      <c r="BO232" s="113"/>
      <c r="BP232" s="113"/>
    </row>
    <row r="233" spans="1:68" ht="12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9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3"/>
      <c r="AZ233" s="113"/>
      <c r="BA233" s="113"/>
      <c r="BB233" s="113"/>
      <c r="BC233" s="113"/>
      <c r="BD233" s="113"/>
      <c r="BE233" s="113"/>
      <c r="BF233" s="113"/>
      <c r="BG233" s="113"/>
      <c r="BH233" s="113"/>
      <c r="BI233" s="113"/>
      <c r="BJ233" s="113"/>
      <c r="BK233" s="113"/>
      <c r="BL233" s="113"/>
      <c r="BM233" s="113"/>
      <c r="BN233" s="113"/>
      <c r="BO233" s="113"/>
      <c r="BP233" s="113"/>
    </row>
    <row r="234" spans="1:68" ht="12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9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  <c r="AZ234" s="113"/>
      <c r="BA234" s="113"/>
      <c r="BB234" s="113"/>
      <c r="BC234" s="113"/>
      <c r="BD234" s="113"/>
      <c r="BE234" s="113"/>
      <c r="BF234" s="113"/>
      <c r="BG234" s="113"/>
      <c r="BH234" s="113"/>
      <c r="BI234" s="113"/>
      <c r="BJ234" s="113"/>
      <c r="BK234" s="113"/>
      <c r="BL234" s="113"/>
      <c r="BM234" s="113"/>
      <c r="BN234" s="113"/>
      <c r="BO234" s="113"/>
      <c r="BP234" s="113"/>
    </row>
    <row r="235" spans="1:68" ht="12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9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  <c r="BD235" s="113"/>
      <c r="BE235" s="113"/>
      <c r="BF235" s="113"/>
      <c r="BG235" s="113"/>
      <c r="BH235" s="113"/>
      <c r="BI235" s="113"/>
      <c r="BJ235" s="113"/>
      <c r="BK235" s="113"/>
      <c r="BL235" s="113"/>
      <c r="BM235" s="113"/>
      <c r="BN235" s="113"/>
      <c r="BO235" s="113"/>
      <c r="BP235" s="113"/>
    </row>
    <row r="236" spans="1:68" ht="12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9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3"/>
      <c r="AX236" s="113"/>
      <c r="AY236" s="113"/>
      <c r="AZ236" s="113"/>
      <c r="BA236" s="113"/>
      <c r="BB236" s="113"/>
      <c r="BC236" s="113"/>
      <c r="BD236" s="113"/>
      <c r="BE236" s="113"/>
      <c r="BF236" s="113"/>
      <c r="BG236" s="113"/>
      <c r="BH236" s="113"/>
      <c r="BI236" s="113"/>
      <c r="BJ236" s="113"/>
      <c r="BK236" s="113"/>
      <c r="BL236" s="113"/>
      <c r="BM236" s="113"/>
      <c r="BN236" s="113"/>
      <c r="BO236" s="113"/>
      <c r="BP236" s="113"/>
    </row>
    <row r="237" spans="1:68" ht="12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9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  <c r="BI237" s="113"/>
      <c r="BJ237" s="113"/>
      <c r="BK237" s="113"/>
      <c r="BL237" s="113"/>
      <c r="BM237" s="113"/>
      <c r="BN237" s="113"/>
      <c r="BO237" s="113"/>
      <c r="BP237" s="113"/>
    </row>
    <row r="238" spans="1:68" ht="12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9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  <c r="BN238" s="113"/>
      <c r="BO238" s="113"/>
      <c r="BP238" s="113"/>
    </row>
    <row r="239" spans="1:68" ht="12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9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  <c r="BD239" s="113"/>
      <c r="BE239" s="113"/>
      <c r="BF239" s="113"/>
      <c r="BG239" s="113"/>
      <c r="BH239" s="113"/>
      <c r="BI239" s="113"/>
      <c r="BJ239" s="113"/>
      <c r="BK239" s="113"/>
      <c r="BL239" s="113"/>
      <c r="BM239" s="113"/>
      <c r="BN239" s="113"/>
      <c r="BO239" s="113"/>
      <c r="BP239" s="113"/>
    </row>
    <row r="240" spans="1:68" ht="12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9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  <c r="BD240" s="113"/>
      <c r="BE240" s="113"/>
      <c r="BF240" s="113"/>
      <c r="BG240" s="113"/>
      <c r="BH240" s="113"/>
      <c r="BI240" s="113"/>
      <c r="BJ240" s="113"/>
      <c r="BK240" s="113"/>
      <c r="BL240" s="113"/>
      <c r="BM240" s="113"/>
      <c r="BN240" s="113"/>
      <c r="BO240" s="113"/>
      <c r="BP240" s="113"/>
    </row>
    <row r="241" spans="1:68" ht="12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9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  <c r="BI241" s="113"/>
      <c r="BJ241" s="113"/>
      <c r="BK241" s="113"/>
      <c r="BL241" s="113"/>
      <c r="BM241" s="113"/>
      <c r="BN241" s="113"/>
      <c r="BO241" s="113"/>
      <c r="BP241" s="113"/>
    </row>
    <row r="242" spans="1:68" ht="12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9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  <c r="AW242" s="113"/>
      <c r="AX242" s="113"/>
      <c r="AY242" s="113"/>
      <c r="AZ242" s="113"/>
      <c r="BA242" s="113"/>
      <c r="BB242" s="113"/>
      <c r="BC242" s="113"/>
      <c r="BD242" s="113"/>
      <c r="BE242" s="113"/>
      <c r="BF242" s="113"/>
      <c r="BG242" s="113"/>
      <c r="BH242" s="113"/>
      <c r="BI242" s="113"/>
      <c r="BJ242" s="113"/>
      <c r="BK242" s="113"/>
      <c r="BL242" s="113"/>
      <c r="BM242" s="113"/>
      <c r="BN242" s="113"/>
      <c r="BO242" s="113"/>
      <c r="BP242" s="113"/>
    </row>
    <row r="243" spans="1:68" ht="12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9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3"/>
      <c r="BN243" s="113"/>
      <c r="BO243" s="113"/>
      <c r="BP243" s="113"/>
    </row>
    <row r="244" spans="1:68" ht="12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9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  <c r="BI244" s="113"/>
      <c r="BJ244" s="113"/>
      <c r="BK244" s="113"/>
      <c r="BL244" s="113"/>
      <c r="BM244" s="113"/>
      <c r="BN244" s="113"/>
      <c r="BO244" s="113"/>
      <c r="BP244" s="113"/>
    </row>
    <row r="245" spans="1:68" ht="12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9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  <c r="AW245" s="113"/>
      <c r="AX245" s="113"/>
      <c r="AY245" s="113"/>
      <c r="AZ245" s="113"/>
      <c r="BA245" s="113"/>
      <c r="BB245" s="113"/>
      <c r="BC245" s="113"/>
      <c r="BD245" s="113"/>
      <c r="BE245" s="113"/>
      <c r="BF245" s="113"/>
      <c r="BG245" s="113"/>
      <c r="BH245" s="113"/>
      <c r="BI245" s="113"/>
      <c r="BJ245" s="113"/>
      <c r="BK245" s="113"/>
      <c r="BL245" s="113"/>
      <c r="BM245" s="113"/>
      <c r="BN245" s="113"/>
      <c r="BO245" s="113"/>
      <c r="BP245" s="113"/>
    </row>
    <row r="246" spans="1:68" ht="12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9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3"/>
      <c r="AZ246" s="113"/>
      <c r="BA246" s="113"/>
      <c r="BB246" s="113"/>
      <c r="BC246" s="113"/>
      <c r="BD246" s="113"/>
      <c r="BE246" s="113"/>
      <c r="BF246" s="113"/>
      <c r="BG246" s="113"/>
      <c r="BH246" s="113"/>
      <c r="BI246" s="113"/>
      <c r="BJ246" s="113"/>
      <c r="BK246" s="113"/>
      <c r="BL246" s="113"/>
      <c r="BM246" s="113"/>
      <c r="BN246" s="113"/>
      <c r="BO246" s="113"/>
      <c r="BP246" s="113"/>
    </row>
    <row r="247" spans="1:68" ht="12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9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  <c r="BD247" s="113"/>
      <c r="BE247" s="113"/>
      <c r="BF247" s="113"/>
      <c r="BG247" s="113"/>
      <c r="BH247" s="113"/>
      <c r="BI247" s="113"/>
      <c r="BJ247" s="113"/>
      <c r="BK247" s="113"/>
      <c r="BL247" s="113"/>
      <c r="BM247" s="113"/>
      <c r="BN247" s="113"/>
      <c r="BO247" s="113"/>
      <c r="BP247" s="113"/>
    </row>
    <row r="248" spans="1:68" ht="12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9"/>
      <c r="AE248" s="113"/>
      <c r="AF248" s="113"/>
      <c r="AG248" s="113"/>
      <c r="AH248" s="113"/>
      <c r="AI248" s="113"/>
      <c r="AJ248" s="113"/>
      <c r="AK248" s="113"/>
      <c r="AL248" s="113"/>
      <c r="AM248" s="113"/>
      <c r="AN248" s="113"/>
      <c r="AO248" s="113"/>
      <c r="AP248" s="113"/>
      <c r="AQ248" s="113"/>
      <c r="AR248" s="113"/>
      <c r="AS248" s="113"/>
      <c r="AT248" s="113"/>
      <c r="AU248" s="113"/>
      <c r="AV248" s="113"/>
      <c r="AW248" s="113"/>
      <c r="AX248" s="113"/>
      <c r="AY248" s="113"/>
      <c r="AZ248" s="113"/>
      <c r="BA248" s="113"/>
      <c r="BB248" s="113"/>
      <c r="BC248" s="113"/>
      <c r="BD248" s="113"/>
      <c r="BE248" s="113"/>
      <c r="BF248" s="113"/>
      <c r="BG248" s="113"/>
      <c r="BH248" s="113"/>
      <c r="BI248" s="113"/>
      <c r="BJ248" s="113"/>
      <c r="BK248" s="113"/>
      <c r="BL248" s="113"/>
      <c r="BM248" s="113"/>
      <c r="BN248" s="113"/>
      <c r="BO248" s="113"/>
      <c r="BP248" s="113"/>
    </row>
    <row r="249" spans="1:68" ht="12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9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  <c r="AW249" s="113"/>
      <c r="AX249" s="113"/>
      <c r="AY249" s="113"/>
      <c r="AZ249" s="113"/>
      <c r="BA249" s="113"/>
      <c r="BB249" s="113"/>
      <c r="BC249" s="113"/>
      <c r="BD249" s="113"/>
      <c r="BE249" s="113"/>
      <c r="BF249" s="113"/>
      <c r="BG249" s="113"/>
      <c r="BH249" s="113"/>
      <c r="BI249" s="113"/>
      <c r="BJ249" s="113"/>
      <c r="BK249" s="113"/>
      <c r="BL249" s="113"/>
      <c r="BM249" s="113"/>
      <c r="BN249" s="113"/>
      <c r="BO249" s="113"/>
      <c r="BP249" s="113"/>
    </row>
    <row r="250" spans="1:68" ht="12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9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  <c r="BD250" s="113"/>
      <c r="BE250" s="113"/>
      <c r="BF250" s="113"/>
      <c r="BG250" s="113"/>
      <c r="BH250" s="113"/>
      <c r="BI250" s="113"/>
      <c r="BJ250" s="113"/>
      <c r="BK250" s="113"/>
      <c r="BL250" s="113"/>
      <c r="BM250" s="113"/>
      <c r="BN250" s="113"/>
      <c r="BO250" s="113"/>
      <c r="BP250" s="113"/>
    </row>
    <row r="251" spans="1:68" ht="12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9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  <c r="AW251" s="113"/>
      <c r="AX251" s="113"/>
      <c r="AY251" s="113"/>
      <c r="AZ251" s="113"/>
      <c r="BA251" s="113"/>
      <c r="BB251" s="113"/>
      <c r="BC251" s="113"/>
      <c r="BD251" s="113"/>
      <c r="BE251" s="113"/>
      <c r="BF251" s="113"/>
      <c r="BG251" s="113"/>
      <c r="BH251" s="113"/>
      <c r="BI251" s="113"/>
      <c r="BJ251" s="113"/>
      <c r="BK251" s="113"/>
      <c r="BL251" s="113"/>
      <c r="BM251" s="113"/>
      <c r="BN251" s="113"/>
      <c r="BO251" s="113"/>
      <c r="BP251" s="113"/>
    </row>
    <row r="252" spans="1:68" ht="12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9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  <c r="AW252" s="113"/>
      <c r="AX252" s="113"/>
      <c r="AY252" s="113"/>
      <c r="AZ252" s="113"/>
      <c r="BA252" s="113"/>
      <c r="BB252" s="113"/>
      <c r="BC252" s="113"/>
      <c r="BD252" s="113"/>
      <c r="BE252" s="113"/>
      <c r="BF252" s="113"/>
      <c r="BG252" s="113"/>
      <c r="BH252" s="113"/>
      <c r="BI252" s="113"/>
      <c r="BJ252" s="113"/>
      <c r="BK252" s="113"/>
      <c r="BL252" s="113"/>
      <c r="BM252" s="113"/>
      <c r="BN252" s="113"/>
      <c r="BO252" s="113"/>
      <c r="BP252" s="113"/>
    </row>
    <row r="253" spans="1:68" ht="12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9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  <c r="BI253" s="113"/>
      <c r="BJ253" s="113"/>
      <c r="BK253" s="113"/>
      <c r="BL253" s="113"/>
      <c r="BM253" s="113"/>
      <c r="BN253" s="113"/>
      <c r="BO253" s="113"/>
      <c r="BP253" s="113"/>
    </row>
    <row r="254" spans="1:68" ht="12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9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  <c r="AV254" s="113"/>
      <c r="AW254" s="113"/>
      <c r="AX254" s="113"/>
      <c r="AY254" s="113"/>
      <c r="AZ254" s="113"/>
      <c r="BA254" s="113"/>
      <c r="BB254" s="113"/>
      <c r="BC254" s="113"/>
      <c r="BD254" s="113"/>
      <c r="BE254" s="113"/>
      <c r="BF254" s="113"/>
      <c r="BG254" s="113"/>
      <c r="BH254" s="113"/>
      <c r="BI254" s="113"/>
      <c r="BJ254" s="113"/>
      <c r="BK254" s="113"/>
      <c r="BL254" s="113"/>
      <c r="BM254" s="113"/>
      <c r="BN254" s="113"/>
      <c r="BO254" s="113"/>
      <c r="BP254" s="113"/>
    </row>
    <row r="255" spans="1:68" ht="12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9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  <c r="BD255" s="113"/>
      <c r="BE255" s="113"/>
      <c r="BF255" s="113"/>
      <c r="BG255" s="113"/>
      <c r="BH255" s="113"/>
      <c r="BI255" s="113"/>
      <c r="BJ255" s="113"/>
      <c r="BK255" s="113"/>
      <c r="BL255" s="113"/>
      <c r="BM255" s="113"/>
      <c r="BN255" s="113"/>
      <c r="BO255" s="113"/>
      <c r="BP255" s="113"/>
    </row>
    <row r="256" spans="1:68" ht="12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9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/>
      <c r="BP256" s="113"/>
    </row>
    <row r="257" spans="1:68" ht="12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9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  <c r="AW257" s="113"/>
      <c r="AX257" s="113"/>
      <c r="AY257" s="113"/>
      <c r="AZ257" s="113"/>
      <c r="BA257" s="113"/>
      <c r="BB257" s="113"/>
      <c r="BC257" s="113"/>
      <c r="BD257" s="113"/>
      <c r="BE257" s="113"/>
      <c r="BF257" s="113"/>
      <c r="BG257" s="113"/>
      <c r="BH257" s="113"/>
      <c r="BI257" s="113"/>
      <c r="BJ257" s="113"/>
      <c r="BK257" s="113"/>
      <c r="BL257" s="113"/>
      <c r="BM257" s="113"/>
      <c r="BN257" s="113"/>
      <c r="BO257" s="113"/>
      <c r="BP257" s="113"/>
    </row>
    <row r="258" spans="1:68" ht="12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9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  <c r="BD258" s="113"/>
      <c r="BE258" s="113"/>
      <c r="BF258" s="113"/>
      <c r="BG258" s="113"/>
      <c r="BH258" s="113"/>
      <c r="BI258" s="113"/>
      <c r="BJ258" s="113"/>
      <c r="BK258" s="113"/>
      <c r="BL258" s="113"/>
      <c r="BM258" s="113"/>
      <c r="BN258" s="113"/>
      <c r="BO258" s="113"/>
      <c r="BP258" s="113"/>
    </row>
    <row r="259" spans="1:68" ht="12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9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  <c r="AW259" s="113"/>
      <c r="AX259" s="113"/>
      <c r="AY259" s="113"/>
      <c r="AZ259" s="113"/>
      <c r="BA259" s="113"/>
      <c r="BB259" s="113"/>
      <c r="BC259" s="113"/>
      <c r="BD259" s="113"/>
      <c r="BE259" s="113"/>
      <c r="BF259" s="113"/>
      <c r="BG259" s="113"/>
      <c r="BH259" s="113"/>
      <c r="BI259" s="113"/>
      <c r="BJ259" s="113"/>
      <c r="BK259" s="113"/>
      <c r="BL259" s="113"/>
      <c r="BM259" s="113"/>
      <c r="BN259" s="113"/>
      <c r="BO259" s="113"/>
      <c r="BP259" s="113"/>
    </row>
    <row r="260" spans="1:68" ht="12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9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  <c r="AR260" s="113"/>
      <c r="AS260" s="113"/>
      <c r="AT260" s="113"/>
      <c r="AU260" s="113"/>
      <c r="AV260" s="113"/>
      <c r="AW260" s="113"/>
      <c r="AX260" s="113"/>
      <c r="AY260" s="113"/>
      <c r="AZ260" s="113"/>
      <c r="BA260" s="113"/>
      <c r="BB260" s="113"/>
      <c r="BC260" s="113"/>
      <c r="BD260" s="113"/>
      <c r="BE260" s="113"/>
      <c r="BF260" s="113"/>
      <c r="BG260" s="113"/>
      <c r="BH260" s="113"/>
      <c r="BI260" s="113"/>
      <c r="BJ260" s="113"/>
      <c r="BK260" s="113"/>
      <c r="BL260" s="113"/>
      <c r="BM260" s="113"/>
      <c r="BN260" s="113"/>
      <c r="BO260" s="113"/>
      <c r="BP260" s="113"/>
    </row>
    <row r="261" spans="1:68" ht="12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9"/>
      <c r="AE261" s="113"/>
      <c r="AF261" s="113"/>
      <c r="AG261" s="113"/>
      <c r="AH261" s="113"/>
      <c r="AI261" s="113"/>
      <c r="AJ261" s="113"/>
      <c r="AK261" s="113"/>
      <c r="AL261" s="113"/>
      <c r="AM261" s="113"/>
      <c r="AN261" s="113"/>
      <c r="AO261" s="113"/>
      <c r="AP261" s="113"/>
      <c r="AQ261" s="113"/>
      <c r="AR261" s="113"/>
      <c r="AS261" s="113"/>
      <c r="AT261" s="113"/>
      <c r="AU261" s="113"/>
      <c r="AV261" s="113"/>
      <c r="AW261" s="113"/>
      <c r="AX261" s="113"/>
      <c r="AY261" s="113"/>
      <c r="AZ261" s="113"/>
      <c r="BA261" s="113"/>
      <c r="BB261" s="113"/>
      <c r="BC261" s="113"/>
      <c r="BD261" s="113"/>
      <c r="BE261" s="113"/>
      <c r="BF261" s="113"/>
      <c r="BG261" s="113"/>
      <c r="BH261" s="113"/>
      <c r="BI261" s="113"/>
      <c r="BJ261" s="113"/>
      <c r="BK261" s="113"/>
      <c r="BL261" s="113"/>
      <c r="BM261" s="113"/>
      <c r="BN261" s="113"/>
      <c r="BO261" s="113"/>
      <c r="BP261" s="113"/>
    </row>
    <row r="262" spans="1:68" ht="12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9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  <c r="AR262" s="113"/>
      <c r="AS262" s="113"/>
      <c r="AT262" s="113"/>
      <c r="AU262" s="113"/>
      <c r="AV262" s="113"/>
      <c r="AW262" s="113"/>
      <c r="AX262" s="113"/>
      <c r="AY262" s="113"/>
      <c r="AZ262" s="113"/>
      <c r="BA262" s="113"/>
      <c r="BB262" s="113"/>
      <c r="BC262" s="113"/>
      <c r="BD262" s="113"/>
      <c r="BE262" s="113"/>
      <c r="BF262" s="113"/>
      <c r="BG262" s="113"/>
      <c r="BH262" s="113"/>
      <c r="BI262" s="113"/>
      <c r="BJ262" s="113"/>
      <c r="BK262" s="113"/>
      <c r="BL262" s="113"/>
      <c r="BM262" s="113"/>
      <c r="BN262" s="113"/>
      <c r="BO262" s="113"/>
      <c r="BP262" s="113"/>
    </row>
    <row r="263" spans="1:68" ht="12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9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13"/>
      <c r="AV263" s="113"/>
      <c r="AW263" s="113"/>
      <c r="AX263" s="113"/>
      <c r="AY263" s="113"/>
      <c r="AZ263" s="113"/>
      <c r="BA263" s="113"/>
      <c r="BB263" s="113"/>
      <c r="BC263" s="113"/>
      <c r="BD263" s="113"/>
      <c r="BE263" s="113"/>
      <c r="BF263" s="113"/>
      <c r="BG263" s="113"/>
      <c r="BH263" s="113"/>
      <c r="BI263" s="113"/>
      <c r="BJ263" s="113"/>
      <c r="BK263" s="113"/>
      <c r="BL263" s="113"/>
      <c r="BM263" s="113"/>
      <c r="BN263" s="113"/>
      <c r="BO263" s="113"/>
      <c r="BP263" s="113"/>
    </row>
    <row r="264" spans="1:68" ht="12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9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  <c r="AR264" s="113"/>
      <c r="AS264" s="113"/>
      <c r="AT264" s="113"/>
      <c r="AU264" s="113"/>
      <c r="AV264" s="113"/>
      <c r="AW264" s="113"/>
      <c r="AX264" s="113"/>
      <c r="AY264" s="113"/>
      <c r="AZ264" s="113"/>
      <c r="BA264" s="113"/>
      <c r="BB264" s="113"/>
      <c r="BC264" s="113"/>
      <c r="BD264" s="113"/>
      <c r="BE264" s="113"/>
      <c r="BF264" s="113"/>
      <c r="BG264" s="113"/>
      <c r="BH264" s="113"/>
      <c r="BI264" s="113"/>
      <c r="BJ264" s="113"/>
      <c r="BK264" s="113"/>
      <c r="BL264" s="113"/>
      <c r="BM264" s="113"/>
      <c r="BN264" s="113"/>
      <c r="BO264" s="113"/>
      <c r="BP264" s="113"/>
    </row>
    <row r="265" spans="1:68" ht="12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9"/>
      <c r="AE265" s="113"/>
      <c r="AF265" s="113"/>
      <c r="AG265" s="113"/>
      <c r="AH265" s="113"/>
      <c r="AI265" s="113"/>
      <c r="AJ265" s="113"/>
      <c r="AK265" s="113"/>
      <c r="AL265" s="113"/>
      <c r="AM265" s="113"/>
      <c r="AN265" s="113"/>
      <c r="AO265" s="113"/>
      <c r="AP265" s="113"/>
      <c r="AQ265" s="113"/>
      <c r="AR265" s="113"/>
      <c r="AS265" s="113"/>
      <c r="AT265" s="113"/>
      <c r="AU265" s="113"/>
      <c r="AV265" s="113"/>
      <c r="AW265" s="113"/>
      <c r="AX265" s="113"/>
      <c r="AY265" s="113"/>
      <c r="AZ265" s="113"/>
      <c r="BA265" s="113"/>
      <c r="BB265" s="113"/>
      <c r="BC265" s="113"/>
      <c r="BD265" s="113"/>
      <c r="BE265" s="113"/>
      <c r="BF265" s="113"/>
      <c r="BG265" s="113"/>
      <c r="BH265" s="113"/>
      <c r="BI265" s="113"/>
      <c r="BJ265" s="113"/>
      <c r="BK265" s="113"/>
      <c r="BL265" s="113"/>
      <c r="BM265" s="113"/>
      <c r="BN265" s="113"/>
      <c r="BO265" s="113"/>
      <c r="BP265" s="113"/>
    </row>
    <row r="266" spans="1:68" ht="12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9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  <c r="AR266" s="113"/>
      <c r="AS266" s="113"/>
      <c r="AT266" s="113"/>
      <c r="AU266" s="113"/>
      <c r="AV266" s="113"/>
      <c r="AW266" s="113"/>
      <c r="AX266" s="113"/>
      <c r="AY266" s="113"/>
      <c r="AZ266" s="113"/>
      <c r="BA266" s="113"/>
      <c r="BB266" s="113"/>
      <c r="BC266" s="113"/>
      <c r="BD266" s="113"/>
      <c r="BE266" s="113"/>
      <c r="BF266" s="113"/>
      <c r="BG266" s="113"/>
      <c r="BH266" s="113"/>
      <c r="BI266" s="113"/>
      <c r="BJ266" s="113"/>
      <c r="BK266" s="113"/>
      <c r="BL266" s="113"/>
      <c r="BM266" s="113"/>
      <c r="BN266" s="113"/>
      <c r="BO266" s="113"/>
      <c r="BP266" s="113"/>
    </row>
    <row r="267" spans="1:68" ht="12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9"/>
      <c r="AE267" s="113"/>
      <c r="AF267" s="113"/>
      <c r="AG267" s="113"/>
      <c r="AH267" s="113"/>
      <c r="AI267" s="113"/>
      <c r="AJ267" s="113"/>
      <c r="AK267" s="113"/>
      <c r="AL267" s="113"/>
      <c r="AM267" s="113"/>
      <c r="AN267" s="113"/>
      <c r="AO267" s="113"/>
      <c r="AP267" s="113"/>
      <c r="AQ267" s="113"/>
      <c r="AR267" s="113"/>
      <c r="AS267" s="113"/>
      <c r="AT267" s="113"/>
      <c r="AU267" s="113"/>
      <c r="AV267" s="113"/>
      <c r="AW267" s="113"/>
      <c r="AX267" s="113"/>
      <c r="AY267" s="113"/>
      <c r="AZ267" s="113"/>
      <c r="BA267" s="113"/>
      <c r="BB267" s="113"/>
      <c r="BC267" s="113"/>
      <c r="BD267" s="113"/>
      <c r="BE267" s="113"/>
      <c r="BF267" s="113"/>
      <c r="BG267" s="113"/>
      <c r="BH267" s="113"/>
      <c r="BI267" s="113"/>
      <c r="BJ267" s="113"/>
      <c r="BK267" s="113"/>
      <c r="BL267" s="113"/>
      <c r="BM267" s="113"/>
      <c r="BN267" s="113"/>
      <c r="BO267" s="113"/>
      <c r="BP267" s="113"/>
    </row>
    <row r="268" spans="1:68" ht="12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9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  <c r="AR268" s="113"/>
      <c r="AS268" s="113"/>
      <c r="AT268" s="113"/>
      <c r="AU268" s="113"/>
      <c r="AV268" s="113"/>
      <c r="AW268" s="113"/>
      <c r="AX268" s="113"/>
      <c r="AY268" s="113"/>
      <c r="AZ268" s="113"/>
      <c r="BA268" s="113"/>
      <c r="BB268" s="113"/>
      <c r="BC268" s="113"/>
      <c r="BD268" s="113"/>
      <c r="BE268" s="113"/>
      <c r="BF268" s="113"/>
      <c r="BG268" s="113"/>
      <c r="BH268" s="113"/>
      <c r="BI268" s="113"/>
      <c r="BJ268" s="113"/>
      <c r="BK268" s="113"/>
      <c r="BL268" s="113"/>
      <c r="BM268" s="113"/>
      <c r="BN268" s="113"/>
      <c r="BO268" s="113"/>
      <c r="BP268" s="113"/>
    </row>
    <row r="269" spans="1:68" ht="12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9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  <c r="AR269" s="113"/>
      <c r="AS269" s="113"/>
      <c r="AT269" s="113"/>
      <c r="AU269" s="113"/>
      <c r="AV269" s="113"/>
      <c r="AW269" s="113"/>
      <c r="AX269" s="113"/>
      <c r="AY269" s="113"/>
      <c r="AZ269" s="113"/>
      <c r="BA269" s="113"/>
      <c r="BB269" s="113"/>
      <c r="BC269" s="113"/>
      <c r="BD269" s="113"/>
      <c r="BE269" s="113"/>
      <c r="BF269" s="113"/>
      <c r="BG269" s="113"/>
      <c r="BH269" s="113"/>
      <c r="BI269" s="113"/>
      <c r="BJ269" s="113"/>
      <c r="BK269" s="113"/>
      <c r="BL269" s="113"/>
      <c r="BM269" s="113"/>
      <c r="BN269" s="113"/>
      <c r="BO269" s="113"/>
      <c r="BP269" s="113"/>
    </row>
    <row r="270" spans="1:68" ht="12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9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3"/>
      <c r="AU270" s="113"/>
      <c r="AV270" s="113"/>
      <c r="AW270" s="113"/>
      <c r="AX270" s="113"/>
      <c r="AY270" s="113"/>
      <c r="AZ270" s="113"/>
      <c r="BA270" s="113"/>
      <c r="BB270" s="113"/>
      <c r="BC270" s="113"/>
      <c r="BD270" s="113"/>
      <c r="BE270" s="113"/>
      <c r="BF270" s="113"/>
      <c r="BG270" s="113"/>
      <c r="BH270" s="113"/>
      <c r="BI270" s="113"/>
      <c r="BJ270" s="113"/>
      <c r="BK270" s="113"/>
      <c r="BL270" s="113"/>
      <c r="BM270" s="113"/>
      <c r="BN270" s="113"/>
      <c r="BO270" s="113"/>
      <c r="BP270" s="113"/>
    </row>
    <row r="271" spans="1:68" ht="12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9"/>
      <c r="AE271" s="113"/>
      <c r="AF271" s="113"/>
      <c r="AG271" s="113"/>
      <c r="AH271" s="113"/>
      <c r="AI271" s="113"/>
      <c r="AJ271" s="113"/>
      <c r="AK271" s="113"/>
      <c r="AL271" s="113"/>
      <c r="AM271" s="113"/>
      <c r="AN271" s="113"/>
      <c r="AO271" s="113"/>
      <c r="AP271" s="113"/>
      <c r="AQ271" s="113"/>
      <c r="AR271" s="113"/>
      <c r="AS271" s="113"/>
      <c r="AT271" s="113"/>
      <c r="AU271" s="113"/>
      <c r="AV271" s="113"/>
      <c r="AW271" s="113"/>
      <c r="AX271" s="113"/>
      <c r="AY271" s="113"/>
      <c r="AZ271" s="113"/>
      <c r="BA271" s="113"/>
      <c r="BB271" s="113"/>
      <c r="BC271" s="113"/>
      <c r="BD271" s="113"/>
      <c r="BE271" s="113"/>
      <c r="BF271" s="113"/>
      <c r="BG271" s="113"/>
      <c r="BH271" s="113"/>
      <c r="BI271" s="113"/>
      <c r="BJ271" s="113"/>
      <c r="BK271" s="113"/>
      <c r="BL271" s="113"/>
      <c r="BM271" s="113"/>
      <c r="BN271" s="113"/>
      <c r="BO271" s="113"/>
      <c r="BP271" s="113"/>
    </row>
    <row r="272" spans="1:68" ht="12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9"/>
      <c r="AE272" s="113"/>
      <c r="AF272" s="113"/>
      <c r="AG272" s="113"/>
      <c r="AH272" s="113"/>
      <c r="AI272" s="113"/>
      <c r="AJ272" s="113"/>
      <c r="AK272" s="113"/>
      <c r="AL272" s="113"/>
      <c r="AM272" s="113"/>
      <c r="AN272" s="113"/>
      <c r="AO272" s="113"/>
      <c r="AP272" s="113"/>
      <c r="AQ272" s="113"/>
      <c r="AR272" s="113"/>
      <c r="AS272" s="113"/>
      <c r="AT272" s="113"/>
      <c r="AU272" s="113"/>
      <c r="AV272" s="113"/>
      <c r="AW272" s="113"/>
      <c r="AX272" s="113"/>
      <c r="AY272" s="113"/>
      <c r="AZ272" s="113"/>
      <c r="BA272" s="113"/>
      <c r="BB272" s="113"/>
      <c r="BC272" s="113"/>
      <c r="BD272" s="113"/>
      <c r="BE272" s="113"/>
      <c r="BF272" s="113"/>
      <c r="BG272" s="113"/>
      <c r="BH272" s="113"/>
      <c r="BI272" s="113"/>
      <c r="BJ272" s="113"/>
      <c r="BK272" s="113"/>
      <c r="BL272" s="113"/>
      <c r="BM272" s="113"/>
      <c r="BN272" s="113"/>
      <c r="BO272" s="113"/>
      <c r="BP272" s="113"/>
    </row>
    <row r="273" spans="1:68" ht="12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9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  <c r="AR273" s="113"/>
      <c r="AS273" s="113"/>
      <c r="AT273" s="113"/>
      <c r="AU273" s="113"/>
      <c r="AV273" s="113"/>
      <c r="AW273" s="113"/>
      <c r="AX273" s="113"/>
      <c r="AY273" s="113"/>
      <c r="AZ273" s="113"/>
      <c r="BA273" s="113"/>
      <c r="BB273" s="113"/>
      <c r="BC273" s="113"/>
      <c r="BD273" s="113"/>
      <c r="BE273" s="113"/>
      <c r="BF273" s="113"/>
      <c r="BG273" s="113"/>
      <c r="BH273" s="113"/>
      <c r="BI273" s="113"/>
      <c r="BJ273" s="113"/>
      <c r="BK273" s="113"/>
      <c r="BL273" s="113"/>
      <c r="BM273" s="113"/>
      <c r="BN273" s="113"/>
      <c r="BO273" s="113"/>
      <c r="BP273" s="113"/>
    </row>
    <row r="274" spans="1:68" ht="12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9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  <c r="AR274" s="113"/>
      <c r="AS274" s="113"/>
      <c r="AT274" s="113"/>
      <c r="AU274" s="113"/>
      <c r="AV274" s="113"/>
      <c r="AW274" s="113"/>
      <c r="AX274" s="113"/>
      <c r="AY274" s="113"/>
      <c r="AZ274" s="113"/>
      <c r="BA274" s="113"/>
      <c r="BB274" s="113"/>
      <c r="BC274" s="113"/>
      <c r="BD274" s="113"/>
      <c r="BE274" s="113"/>
      <c r="BF274" s="113"/>
      <c r="BG274" s="113"/>
      <c r="BH274" s="113"/>
      <c r="BI274" s="113"/>
      <c r="BJ274" s="113"/>
      <c r="BK274" s="113"/>
      <c r="BL274" s="113"/>
      <c r="BM274" s="113"/>
      <c r="BN274" s="113"/>
      <c r="BO274" s="113"/>
      <c r="BP274" s="113"/>
    </row>
    <row r="275" spans="1:68" ht="12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9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3"/>
      <c r="AV275" s="113"/>
      <c r="AW275" s="113"/>
      <c r="AX275" s="113"/>
      <c r="AY275" s="113"/>
      <c r="AZ275" s="113"/>
      <c r="BA275" s="113"/>
      <c r="BB275" s="113"/>
      <c r="BC275" s="113"/>
      <c r="BD275" s="113"/>
      <c r="BE275" s="113"/>
      <c r="BF275" s="113"/>
      <c r="BG275" s="113"/>
      <c r="BH275" s="113"/>
      <c r="BI275" s="113"/>
      <c r="BJ275" s="113"/>
      <c r="BK275" s="113"/>
      <c r="BL275" s="113"/>
      <c r="BM275" s="113"/>
      <c r="BN275" s="113"/>
      <c r="BO275" s="113"/>
      <c r="BP275" s="113"/>
    </row>
    <row r="276" spans="1:68" ht="12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9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  <c r="AR276" s="113"/>
      <c r="AS276" s="113"/>
      <c r="AT276" s="113"/>
      <c r="AU276" s="113"/>
      <c r="AV276" s="113"/>
      <c r="AW276" s="113"/>
      <c r="AX276" s="113"/>
      <c r="AY276" s="113"/>
      <c r="AZ276" s="113"/>
      <c r="BA276" s="113"/>
      <c r="BB276" s="113"/>
      <c r="BC276" s="113"/>
      <c r="BD276" s="113"/>
      <c r="BE276" s="113"/>
      <c r="BF276" s="113"/>
      <c r="BG276" s="113"/>
      <c r="BH276" s="113"/>
      <c r="BI276" s="113"/>
      <c r="BJ276" s="113"/>
      <c r="BK276" s="113"/>
      <c r="BL276" s="113"/>
      <c r="BM276" s="113"/>
      <c r="BN276" s="113"/>
      <c r="BO276" s="113"/>
      <c r="BP276" s="113"/>
    </row>
    <row r="277" spans="1:68" ht="12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9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  <c r="AR277" s="113"/>
      <c r="AS277" s="113"/>
      <c r="AT277" s="113"/>
      <c r="AU277" s="113"/>
      <c r="AV277" s="113"/>
      <c r="AW277" s="113"/>
      <c r="AX277" s="113"/>
      <c r="AY277" s="113"/>
      <c r="AZ277" s="113"/>
      <c r="BA277" s="113"/>
      <c r="BB277" s="113"/>
      <c r="BC277" s="113"/>
      <c r="BD277" s="113"/>
      <c r="BE277" s="113"/>
      <c r="BF277" s="113"/>
      <c r="BG277" s="113"/>
      <c r="BH277" s="113"/>
      <c r="BI277" s="113"/>
      <c r="BJ277" s="113"/>
      <c r="BK277" s="113"/>
      <c r="BL277" s="113"/>
      <c r="BM277" s="113"/>
      <c r="BN277" s="113"/>
      <c r="BO277" s="113"/>
      <c r="BP277" s="113"/>
    </row>
    <row r="278" spans="1:68" ht="12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9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3"/>
      <c r="AT278" s="113"/>
      <c r="AU278" s="113"/>
      <c r="AV278" s="113"/>
      <c r="AW278" s="113"/>
      <c r="AX278" s="113"/>
      <c r="AY278" s="113"/>
      <c r="AZ278" s="113"/>
      <c r="BA278" s="113"/>
      <c r="BB278" s="113"/>
      <c r="BC278" s="113"/>
      <c r="BD278" s="113"/>
      <c r="BE278" s="113"/>
      <c r="BF278" s="113"/>
      <c r="BG278" s="113"/>
      <c r="BH278" s="113"/>
      <c r="BI278" s="113"/>
      <c r="BJ278" s="113"/>
      <c r="BK278" s="113"/>
      <c r="BL278" s="113"/>
      <c r="BM278" s="113"/>
      <c r="BN278" s="113"/>
      <c r="BO278" s="113"/>
      <c r="BP278" s="113"/>
    </row>
    <row r="279" spans="1:68" ht="12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9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  <c r="AR279" s="113"/>
      <c r="AS279" s="113"/>
      <c r="AT279" s="113"/>
      <c r="AU279" s="113"/>
      <c r="AV279" s="113"/>
      <c r="AW279" s="113"/>
      <c r="AX279" s="113"/>
      <c r="AY279" s="113"/>
      <c r="AZ279" s="113"/>
      <c r="BA279" s="113"/>
      <c r="BB279" s="113"/>
      <c r="BC279" s="113"/>
      <c r="BD279" s="113"/>
      <c r="BE279" s="113"/>
      <c r="BF279" s="113"/>
      <c r="BG279" s="113"/>
      <c r="BH279" s="113"/>
      <c r="BI279" s="113"/>
      <c r="BJ279" s="113"/>
      <c r="BK279" s="113"/>
      <c r="BL279" s="113"/>
      <c r="BM279" s="113"/>
      <c r="BN279" s="113"/>
      <c r="BO279" s="113"/>
      <c r="BP279" s="113"/>
    </row>
    <row r="280" spans="1:68" ht="12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9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  <c r="AV280" s="113"/>
      <c r="AW280" s="113"/>
      <c r="AX280" s="113"/>
      <c r="AY280" s="113"/>
      <c r="AZ280" s="113"/>
      <c r="BA280" s="113"/>
      <c r="BB280" s="113"/>
      <c r="BC280" s="113"/>
      <c r="BD280" s="113"/>
      <c r="BE280" s="113"/>
      <c r="BF280" s="113"/>
      <c r="BG280" s="113"/>
      <c r="BH280" s="113"/>
      <c r="BI280" s="113"/>
      <c r="BJ280" s="113"/>
      <c r="BK280" s="113"/>
      <c r="BL280" s="113"/>
      <c r="BM280" s="113"/>
      <c r="BN280" s="113"/>
      <c r="BO280" s="113"/>
      <c r="BP280" s="113"/>
    </row>
    <row r="281" spans="1:68" ht="12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9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3"/>
      <c r="AT281" s="113"/>
      <c r="AU281" s="113"/>
      <c r="AV281" s="113"/>
      <c r="AW281" s="113"/>
      <c r="AX281" s="113"/>
      <c r="AY281" s="113"/>
      <c r="AZ281" s="113"/>
      <c r="BA281" s="113"/>
      <c r="BB281" s="113"/>
      <c r="BC281" s="113"/>
      <c r="BD281" s="113"/>
      <c r="BE281" s="113"/>
      <c r="BF281" s="113"/>
      <c r="BG281" s="113"/>
      <c r="BH281" s="113"/>
      <c r="BI281" s="113"/>
      <c r="BJ281" s="113"/>
      <c r="BK281" s="113"/>
      <c r="BL281" s="113"/>
      <c r="BM281" s="113"/>
      <c r="BN281" s="113"/>
      <c r="BO281" s="113"/>
      <c r="BP281" s="113"/>
    </row>
    <row r="282" spans="1:68" ht="12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9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  <c r="AV282" s="113"/>
      <c r="AW282" s="113"/>
      <c r="AX282" s="113"/>
      <c r="AY282" s="113"/>
      <c r="AZ282" s="113"/>
      <c r="BA282" s="113"/>
      <c r="BB282" s="113"/>
      <c r="BC282" s="113"/>
      <c r="BD282" s="113"/>
      <c r="BE282" s="113"/>
      <c r="BF282" s="113"/>
      <c r="BG282" s="113"/>
      <c r="BH282" s="113"/>
      <c r="BI282" s="113"/>
      <c r="BJ282" s="113"/>
      <c r="BK282" s="113"/>
      <c r="BL282" s="113"/>
      <c r="BM282" s="113"/>
      <c r="BN282" s="113"/>
      <c r="BO282" s="113"/>
      <c r="BP282" s="113"/>
    </row>
    <row r="283" spans="1:68" ht="12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9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  <c r="AR283" s="113"/>
      <c r="AS283" s="113"/>
      <c r="AT283" s="113"/>
      <c r="AU283" s="113"/>
      <c r="AV283" s="113"/>
      <c r="AW283" s="113"/>
      <c r="AX283" s="113"/>
      <c r="AY283" s="113"/>
      <c r="AZ283" s="113"/>
      <c r="BA283" s="113"/>
      <c r="BB283" s="113"/>
      <c r="BC283" s="113"/>
      <c r="BD283" s="113"/>
      <c r="BE283" s="113"/>
      <c r="BF283" s="113"/>
      <c r="BG283" s="113"/>
      <c r="BH283" s="113"/>
      <c r="BI283" s="113"/>
      <c r="BJ283" s="113"/>
      <c r="BK283" s="113"/>
      <c r="BL283" s="113"/>
      <c r="BM283" s="113"/>
      <c r="BN283" s="113"/>
      <c r="BO283" s="113"/>
      <c r="BP283" s="113"/>
    </row>
    <row r="284" spans="1:68" ht="12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9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  <c r="AR284" s="113"/>
      <c r="AS284" s="113"/>
      <c r="AT284" s="113"/>
      <c r="AU284" s="113"/>
      <c r="AV284" s="113"/>
      <c r="AW284" s="113"/>
      <c r="AX284" s="113"/>
      <c r="AY284" s="113"/>
      <c r="AZ284" s="113"/>
      <c r="BA284" s="113"/>
      <c r="BB284" s="113"/>
      <c r="BC284" s="113"/>
      <c r="BD284" s="113"/>
      <c r="BE284" s="113"/>
      <c r="BF284" s="113"/>
      <c r="BG284" s="113"/>
      <c r="BH284" s="113"/>
      <c r="BI284" s="113"/>
      <c r="BJ284" s="113"/>
      <c r="BK284" s="113"/>
      <c r="BL284" s="113"/>
      <c r="BM284" s="113"/>
      <c r="BN284" s="113"/>
      <c r="BO284" s="113"/>
      <c r="BP284" s="113"/>
    </row>
    <row r="285" spans="1:68" ht="12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9"/>
      <c r="AE285" s="113"/>
      <c r="AF285" s="113"/>
      <c r="AG285" s="113"/>
      <c r="AH285" s="113"/>
      <c r="AI285" s="113"/>
      <c r="AJ285" s="113"/>
      <c r="AK285" s="113"/>
      <c r="AL285" s="113"/>
      <c r="AM285" s="113"/>
      <c r="AN285" s="113"/>
      <c r="AO285" s="113"/>
      <c r="AP285" s="113"/>
      <c r="AQ285" s="113"/>
      <c r="AR285" s="113"/>
      <c r="AS285" s="113"/>
      <c r="AT285" s="113"/>
      <c r="AU285" s="113"/>
      <c r="AV285" s="113"/>
      <c r="AW285" s="113"/>
      <c r="AX285" s="113"/>
      <c r="AY285" s="113"/>
      <c r="AZ285" s="113"/>
      <c r="BA285" s="113"/>
      <c r="BB285" s="113"/>
      <c r="BC285" s="113"/>
      <c r="BD285" s="113"/>
      <c r="BE285" s="113"/>
      <c r="BF285" s="113"/>
      <c r="BG285" s="113"/>
      <c r="BH285" s="113"/>
      <c r="BI285" s="113"/>
      <c r="BJ285" s="113"/>
      <c r="BK285" s="113"/>
      <c r="BL285" s="113"/>
      <c r="BM285" s="113"/>
      <c r="BN285" s="113"/>
      <c r="BO285" s="113"/>
      <c r="BP285" s="113"/>
    </row>
    <row r="286" spans="1:68" ht="12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9"/>
      <c r="AE286" s="113"/>
      <c r="AF286" s="113"/>
      <c r="AG286" s="113"/>
      <c r="AH286" s="113"/>
      <c r="AI286" s="113"/>
      <c r="AJ286" s="113"/>
      <c r="AK286" s="113"/>
      <c r="AL286" s="113"/>
      <c r="AM286" s="113"/>
      <c r="AN286" s="113"/>
      <c r="AO286" s="113"/>
      <c r="AP286" s="113"/>
      <c r="AQ286" s="113"/>
      <c r="AR286" s="113"/>
      <c r="AS286" s="113"/>
      <c r="AT286" s="113"/>
      <c r="AU286" s="113"/>
      <c r="AV286" s="113"/>
      <c r="AW286" s="113"/>
      <c r="AX286" s="113"/>
      <c r="AY286" s="113"/>
      <c r="AZ286" s="113"/>
      <c r="BA286" s="113"/>
      <c r="BB286" s="113"/>
      <c r="BC286" s="113"/>
      <c r="BD286" s="113"/>
      <c r="BE286" s="113"/>
      <c r="BF286" s="113"/>
      <c r="BG286" s="113"/>
      <c r="BH286" s="113"/>
      <c r="BI286" s="113"/>
      <c r="BJ286" s="113"/>
      <c r="BK286" s="113"/>
      <c r="BL286" s="113"/>
      <c r="BM286" s="113"/>
      <c r="BN286" s="113"/>
      <c r="BO286" s="113"/>
      <c r="BP286" s="113"/>
    </row>
    <row r="287" spans="1:68" ht="12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9"/>
      <c r="AE287" s="113"/>
      <c r="AF287" s="113"/>
      <c r="AG287" s="113"/>
      <c r="AH287" s="113"/>
      <c r="AI287" s="113"/>
      <c r="AJ287" s="113"/>
      <c r="AK287" s="113"/>
      <c r="AL287" s="113"/>
      <c r="AM287" s="113"/>
      <c r="AN287" s="113"/>
      <c r="AO287" s="113"/>
      <c r="AP287" s="113"/>
      <c r="AQ287" s="113"/>
      <c r="AR287" s="113"/>
      <c r="AS287" s="113"/>
      <c r="AT287" s="113"/>
      <c r="AU287" s="113"/>
      <c r="AV287" s="113"/>
      <c r="AW287" s="113"/>
      <c r="AX287" s="113"/>
      <c r="AY287" s="113"/>
      <c r="AZ287" s="113"/>
      <c r="BA287" s="113"/>
      <c r="BB287" s="113"/>
      <c r="BC287" s="113"/>
      <c r="BD287" s="113"/>
      <c r="BE287" s="113"/>
      <c r="BF287" s="113"/>
      <c r="BG287" s="113"/>
      <c r="BH287" s="113"/>
      <c r="BI287" s="113"/>
      <c r="BJ287" s="113"/>
      <c r="BK287" s="113"/>
      <c r="BL287" s="113"/>
      <c r="BM287" s="113"/>
      <c r="BN287" s="113"/>
      <c r="BO287" s="113"/>
      <c r="BP287" s="113"/>
    </row>
    <row r="288" spans="1:68" ht="12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9"/>
      <c r="AE288" s="113"/>
      <c r="AF288" s="113"/>
      <c r="AG288" s="113"/>
      <c r="AH288" s="113"/>
      <c r="AI288" s="113"/>
      <c r="AJ288" s="113"/>
      <c r="AK288" s="113"/>
      <c r="AL288" s="113"/>
      <c r="AM288" s="113"/>
      <c r="AN288" s="113"/>
      <c r="AO288" s="113"/>
      <c r="AP288" s="113"/>
      <c r="AQ288" s="113"/>
      <c r="AR288" s="113"/>
      <c r="AS288" s="113"/>
      <c r="AT288" s="113"/>
      <c r="AU288" s="113"/>
      <c r="AV288" s="113"/>
      <c r="AW288" s="113"/>
      <c r="AX288" s="113"/>
      <c r="AY288" s="113"/>
      <c r="AZ288" s="113"/>
      <c r="BA288" s="113"/>
      <c r="BB288" s="113"/>
      <c r="BC288" s="113"/>
      <c r="BD288" s="113"/>
      <c r="BE288" s="113"/>
      <c r="BF288" s="113"/>
      <c r="BG288" s="113"/>
      <c r="BH288" s="113"/>
      <c r="BI288" s="113"/>
      <c r="BJ288" s="113"/>
      <c r="BK288" s="113"/>
      <c r="BL288" s="113"/>
      <c r="BM288" s="113"/>
      <c r="BN288" s="113"/>
      <c r="BO288" s="113"/>
      <c r="BP288" s="113"/>
    </row>
    <row r="289" spans="1:68" ht="12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9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  <c r="AV289" s="113"/>
      <c r="AW289" s="113"/>
      <c r="AX289" s="113"/>
      <c r="AY289" s="113"/>
      <c r="AZ289" s="113"/>
      <c r="BA289" s="113"/>
      <c r="BB289" s="113"/>
      <c r="BC289" s="113"/>
      <c r="BD289" s="113"/>
      <c r="BE289" s="113"/>
      <c r="BF289" s="113"/>
      <c r="BG289" s="113"/>
      <c r="BH289" s="113"/>
      <c r="BI289" s="113"/>
      <c r="BJ289" s="113"/>
      <c r="BK289" s="113"/>
      <c r="BL289" s="113"/>
      <c r="BM289" s="113"/>
      <c r="BN289" s="113"/>
      <c r="BO289" s="113"/>
      <c r="BP289" s="113"/>
    </row>
    <row r="290" spans="1:68" ht="12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9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  <c r="AR290" s="113"/>
      <c r="AS290" s="113"/>
      <c r="AT290" s="113"/>
      <c r="AU290" s="113"/>
      <c r="AV290" s="113"/>
      <c r="AW290" s="113"/>
      <c r="AX290" s="113"/>
      <c r="AY290" s="113"/>
      <c r="AZ290" s="113"/>
      <c r="BA290" s="113"/>
      <c r="BB290" s="113"/>
      <c r="BC290" s="113"/>
      <c r="BD290" s="113"/>
      <c r="BE290" s="113"/>
      <c r="BF290" s="113"/>
      <c r="BG290" s="113"/>
      <c r="BH290" s="113"/>
      <c r="BI290" s="113"/>
      <c r="BJ290" s="113"/>
      <c r="BK290" s="113"/>
      <c r="BL290" s="113"/>
      <c r="BM290" s="113"/>
      <c r="BN290" s="113"/>
      <c r="BO290" s="113"/>
      <c r="BP290" s="113"/>
    </row>
    <row r="291" spans="1:68" ht="12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9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  <c r="AV291" s="113"/>
      <c r="AW291" s="113"/>
      <c r="AX291" s="113"/>
      <c r="AY291" s="113"/>
      <c r="AZ291" s="113"/>
      <c r="BA291" s="113"/>
      <c r="BB291" s="113"/>
      <c r="BC291" s="113"/>
      <c r="BD291" s="113"/>
      <c r="BE291" s="113"/>
      <c r="BF291" s="113"/>
      <c r="BG291" s="113"/>
      <c r="BH291" s="113"/>
      <c r="BI291" s="113"/>
      <c r="BJ291" s="113"/>
      <c r="BK291" s="113"/>
      <c r="BL291" s="113"/>
      <c r="BM291" s="113"/>
      <c r="BN291" s="113"/>
      <c r="BO291" s="113"/>
      <c r="BP291" s="113"/>
    </row>
    <row r="292" spans="1:68" ht="12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9"/>
      <c r="AE292" s="113"/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  <c r="AR292" s="113"/>
      <c r="AS292" s="113"/>
      <c r="AT292" s="113"/>
      <c r="AU292" s="113"/>
      <c r="AV292" s="113"/>
      <c r="AW292" s="113"/>
      <c r="AX292" s="113"/>
      <c r="AY292" s="113"/>
      <c r="AZ292" s="113"/>
      <c r="BA292" s="113"/>
      <c r="BB292" s="113"/>
      <c r="BC292" s="113"/>
      <c r="BD292" s="113"/>
      <c r="BE292" s="113"/>
      <c r="BF292" s="113"/>
      <c r="BG292" s="113"/>
      <c r="BH292" s="113"/>
      <c r="BI292" s="113"/>
      <c r="BJ292" s="113"/>
      <c r="BK292" s="113"/>
      <c r="BL292" s="113"/>
      <c r="BM292" s="113"/>
      <c r="BN292" s="113"/>
      <c r="BO292" s="113"/>
      <c r="BP292" s="113"/>
    </row>
    <row r="293" spans="1:68" ht="12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9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  <c r="AV293" s="113"/>
      <c r="AW293" s="113"/>
      <c r="AX293" s="113"/>
      <c r="AY293" s="113"/>
      <c r="AZ293" s="113"/>
      <c r="BA293" s="113"/>
      <c r="BB293" s="113"/>
      <c r="BC293" s="113"/>
      <c r="BD293" s="113"/>
      <c r="BE293" s="113"/>
      <c r="BF293" s="113"/>
      <c r="BG293" s="113"/>
      <c r="BH293" s="113"/>
      <c r="BI293" s="113"/>
      <c r="BJ293" s="113"/>
      <c r="BK293" s="113"/>
      <c r="BL293" s="113"/>
      <c r="BM293" s="113"/>
      <c r="BN293" s="113"/>
      <c r="BO293" s="113"/>
      <c r="BP293" s="113"/>
    </row>
    <row r="294" spans="1:68" ht="12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9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/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/>
      <c r="BP294" s="113"/>
    </row>
    <row r="295" spans="1:68" ht="12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9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  <c r="AV295" s="113"/>
      <c r="AW295" s="113"/>
      <c r="AX295" s="113"/>
      <c r="AY295" s="113"/>
      <c r="AZ295" s="113"/>
      <c r="BA295" s="113"/>
      <c r="BB295" s="113"/>
      <c r="BC295" s="113"/>
      <c r="BD295" s="113"/>
      <c r="BE295" s="113"/>
      <c r="BF295" s="113"/>
      <c r="BG295" s="113"/>
      <c r="BH295" s="113"/>
      <c r="BI295" s="113"/>
      <c r="BJ295" s="113"/>
      <c r="BK295" s="113"/>
      <c r="BL295" s="113"/>
      <c r="BM295" s="113"/>
      <c r="BN295" s="113"/>
      <c r="BO295" s="113"/>
      <c r="BP295" s="113"/>
    </row>
    <row r="296" spans="1:68" ht="12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9"/>
      <c r="AE296" s="113"/>
      <c r="AF296" s="113"/>
      <c r="AG296" s="113"/>
      <c r="AH296" s="113"/>
      <c r="AI296" s="113"/>
      <c r="AJ296" s="113"/>
      <c r="AK296" s="113"/>
      <c r="AL296" s="113"/>
      <c r="AM296" s="113"/>
      <c r="AN296" s="113"/>
      <c r="AO296" s="113"/>
      <c r="AP296" s="113"/>
      <c r="AQ296" s="113"/>
      <c r="AR296" s="113"/>
      <c r="AS296" s="113"/>
      <c r="AT296" s="113"/>
      <c r="AU296" s="113"/>
      <c r="AV296" s="113"/>
      <c r="AW296" s="113"/>
      <c r="AX296" s="113"/>
      <c r="AY296" s="113"/>
      <c r="AZ296" s="113"/>
      <c r="BA296" s="113"/>
      <c r="BB296" s="113"/>
      <c r="BC296" s="113"/>
      <c r="BD296" s="113"/>
      <c r="BE296" s="113"/>
      <c r="BF296" s="113"/>
      <c r="BG296" s="113"/>
      <c r="BH296" s="113"/>
      <c r="BI296" s="113"/>
      <c r="BJ296" s="113"/>
      <c r="BK296" s="113"/>
      <c r="BL296" s="113"/>
      <c r="BM296" s="113"/>
      <c r="BN296" s="113"/>
      <c r="BO296" s="113"/>
      <c r="BP296" s="113"/>
    </row>
    <row r="297" spans="1:68" ht="12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9"/>
      <c r="AE297" s="113"/>
      <c r="AF297" s="113"/>
      <c r="AG297" s="113"/>
      <c r="AH297" s="113"/>
      <c r="AI297" s="113"/>
      <c r="AJ297" s="113"/>
      <c r="AK297" s="113"/>
      <c r="AL297" s="113"/>
      <c r="AM297" s="113"/>
      <c r="AN297" s="113"/>
      <c r="AO297" s="113"/>
      <c r="AP297" s="113"/>
      <c r="AQ297" s="113"/>
      <c r="AR297" s="113"/>
      <c r="AS297" s="113"/>
      <c r="AT297" s="113"/>
      <c r="AU297" s="113"/>
      <c r="AV297" s="113"/>
      <c r="AW297" s="113"/>
      <c r="AX297" s="113"/>
      <c r="AY297" s="113"/>
      <c r="AZ297" s="113"/>
      <c r="BA297" s="113"/>
      <c r="BB297" s="113"/>
      <c r="BC297" s="113"/>
      <c r="BD297" s="113"/>
      <c r="BE297" s="113"/>
      <c r="BF297" s="113"/>
      <c r="BG297" s="113"/>
      <c r="BH297" s="113"/>
      <c r="BI297" s="113"/>
      <c r="BJ297" s="113"/>
      <c r="BK297" s="113"/>
      <c r="BL297" s="113"/>
      <c r="BM297" s="113"/>
      <c r="BN297" s="113"/>
      <c r="BO297" s="113"/>
      <c r="BP297" s="113"/>
    </row>
    <row r="298" spans="1:68" ht="12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9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  <c r="AV298" s="113"/>
      <c r="AW298" s="113"/>
      <c r="AX298" s="113"/>
      <c r="AY298" s="113"/>
      <c r="AZ298" s="113"/>
      <c r="BA298" s="113"/>
      <c r="BB298" s="113"/>
      <c r="BC298" s="113"/>
      <c r="BD298" s="113"/>
      <c r="BE298" s="113"/>
      <c r="BF298" s="113"/>
      <c r="BG298" s="113"/>
      <c r="BH298" s="113"/>
      <c r="BI298" s="113"/>
      <c r="BJ298" s="113"/>
      <c r="BK298" s="113"/>
      <c r="BL298" s="113"/>
      <c r="BM298" s="113"/>
      <c r="BN298" s="113"/>
      <c r="BO298" s="113"/>
      <c r="BP298" s="113"/>
    </row>
    <row r="299" spans="1:68" ht="12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9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  <c r="AV299" s="113"/>
      <c r="AW299" s="113"/>
      <c r="AX299" s="113"/>
      <c r="AY299" s="113"/>
      <c r="AZ299" s="113"/>
      <c r="BA299" s="113"/>
      <c r="BB299" s="113"/>
      <c r="BC299" s="113"/>
      <c r="BD299" s="113"/>
      <c r="BE299" s="113"/>
      <c r="BF299" s="113"/>
      <c r="BG299" s="113"/>
      <c r="BH299" s="113"/>
      <c r="BI299" s="113"/>
      <c r="BJ299" s="113"/>
      <c r="BK299" s="113"/>
      <c r="BL299" s="113"/>
      <c r="BM299" s="113"/>
      <c r="BN299" s="113"/>
      <c r="BO299" s="113"/>
      <c r="BP299" s="113"/>
    </row>
    <row r="300" spans="1:68" ht="12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9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  <c r="AZ300" s="113"/>
      <c r="BA300" s="113"/>
      <c r="BB300" s="113"/>
      <c r="BC300" s="113"/>
      <c r="BD300" s="113"/>
      <c r="BE300" s="113"/>
      <c r="BF300" s="113"/>
      <c r="BG300" s="113"/>
      <c r="BH300" s="113"/>
      <c r="BI300" s="113"/>
      <c r="BJ300" s="113"/>
      <c r="BK300" s="113"/>
      <c r="BL300" s="113"/>
      <c r="BM300" s="113"/>
      <c r="BN300" s="113"/>
      <c r="BO300" s="113"/>
      <c r="BP300" s="113"/>
    </row>
    <row r="301" spans="1:68" ht="12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9"/>
      <c r="AE301" s="113"/>
      <c r="AF301" s="113"/>
      <c r="AG301" s="113"/>
      <c r="AH301" s="113"/>
      <c r="AI301" s="113"/>
      <c r="AJ301" s="113"/>
      <c r="AK301" s="113"/>
      <c r="AL301" s="113"/>
      <c r="AM301" s="113"/>
      <c r="AN301" s="113"/>
      <c r="AO301" s="113"/>
      <c r="AP301" s="113"/>
      <c r="AQ301" s="113"/>
      <c r="AR301" s="113"/>
      <c r="AS301" s="113"/>
      <c r="AT301" s="113"/>
      <c r="AU301" s="113"/>
      <c r="AV301" s="113"/>
      <c r="AW301" s="113"/>
      <c r="AX301" s="113"/>
      <c r="AY301" s="113"/>
      <c r="AZ301" s="113"/>
      <c r="BA301" s="113"/>
      <c r="BB301" s="113"/>
      <c r="BC301" s="113"/>
      <c r="BD301" s="113"/>
      <c r="BE301" s="113"/>
      <c r="BF301" s="113"/>
      <c r="BG301" s="113"/>
      <c r="BH301" s="113"/>
      <c r="BI301" s="113"/>
      <c r="BJ301" s="113"/>
      <c r="BK301" s="113"/>
      <c r="BL301" s="113"/>
      <c r="BM301" s="113"/>
      <c r="BN301" s="113"/>
      <c r="BO301" s="113"/>
      <c r="BP301" s="113"/>
    </row>
    <row r="302" spans="1:68" ht="12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9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  <c r="AR302" s="113"/>
      <c r="AS302" s="113"/>
      <c r="AT302" s="113"/>
      <c r="AU302" s="113"/>
      <c r="AV302" s="113"/>
      <c r="AW302" s="113"/>
      <c r="AX302" s="113"/>
      <c r="AY302" s="113"/>
      <c r="AZ302" s="113"/>
      <c r="BA302" s="113"/>
      <c r="BB302" s="113"/>
      <c r="BC302" s="113"/>
      <c r="BD302" s="113"/>
      <c r="BE302" s="113"/>
      <c r="BF302" s="113"/>
      <c r="BG302" s="113"/>
      <c r="BH302" s="113"/>
      <c r="BI302" s="113"/>
      <c r="BJ302" s="113"/>
      <c r="BK302" s="113"/>
      <c r="BL302" s="113"/>
      <c r="BM302" s="113"/>
      <c r="BN302" s="113"/>
      <c r="BO302" s="113"/>
      <c r="BP302" s="113"/>
    </row>
    <row r="303" spans="1:68" ht="12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9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  <c r="AV303" s="113"/>
      <c r="AW303" s="113"/>
      <c r="AX303" s="113"/>
      <c r="AY303" s="113"/>
      <c r="AZ303" s="113"/>
      <c r="BA303" s="113"/>
      <c r="BB303" s="113"/>
      <c r="BC303" s="113"/>
      <c r="BD303" s="113"/>
      <c r="BE303" s="113"/>
      <c r="BF303" s="113"/>
      <c r="BG303" s="113"/>
      <c r="BH303" s="113"/>
      <c r="BI303" s="113"/>
      <c r="BJ303" s="113"/>
      <c r="BK303" s="113"/>
      <c r="BL303" s="113"/>
      <c r="BM303" s="113"/>
      <c r="BN303" s="113"/>
      <c r="BO303" s="113"/>
      <c r="BP303" s="113"/>
    </row>
    <row r="304" spans="1:68" ht="12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9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  <c r="AV304" s="113"/>
      <c r="AW304" s="113"/>
      <c r="AX304" s="113"/>
      <c r="AY304" s="113"/>
      <c r="AZ304" s="113"/>
      <c r="BA304" s="113"/>
      <c r="BB304" s="113"/>
      <c r="BC304" s="113"/>
      <c r="BD304" s="113"/>
      <c r="BE304" s="113"/>
      <c r="BF304" s="113"/>
      <c r="BG304" s="113"/>
      <c r="BH304" s="113"/>
      <c r="BI304" s="113"/>
      <c r="BJ304" s="113"/>
      <c r="BK304" s="113"/>
      <c r="BL304" s="113"/>
      <c r="BM304" s="113"/>
      <c r="BN304" s="113"/>
      <c r="BO304" s="113"/>
      <c r="BP304" s="113"/>
    </row>
    <row r="305" spans="1:68" ht="12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9"/>
      <c r="AE305" s="113"/>
      <c r="AF305" s="113"/>
      <c r="AG305" s="113"/>
      <c r="AH305" s="113"/>
      <c r="AI305" s="113"/>
      <c r="AJ305" s="113"/>
      <c r="AK305" s="113"/>
      <c r="AL305" s="113"/>
      <c r="AM305" s="113"/>
      <c r="AN305" s="113"/>
      <c r="AO305" s="113"/>
      <c r="AP305" s="113"/>
      <c r="AQ305" s="113"/>
      <c r="AR305" s="113"/>
      <c r="AS305" s="113"/>
      <c r="AT305" s="113"/>
      <c r="AU305" s="113"/>
      <c r="AV305" s="113"/>
      <c r="AW305" s="113"/>
      <c r="AX305" s="113"/>
      <c r="AY305" s="113"/>
      <c r="AZ305" s="113"/>
      <c r="BA305" s="113"/>
      <c r="BB305" s="113"/>
      <c r="BC305" s="113"/>
      <c r="BD305" s="113"/>
      <c r="BE305" s="113"/>
      <c r="BF305" s="113"/>
      <c r="BG305" s="113"/>
      <c r="BH305" s="113"/>
      <c r="BI305" s="113"/>
      <c r="BJ305" s="113"/>
      <c r="BK305" s="113"/>
      <c r="BL305" s="113"/>
      <c r="BM305" s="113"/>
      <c r="BN305" s="113"/>
      <c r="BO305" s="113"/>
      <c r="BP305" s="113"/>
    </row>
    <row r="306" spans="1:68" ht="12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9"/>
      <c r="AE306" s="113"/>
      <c r="AF306" s="113"/>
      <c r="AG306" s="113"/>
      <c r="AH306" s="113"/>
      <c r="AI306" s="113"/>
      <c r="AJ306" s="113"/>
      <c r="AK306" s="113"/>
      <c r="AL306" s="113"/>
      <c r="AM306" s="113"/>
      <c r="AN306" s="113"/>
      <c r="AO306" s="113"/>
      <c r="AP306" s="113"/>
      <c r="AQ306" s="113"/>
      <c r="AR306" s="113"/>
      <c r="AS306" s="113"/>
      <c r="AT306" s="113"/>
      <c r="AU306" s="113"/>
      <c r="AV306" s="113"/>
      <c r="AW306" s="113"/>
      <c r="AX306" s="113"/>
      <c r="AY306" s="113"/>
      <c r="AZ306" s="113"/>
      <c r="BA306" s="113"/>
      <c r="BB306" s="113"/>
      <c r="BC306" s="113"/>
      <c r="BD306" s="113"/>
      <c r="BE306" s="113"/>
      <c r="BF306" s="113"/>
      <c r="BG306" s="113"/>
      <c r="BH306" s="113"/>
      <c r="BI306" s="113"/>
      <c r="BJ306" s="113"/>
      <c r="BK306" s="113"/>
      <c r="BL306" s="113"/>
      <c r="BM306" s="113"/>
      <c r="BN306" s="113"/>
      <c r="BO306" s="113"/>
      <c r="BP306" s="113"/>
    </row>
    <row r="307" spans="1:68" ht="12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9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13"/>
      <c r="AW307" s="113"/>
      <c r="AX307" s="113"/>
      <c r="AY307" s="113"/>
      <c r="AZ307" s="113"/>
      <c r="BA307" s="113"/>
      <c r="BB307" s="113"/>
      <c r="BC307" s="113"/>
      <c r="BD307" s="113"/>
      <c r="BE307" s="113"/>
      <c r="BF307" s="113"/>
      <c r="BG307" s="113"/>
      <c r="BH307" s="113"/>
      <c r="BI307" s="113"/>
      <c r="BJ307" s="113"/>
      <c r="BK307" s="113"/>
      <c r="BL307" s="113"/>
      <c r="BM307" s="113"/>
      <c r="BN307" s="113"/>
      <c r="BO307" s="113"/>
      <c r="BP307" s="113"/>
    </row>
    <row r="308" spans="1:68" ht="12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9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  <c r="AV308" s="113"/>
      <c r="AW308" s="113"/>
      <c r="AX308" s="113"/>
      <c r="AY308" s="113"/>
      <c r="AZ308" s="113"/>
      <c r="BA308" s="113"/>
      <c r="BB308" s="113"/>
      <c r="BC308" s="113"/>
      <c r="BD308" s="113"/>
      <c r="BE308" s="113"/>
      <c r="BF308" s="113"/>
      <c r="BG308" s="113"/>
      <c r="BH308" s="113"/>
      <c r="BI308" s="113"/>
      <c r="BJ308" s="113"/>
      <c r="BK308" s="113"/>
      <c r="BL308" s="113"/>
      <c r="BM308" s="113"/>
      <c r="BN308" s="113"/>
      <c r="BO308" s="113"/>
      <c r="BP308" s="113"/>
    </row>
    <row r="309" spans="1:68" ht="12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9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  <c r="AV309" s="113"/>
      <c r="AW309" s="113"/>
      <c r="AX309" s="113"/>
      <c r="AY309" s="113"/>
      <c r="AZ309" s="113"/>
      <c r="BA309" s="113"/>
      <c r="BB309" s="113"/>
      <c r="BC309" s="113"/>
      <c r="BD309" s="113"/>
      <c r="BE309" s="113"/>
      <c r="BF309" s="113"/>
      <c r="BG309" s="113"/>
      <c r="BH309" s="113"/>
      <c r="BI309" s="113"/>
      <c r="BJ309" s="113"/>
      <c r="BK309" s="113"/>
      <c r="BL309" s="113"/>
      <c r="BM309" s="113"/>
      <c r="BN309" s="113"/>
      <c r="BO309" s="113"/>
      <c r="BP309" s="113"/>
    </row>
    <row r="310" spans="1:68" ht="12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9"/>
      <c r="AE310" s="113"/>
      <c r="AF310" s="113"/>
      <c r="AG310" s="113"/>
      <c r="AH310" s="113"/>
      <c r="AI310" s="113"/>
      <c r="AJ310" s="113"/>
      <c r="AK310" s="113"/>
      <c r="AL310" s="113"/>
      <c r="AM310" s="113"/>
      <c r="AN310" s="113"/>
      <c r="AO310" s="113"/>
      <c r="AP310" s="113"/>
      <c r="AQ310" s="113"/>
      <c r="AR310" s="113"/>
      <c r="AS310" s="113"/>
      <c r="AT310" s="113"/>
      <c r="AU310" s="113"/>
      <c r="AV310" s="113"/>
      <c r="AW310" s="113"/>
      <c r="AX310" s="113"/>
      <c r="AY310" s="113"/>
      <c r="AZ310" s="113"/>
      <c r="BA310" s="113"/>
      <c r="BB310" s="113"/>
      <c r="BC310" s="113"/>
      <c r="BD310" s="113"/>
      <c r="BE310" s="113"/>
      <c r="BF310" s="113"/>
      <c r="BG310" s="113"/>
      <c r="BH310" s="113"/>
      <c r="BI310" s="113"/>
      <c r="BJ310" s="113"/>
      <c r="BK310" s="113"/>
      <c r="BL310" s="113"/>
      <c r="BM310" s="113"/>
      <c r="BN310" s="113"/>
      <c r="BO310" s="113"/>
      <c r="BP310" s="113"/>
    </row>
    <row r="311" spans="1:68" ht="12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9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  <c r="AV311" s="113"/>
      <c r="AW311" s="113"/>
      <c r="AX311" s="113"/>
      <c r="AY311" s="113"/>
      <c r="AZ311" s="113"/>
      <c r="BA311" s="113"/>
      <c r="BB311" s="113"/>
      <c r="BC311" s="113"/>
      <c r="BD311" s="113"/>
      <c r="BE311" s="113"/>
      <c r="BF311" s="113"/>
      <c r="BG311" s="113"/>
      <c r="BH311" s="113"/>
      <c r="BI311" s="113"/>
      <c r="BJ311" s="113"/>
      <c r="BK311" s="113"/>
      <c r="BL311" s="113"/>
      <c r="BM311" s="113"/>
      <c r="BN311" s="113"/>
      <c r="BO311" s="113"/>
      <c r="BP311" s="113"/>
    </row>
    <row r="312" spans="1:68" ht="12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9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  <c r="AV312" s="113"/>
      <c r="AW312" s="113"/>
      <c r="AX312" s="113"/>
      <c r="AY312" s="113"/>
      <c r="AZ312" s="113"/>
      <c r="BA312" s="113"/>
      <c r="BB312" s="113"/>
      <c r="BC312" s="113"/>
      <c r="BD312" s="113"/>
      <c r="BE312" s="113"/>
      <c r="BF312" s="113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13"/>
    </row>
    <row r="313" spans="1:68" ht="12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9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  <c r="AV313" s="113"/>
      <c r="AW313" s="113"/>
      <c r="AX313" s="113"/>
      <c r="AY313" s="113"/>
      <c r="AZ313" s="113"/>
      <c r="BA313" s="113"/>
      <c r="BB313" s="113"/>
      <c r="BC313" s="113"/>
      <c r="BD313" s="113"/>
      <c r="BE313" s="113"/>
      <c r="BF313" s="113"/>
      <c r="BG313" s="113"/>
      <c r="BH313" s="113"/>
      <c r="BI313" s="113"/>
      <c r="BJ313" s="113"/>
      <c r="BK313" s="113"/>
      <c r="BL313" s="113"/>
      <c r="BM313" s="113"/>
      <c r="BN313" s="113"/>
      <c r="BO313" s="113"/>
      <c r="BP313" s="113"/>
    </row>
    <row r="314" spans="1:68" ht="12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9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  <c r="AV314" s="113"/>
      <c r="AW314" s="113"/>
      <c r="AX314" s="113"/>
      <c r="AY314" s="113"/>
      <c r="AZ314" s="113"/>
      <c r="BA314" s="113"/>
      <c r="BB314" s="113"/>
      <c r="BC314" s="113"/>
      <c r="BD314" s="113"/>
      <c r="BE314" s="113"/>
      <c r="BF314" s="113"/>
      <c r="BG314" s="113"/>
      <c r="BH314" s="113"/>
      <c r="BI314" s="113"/>
      <c r="BJ314" s="113"/>
      <c r="BK314" s="113"/>
      <c r="BL314" s="113"/>
      <c r="BM314" s="113"/>
      <c r="BN314" s="113"/>
      <c r="BO314" s="113"/>
      <c r="BP314" s="113"/>
    </row>
    <row r="315" spans="1:68" ht="12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9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  <c r="AV315" s="113"/>
      <c r="AW315" s="113"/>
      <c r="AX315" s="113"/>
      <c r="AY315" s="113"/>
      <c r="AZ315" s="113"/>
      <c r="BA315" s="113"/>
      <c r="BB315" s="113"/>
      <c r="BC315" s="113"/>
      <c r="BD315" s="113"/>
      <c r="BE315" s="113"/>
      <c r="BF315" s="113"/>
      <c r="BG315" s="113"/>
      <c r="BH315" s="113"/>
      <c r="BI315" s="113"/>
      <c r="BJ315" s="113"/>
      <c r="BK315" s="113"/>
      <c r="BL315" s="113"/>
      <c r="BM315" s="113"/>
      <c r="BN315" s="113"/>
      <c r="BO315" s="113"/>
      <c r="BP315" s="113"/>
    </row>
    <row r="316" spans="1:68" ht="12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9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  <c r="AV316" s="113"/>
      <c r="AW316" s="113"/>
      <c r="AX316" s="113"/>
      <c r="AY316" s="113"/>
      <c r="AZ316" s="113"/>
      <c r="BA316" s="113"/>
      <c r="BB316" s="113"/>
      <c r="BC316" s="113"/>
      <c r="BD316" s="113"/>
      <c r="BE316" s="113"/>
      <c r="BF316" s="113"/>
      <c r="BG316" s="113"/>
      <c r="BH316" s="113"/>
      <c r="BI316" s="113"/>
      <c r="BJ316" s="113"/>
      <c r="BK316" s="113"/>
      <c r="BL316" s="113"/>
      <c r="BM316" s="113"/>
      <c r="BN316" s="113"/>
      <c r="BO316" s="113"/>
      <c r="BP316" s="113"/>
    </row>
    <row r="317" spans="1:68" ht="12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9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3"/>
      <c r="AY317" s="113"/>
      <c r="AZ317" s="113"/>
      <c r="BA317" s="113"/>
      <c r="BB317" s="113"/>
      <c r="BC317" s="113"/>
      <c r="BD317" s="113"/>
      <c r="BE317" s="113"/>
      <c r="BF317" s="113"/>
      <c r="BG317" s="113"/>
      <c r="BH317" s="113"/>
      <c r="BI317" s="113"/>
      <c r="BJ317" s="113"/>
      <c r="BK317" s="113"/>
      <c r="BL317" s="113"/>
      <c r="BM317" s="113"/>
      <c r="BN317" s="113"/>
      <c r="BO317" s="113"/>
      <c r="BP317" s="113"/>
    </row>
    <row r="318" spans="1:68" ht="12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9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3"/>
      <c r="AY318" s="113"/>
      <c r="AZ318" s="113"/>
      <c r="BA318" s="113"/>
      <c r="BB318" s="113"/>
      <c r="BC318" s="113"/>
      <c r="BD318" s="113"/>
      <c r="BE318" s="113"/>
      <c r="BF318" s="113"/>
      <c r="BG318" s="113"/>
      <c r="BH318" s="113"/>
      <c r="BI318" s="113"/>
      <c r="BJ318" s="113"/>
      <c r="BK318" s="113"/>
      <c r="BL318" s="113"/>
      <c r="BM318" s="113"/>
      <c r="BN318" s="113"/>
      <c r="BO318" s="113"/>
      <c r="BP318" s="113"/>
    </row>
    <row r="319" spans="1:68" ht="12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9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  <c r="AV319" s="113"/>
      <c r="AW319" s="113"/>
      <c r="AX319" s="113"/>
      <c r="AY319" s="113"/>
      <c r="AZ319" s="113"/>
      <c r="BA319" s="113"/>
      <c r="BB319" s="113"/>
      <c r="BC319" s="113"/>
      <c r="BD319" s="113"/>
      <c r="BE319" s="113"/>
      <c r="BF319" s="113"/>
      <c r="BG319" s="113"/>
      <c r="BH319" s="113"/>
      <c r="BI319" s="113"/>
      <c r="BJ319" s="113"/>
      <c r="BK319" s="113"/>
      <c r="BL319" s="113"/>
      <c r="BM319" s="113"/>
      <c r="BN319" s="113"/>
      <c r="BO319" s="113"/>
      <c r="BP319" s="113"/>
    </row>
    <row r="320" spans="1:68" ht="12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9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  <c r="AV320" s="113"/>
      <c r="AW320" s="113"/>
      <c r="AX320" s="113"/>
      <c r="AY320" s="113"/>
      <c r="AZ320" s="113"/>
      <c r="BA320" s="113"/>
      <c r="BB320" s="113"/>
      <c r="BC320" s="113"/>
      <c r="BD320" s="113"/>
      <c r="BE320" s="113"/>
      <c r="BF320" s="113"/>
      <c r="BG320" s="113"/>
      <c r="BH320" s="113"/>
      <c r="BI320" s="113"/>
      <c r="BJ320" s="113"/>
      <c r="BK320" s="113"/>
      <c r="BL320" s="113"/>
      <c r="BM320" s="113"/>
      <c r="BN320" s="113"/>
      <c r="BO320" s="113"/>
      <c r="BP320" s="113"/>
    </row>
    <row r="321" spans="1:68" ht="12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9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  <c r="AV321" s="113"/>
      <c r="AW321" s="113"/>
      <c r="AX321" s="113"/>
      <c r="AY321" s="113"/>
      <c r="AZ321" s="113"/>
      <c r="BA321" s="113"/>
      <c r="BB321" s="113"/>
      <c r="BC321" s="113"/>
      <c r="BD321" s="113"/>
      <c r="BE321" s="113"/>
      <c r="BF321" s="113"/>
      <c r="BG321" s="113"/>
      <c r="BH321" s="113"/>
      <c r="BI321" s="113"/>
      <c r="BJ321" s="113"/>
      <c r="BK321" s="113"/>
      <c r="BL321" s="113"/>
      <c r="BM321" s="113"/>
      <c r="BN321" s="113"/>
      <c r="BO321" s="113"/>
      <c r="BP321" s="113"/>
    </row>
    <row r="322" spans="1:68" ht="12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9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  <c r="AV322" s="113"/>
      <c r="AW322" s="113"/>
      <c r="AX322" s="113"/>
      <c r="AY322" s="113"/>
      <c r="AZ322" s="113"/>
      <c r="BA322" s="113"/>
      <c r="BB322" s="113"/>
      <c r="BC322" s="113"/>
      <c r="BD322" s="113"/>
      <c r="BE322" s="113"/>
      <c r="BF322" s="113"/>
      <c r="BG322" s="113"/>
      <c r="BH322" s="113"/>
      <c r="BI322" s="113"/>
      <c r="BJ322" s="113"/>
      <c r="BK322" s="113"/>
      <c r="BL322" s="113"/>
      <c r="BM322" s="113"/>
      <c r="BN322" s="113"/>
      <c r="BO322" s="113"/>
      <c r="BP322" s="113"/>
    </row>
    <row r="323" spans="1:68" ht="12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9"/>
      <c r="AE323" s="113"/>
      <c r="AF323" s="113"/>
      <c r="AG323" s="113"/>
      <c r="AH323" s="113"/>
      <c r="AI323" s="113"/>
      <c r="AJ323" s="113"/>
      <c r="AK323" s="113"/>
      <c r="AL323" s="113"/>
      <c r="AM323" s="113"/>
      <c r="AN323" s="113"/>
      <c r="AO323" s="113"/>
      <c r="AP323" s="113"/>
      <c r="AQ323" s="113"/>
      <c r="AR323" s="113"/>
      <c r="AS323" s="113"/>
      <c r="AT323" s="113"/>
      <c r="AU323" s="113"/>
      <c r="AV323" s="113"/>
      <c r="AW323" s="113"/>
      <c r="AX323" s="113"/>
      <c r="AY323" s="113"/>
      <c r="AZ323" s="113"/>
      <c r="BA323" s="113"/>
      <c r="BB323" s="113"/>
      <c r="BC323" s="113"/>
      <c r="BD323" s="113"/>
      <c r="BE323" s="113"/>
      <c r="BF323" s="113"/>
      <c r="BG323" s="113"/>
      <c r="BH323" s="113"/>
      <c r="BI323" s="113"/>
      <c r="BJ323" s="113"/>
      <c r="BK323" s="113"/>
      <c r="BL323" s="113"/>
      <c r="BM323" s="113"/>
      <c r="BN323" s="113"/>
      <c r="BO323" s="113"/>
      <c r="BP323" s="113"/>
    </row>
    <row r="324" spans="1:68" ht="12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9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3"/>
      <c r="AY324" s="113"/>
      <c r="AZ324" s="113"/>
      <c r="BA324" s="113"/>
      <c r="BB324" s="113"/>
      <c r="BC324" s="113"/>
      <c r="BD324" s="113"/>
      <c r="BE324" s="113"/>
      <c r="BF324" s="113"/>
      <c r="BG324" s="113"/>
      <c r="BH324" s="113"/>
      <c r="BI324" s="113"/>
      <c r="BJ324" s="113"/>
      <c r="BK324" s="113"/>
      <c r="BL324" s="113"/>
      <c r="BM324" s="113"/>
      <c r="BN324" s="113"/>
      <c r="BO324" s="113"/>
      <c r="BP324" s="113"/>
    </row>
    <row r="325" spans="1:68" ht="12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9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  <c r="AV325" s="113"/>
      <c r="AW325" s="113"/>
      <c r="AX325" s="113"/>
      <c r="AY325" s="113"/>
      <c r="AZ325" s="113"/>
      <c r="BA325" s="113"/>
      <c r="BB325" s="113"/>
      <c r="BC325" s="113"/>
      <c r="BD325" s="113"/>
      <c r="BE325" s="113"/>
      <c r="BF325" s="113"/>
      <c r="BG325" s="113"/>
      <c r="BH325" s="113"/>
      <c r="BI325" s="113"/>
      <c r="BJ325" s="113"/>
      <c r="BK325" s="113"/>
      <c r="BL325" s="113"/>
      <c r="BM325" s="113"/>
      <c r="BN325" s="113"/>
      <c r="BO325" s="113"/>
      <c r="BP325" s="113"/>
    </row>
    <row r="326" spans="1:68" ht="12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9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  <c r="AV326" s="113"/>
      <c r="AW326" s="113"/>
      <c r="AX326" s="113"/>
      <c r="AY326" s="113"/>
      <c r="AZ326" s="113"/>
      <c r="BA326" s="113"/>
      <c r="BB326" s="113"/>
      <c r="BC326" s="113"/>
      <c r="BD326" s="113"/>
      <c r="BE326" s="113"/>
      <c r="BF326" s="113"/>
      <c r="BG326" s="113"/>
      <c r="BH326" s="113"/>
      <c r="BI326" s="113"/>
      <c r="BJ326" s="113"/>
      <c r="BK326" s="113"/>
      <c r="BL326" s="113"/>
      <c r="BM326" s="113"/>
      <c r="BN326" s="113"/>
      <c r="BO326" s="113"/>
      <c r="BP326" s="113"/>
    </row>
    <row r="327" spans="1:68" ht="12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9"/>
      <c r="AE327" s="113"/>
      <c r="AF327" s="113"/>
      <c r="AG327" s="113"/>
      <c r="AH327" s="113"/>
      <c r="AI327" s="113"/>
      <c r="AJ327" s="113"/>
      <c r="AK327" s="113"/>
      <c r="AL327" s="113"/>
      <c r="AM327" s="113"/>
      <c r="AN327" s="113"/>
      <c r="AO327" s="113"/>
      <c r="AP327" s="113"/>
      <c r="AQ327" s="113"/>
      <c r="AR327" s="113"/>
      <c r="AS327" s="113"/>
      <c r="AT327" s="113"/>
      <c r="AU327" s="113"/>
      <c r="AV327" s="113"/>
      <c r="AW327" s="113"/>
      <c r="AX327" s="113"/>
      <c r="AY327" s="113"/>
      <c r="AZ327" s="113"/>
      <c r="BA327" s="113"/>
      <c r="BB327" s="113"/>
      <c r="BC327" s="113"/>
      <c r="BD327" s="113"/>
      <c r="BE327" s="113"/>
      <c r="BF327" s="113"/>
      <c r="BG327" s="113"/>
      <c r="BH327" s="113"/>
      <c r="BI327" s="113"/>
      <c r="BJ327" s="113"/>
      <c r="BK327" s="113"/>
      <c r="BL327" s="113"/>
      <c r="BM327" s="113"/>
      <c r="BN327" s="113"/>
      <c r="BO327" s="113"/>
      <c r="BP327" s="113"/>
    </row>
    <row r="328" spans="1:68" ht="12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9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3"/>
      <c r="AY328" s="113"/>
      <c r="AZ328" s="113"/>
      <c r="BA328" s="113"/>
      <c r="BB328" s="113"/>
      <c r="BC328" s="113"/>
      <c r="BD328" s="113"/>
      <c r="BE328" s="113"/>
      <c r="BF328" s="113"/>
      <c r="BG328" s="113"/>
      <c r="BH328" s="113"/>
      <c r="BI328" s="113"/>
      <c r="BJ328" s="113"/>
      <c r="BK328" s="113"/>
      <c r="BL328" s="113"/>
      <c r="BM328" s="113"/>
      <c r="BN328" s="113"/>
      <c r="BO328" s="113"/>
      <c r="BP328" s="113"/>
    </row>
    <row r="329" spans="1:68" ht="12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9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  <c r="AV329" s="113"/>
      <c r="AW329" s="113"/>
      <c r="AX329" s="113"/>
      <c r="AY329" s="113"/>
      <c r="AZ329" s="113"/>
      <c r="BA329" s="113"/>
      <c r="BB329" s="113"/>
      <c r="BC329" s="113"/>
      <c r="BD329" s="113"/>
      <c r="BE329" s="113"/>
      <c r="BF329" s="113"/>
      <c r="BG329" s="113"/>
      <c r="BH329" s="113"/>
      <c r="BI329" s="113"/>
      <c r="BJ329" s="113"/>
      <c r="BK329" s="113"/>
      <c r="BL329" s="113"/>
      <c r="BM329" s="113"/>
      <c r="BN329" s="113"/>
      <c r="BO329" s="113"/>
      <c r="BP329" s="113"/>
    </row>
    <row r="330" spans="1:68" ht="12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9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  <c r="AW330" s="113"/>
      <c r="AX330" s="113"/>
      <c r="AY330" s="113"/>
      <c r="AZ330" s="113"/>
      <c r="BA330" s="113"/>
      <c r="BB330" s="113"/>
      <c r="BC330" s="113"/>
      <c r="BD330" s="113"/>
      <c r="BE330" s="113"/>
      <c r="BF330" s="113"/>
      <c r="BG330" s="113"/>
      <c r="BH330" s="113"/>
      <c r="BI330" s="113"/>
      <c r="BJ330" s="113"/>
      <c r="BK330" s="113"/>
      <c r="BL330" s="113"/>
      <c r="BM330" s="113"/>
      <c r="BN330" s="113"/>
      <c r="BO330" s="113"/>
      <c r="BP330" s="113"/>
    </row>
    <row r="331" spans="1:68" ht="12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9"/>
      <c r="AE331" s="113"/>
      <c r="AF331" s="113"/>
      <c r="AG331" s="113"/>
      <c r="AH331" s="113"/>
      <c r="AI331" s="113"/>
      <c r="AJ331" s="113"/>
      <c r="AK331" s="113"/>
      <c r="AL331" s="113"/>
      <c r="AM331" s="113"/>
      <c r="AN331" s="113"/>
      <c r="AO331" s="113"/>
      <c r="AP331" s="113"/>
      <c r="AQ331" s="113"/>
      <c r="AR331" s="113"/>
      <c r="AS331" s="113"/>
      <c r="AT331" s="113"/>
      <c r="AU331" s="113"/>
      <c r="AV331" s="113"/>
      <c r="AW331" s="113"/>
      <c r="AX331" s="113"/>
      <c r="AY331" s="113"/>
      <c r="AZ331" s="113"/>
      <c r="BA331" s="113"/>
      <c r="BB331" s="113"/>
      <c r="BC331" s="113"/>
      <c r="BD331" s="113"/>
      <c r="BE331" s="113"/>
      <c r="BF331" s="113"/>
      <c r="BG331" s="113"/>
      <c r="BH331" s="113"/>
      <c r="BI331" s="113"/>
      <c r="BJ331" s="113"/>
      <c r="BK331" s="113"/>
      <c r="BL331" s="113"/>
      <c r="BM331" s="113"/>
      <c r="BN331" s="113"/>
      <c r="BO331" s="113"/>
      <c r="BP331" s="113"/>
    </row>
    <row r="332" spans="1:68" ht="12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9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/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/>
      <c r="BP332" s="113"/>
    </row>
    <row r="333" spans="1:68" ht="12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9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  <c r="AW333" s="113"/>
      <c r="AX333" s="113"/>
      <c r="AY333" s="113"/>
      <c r="AZ333" s="113"/>
      <c r="BA333" s="113"/>
      <c r="BB333" s="113"/>
      <c r="BC333" s="113"/>
      <c r="BD333" s="113"/>
      <c r="BE333" s="113"/>
      <c r="BF333" s="113"/>
      <c r="BG333" s="113"/>
      <c r="BH333" s="113"/>
      <c r="BI333" s="113"/>
      <c r="BJ333" s="113"/>
      <c r="BK333" s="113"/>
      <c r="BL333" s="113"/>
      <c r="BM333" s="113"/>
      <c r="BN333" s="113"/>
      <c r="BO333" s="113"/>
      <c r="BP333" s="113"/>
    </row>
    <row r="334" spans="1:68" ht="12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9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  <c r="AV334" s="113"/>
      <c r="AW334" s="113"/>
      <c r="AX334" s="113"/>
      <c r="AY334" s="113"/>
      <c r="AZ334" s="113"/>
      <c r="BA334" s="113"/>
      <c r="BB334" s="113"/>
      <c r="BC334" s="113"/>
      <c r="BD334" s="113"/>
      <c r="BE334" s="113"/>
      <c r="BF334" s="113"/>
      <c r="BG334" s="113"/>
      <c r="BH334" s="113"/>
      <c r="BI334" s="113"/>
      <c r="BJ334" s="113"/>
      <c r="BK334" s="113"/>
      <c r="BL334" s="113"/>
      <c r="BM334" s="113"/>
      <c r="BN334" s="113"/>
      <c r="BO334" s="113"/>
      <c r="BP334" s="113"/>
    </row>
    <row r="335" spans="1:68" ht="12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9"/>
      <c r="AE335" s="113"/>
      <c r="AF335" s="113"/>
      <c r="AG335" s="113"/>
      <c r="AH335" s="113"/>
      <c r="AI335" s="113"/>
      <c r="AJ335" s="113"/>
      <c r="AK335" s="113"/>
      <c r="AL335" s="113"/>
      <c r="AM335" s="113"/>
      <c r="AN335" s="113"/>
      <c r="AO335" s="113"/>
      <c r="AP335" s="113"/>
      <c r="AQ335" s="113"/>
      <c r="AR335" s="113"/>
      <c r="AS335" s="113"/>
      <c r="AT335" s="113"/>
      <c r="AU335" s="113"/>
      <c r="AV335" s="113"/>
      <c r="AW335" s="113"/>
      <c r="AX335" s="113"/>
      <c r="AY335" s="113"/>
      <c r="AZ335" s="113"/>
      <c r="BA335" s="113"/>
      <c r="BB335" s="113"/>
      <c r="BC335" s="113"/>
      <c r="BD335" s="113"/>
      <c r="BE335" s="113"/>
      <c r="BF335" s="113"/>
      <c r="BG335" s="113"/>
      <c r="BH335" s="113"/>
      <c r="BI335" s="113"/>
      <c r="BJ335" s="113"/>
      <c r="BK335" s="113"/>
      <c r="BL335" s="113"/>
      <c r="BM335" s="113"/>
      <c r="BN335" s="113"/>
      <c r="BO335" s="113"/>
      <c r="BP335" s="113"/>
    </row>
    <row r="336" spans="1:68" ht="12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9"/>
      <c r="AE336" s="113"/>
      <c r="AF336" s="113"/>
      <c r="AG336" s="113"/>
      <c r="AH336" s="113"/>
      <c r="AI336" s="113"/>
      <c r="AJ336" s="113"/>
      <c r="AK336" s="113"/>
      <c r="AL336" s="113"/>
      <c r="AM336" s="113"/>
      <c r="AN336" s="113"/>
      <c r="AO336" s="113"/>
      <c r="AP336" s="113"/>
      <c r="AQ336" s="113"/>
      <c r="AR336" s="113"/>
      <c r="AS336" s="113"/>
      <c r="AT336" s="113"/>
      <c r="AU336" s="113"/>
      <c r="AV336" s="113"/>
      <c r="AW336" s="113"/>
      <c r="AX336" s="113"/>
      <c r="AY336" s="113"/>
      <c r="AZ336" s="113"/>
      <c r="BA336" s="113"/>
      <c r="BB336" s="113"/>
      <c r="BC336" s="113"/>
      <c r="BD336" s="113"/>
      <c r="BE336" s="113"/>
      <c r="BF336" s="113"/>
      <c r="BG336" s="113"/>
      <c r="BH336" s="113"/>
      <c r="BI336" s="113"/>
      <c r="BJ336" s="113"/>
      <c r="BK336" s="113"/>
      <c r="BL336" s="113"/>
      <c r="BM336" s="113"/>
      <c r="BN336" s="113"/>
      <c r="BO336" s="113"/>
      <c r="BP336" s="113"/>
    </row>
    <row r="337" spans="1:68" ht="12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9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  <c r="AV337" s="113"/>
      <c r="AW337" s="113"/>
      <c r="AX337" s="113"/>
      <c r="AY337" s="113"/>
      <c r="AZ337" s="113"/>
      <c r="BA337" s="113"/>
      <c r="BB337" s="113"/>
      <c r="BC337" s="113"/>
      <c r="BD337" s="113"/>
      <c r="BE337" s="113"/>
      <c r="BF337" s="113"/>
      <c r="BG337" s="113"/>
      <c r="BH337" s="113"/>
      <c r="BI337" s="113"/>
      <c r="BJ337" s="113"/>
      <c r="BK337" s="113"/>
      <c r="BL337" s="113"/>
      <c r="BM337" s="113"/>
      <c r="BN337" s="113"/>
      <c r="BO337" s="113"/>
      <c r="BP337" s="113"/>
    </row>
    <row r="338" spans="1:68" ht="12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9"/>
      <c r="AE338" s="113"/>
      <c r="AF338" s="113"/>
      <c r="AG338" s="113"/>
      <c r="AH338" s="113"/>
      <c r="AI338" s="113"/>
      <c r="AJ338" s="113"/>
      <c r="AK338" s="113"/>
      <c r="AL338" s="113"/>
      <c r="AM338" s="113"/>
      <c r="AN338" s="113"/>
      <c r="AO338" s="113"/>
      <c r="AP338" s="113"/>
      <c r="AQ338" s="113"/>
      <c r="AR338" s="113"/>
      <c r="AS338" s="113"/>
      <c r="AT338" s="113"/>
      <c r="AU338" s="113"/>
      <c r="AV338" s="113"/>
      <c r="AW338" s="113"/>
      <c r="AX338" s="113"/>
      <c r="AY338" s="113"/>
      <c r="AZ338" s="113"/>
      <c r="BA338" s="113"/>
      <c r="BB338" s="113"/>
      <c r="BC338" s="113"/>
      <c r="BD338" s="113"/>
      <c r="BE338" s="113"/>
      <c r="BF338" s="113"/>
      <c r="BG338" s="113"/>
      <c r="BH338" s="113"/>
      <c r="BI338" s="113"/>
      <c r="BJ338" s="113"/>
      <c r="BK338" s="113"/>
      <c r="BL338" s="113"/>
      <c r="BM338" s="113"/>
      <c r="BN338" s="113"/>
      <c r="BO338" s="113"/>
      <c r="BP338" s="113"/>
    </row>
    <row r="339" spans="1:68" ht="12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9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  <c r="AR339" s="113"/>
      <c r="AS339" s="113"/>
      <c r="AT339" s="113"/>
      <c r="AU339" s="113"/>
      <c r="AV339" s="113"/>
      <c r="AW339" s="113"/>
      <c r="AX339" s="113"/>
      <c r="AY339" s="113"/>
      <c r="AZ339" s="113"/>
      <c r="BA339" s="113"/>
      <c r="BB339" s="113"/>
      <c r="BC339" s="113"/>
      <c r="BD339" s="113"/>
      <c r="BE339" s="113"/>
      <c r="BF339" s="113"/>
      <c r="BG339" s="113"/>
      <c r="BH339" s="113"/>
      <c r="BI339" s="113"/>
      <c r="BJ339" s="113"/>
      <c r="BK339" s="113"/>
      <c r="BL339" s="113"/>
      <c r="BM339" s="113"/>
      <c r="BN339" s="113"/>
      <c r="BO339" s="113"/>
      <c r="BP339" s="113"/>
    </row>
    <row r="340" spans="1:68" ht="12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23"/>
      <c r="AE340" s="109"/>
      <c r="AF340" s="109"/>
      <c r="AG340" s="109"/>
      <c r="AH340" s="109"/>
      <c r="AI340" s="109"/>
      <c r="AJ340" s="109"/>
      <c r="AK340" s="109"/>
      <c r="AL340" s="109"/>
      <c r="AM340" s="109"/>
      <c r="AN340" s="109"/>
      <c r="AO340" s="109"/>
      <c r="AP340" s="109"/>
      <c r="AQ340" s="109"/>
      <c r="AR340" s="109"/>
      <c r="AS340" s="109"/>
      <c r="AT340" s="109"/>
      <c r="AU340" s="109"/>
      <c r="AV340" s="109"/>
      <c r="AW340" s="109"/>
      <c r="AX340" s="109"/>
      <c r="AY340" s="109"/>
      <c r="AZ340" s="109"/>
      <c r="BA340" s="109"/>
      <c r="BB340" s="109"/>
      <c r="BC340" s="109"/>
      <c r="BD340" s="109"/>
      <c r="BE340" s="109"/>
      <c r="BF340" s="109"/>
      <c r="BG340" s="109"/>
      <c r="BH340" s="109"/>
      <c r="BI340" s="109"/>
      <c r="BJ340" s="109"/>
      <c r="BK340" s="109"/>
      <c r="BL340" s="109"/>
      <c r="BM340" s="109"/>
      <c r="BN340" s="109"/>
      <c r="BO340" s="109"/>
      <c r="BP340" s="109"/>
    </row>
    <row r="341" spans="1:68" ht="12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23"/>
      <c r="AE341" s="109"/>
      <c r="AF341" s="109"/>
      <c r="AG341" s="109"/>
      <c r="AH341" s="109"/>
      <c r="AI341" s="109"/>
      <c r="AJ341" s="109"/>
      <c r="AK341" s="109"/>
      <c r="AL341" s="109"/>
      <c r="AM341" s="109"/>
      <c r="AN341" s="109"/>
      <c r="AO341" s="109"/>
      <c r="AP341" s="109"/>
      <c r="AQ341" s="109"/>
      <c r="AR341" s="109"/>
      <c r="AS341" s="109"/>
      <c r="AT341" s="109"/>
      <c r="AU341" s="109"/>
      <c r="AV341" s="109"/>
      <c r="AW341" s="109"/>
      <c r="AX341" s="109"/>
      <c r="AY341" s="109"/>
      <c r="AZ341" s="109"/>
      <c r="BA341" s="109"/>
      <c r="BB341" s="109"/>
      <c r="BC341" s="109"/>
      <c r="BD341" s="109"/>
      <c r="BE341" s="109"/>
      <c r="BF341" s="109"/>
      <c r="BG341" s="109"/>
      <c r="BH341" s="109"/>
      <c r="BI341" s="109"/>
      <c r="BJ341" s="109"/>
      <c r="BK341" s="109"/>
      <c r="BL341" s="109"/>
      <c r="BM341" s="109"/>
      <c r="BN341" s="109"/>
      <c r="BO341" s="109"/>
      <c r="BP341" s="109"/>
    </row>
    <row r="342" spans="1:68" ht="12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23"/>
      <c r="AE342" s="109"/>
      <c r="AF342" s="109"/>
      <c r="AG342" s="109"/>
      <c r="AH342" s="109"/>
      <c r="AI342" s="109"/>
      <c r="AJ342" s="109"/>
      <c r="AK342" s="109"/>
      <c r="AL342" s="109"/>
      <c r="AM342" s="109"/>
      <c r="AN342" s="109"/>
      <c r="AO342" s="109"/>
      <c r="AP342" s="109"/>
      <c r="AQ342" s="109"/>
      <c r="AR342" s="109"/>
      <c r="AS342" s="109"/>
      <c r="AT342" s="109"/>
      <c r="AU342" s="109"/>
      <c r="AV342" s="109"/>
      <c r="AW342" s="109"/>
      <c r="AX342" s="109"/>
      <c r="AY342" s="109"/>
      <c r="AZ342" s="109"/>
      <c r="BA342" s="109"/>
      <c r="BB342" s="109"/>
      <c r="BC342" s="109"/>
      <c r="BD342" s="109"/>
      <c r="BE342" s="109"/>
      <c r="BF342" s="109"/>
      <c r="BG342" s="109"/>
      <c r="BH342" s="109"/>
      <c r="BI342" s="109"/>
      <c r="BJ342" s="109"/>
      <c r="BK342" s="109"/>
      <c r="BL342" s="109"/>
      <c r="BM342" s="109"/>
      <c r="BN342" s="109"/>
      <c r="BO342" s="109"/>
      <c r="BP342" s="109"/>
    </row>
    <row r="343" spans="1:68" ht="12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23"/>
      <c r="AE343" s="109"/>
      <c r="AF343" s="109"/>
      <c r="AG343" s="109"/>
      <c r="AH343" s="109"/>
      <c r="AI343" s="109"/>
      <c r="AJ343" s="109"/>
      <c r="AK343" s="109"/>
      <c r="AL343" s="109"/>
      <c r="AM343" s="109"/>
      <c r="AN343" s="109"/>
      <c r="AO343" s="109"/>
      <c r="AP343" s="109"/>
      <c r="AQ343" s="109"/>
      <c r="AR343" s="109"/>
      <c r="AS343" s="109"/>
      <c r="AT343" s="109"/>
      <c r="AU343" s="109"/>
      <c r="AV343" s="109"/>
      <c r="AW343" s="109"/>
      <c r="AX343" s="109"/>
      <c r="AY343" s="109"/>
      <c r="AZ343" s="109"/>
      <c r="BA343" s="109"/>
      <c r="BB343" s="109"/>
      <c r="BC343" s="109"/>
      <c r="BD343" s="109"/>
      <c r="BE343" s="109"/>
      <c r="BF343" s="109"/>
      <c r="BG343" s="109"/>
      <c r="BH343" s="109"/>
      <c r="BI343" s="109"/>
      <c r="BJ343" s="109"/>
      <c r="BK343" s="109"/>
      <c r="BL343" s="109"/>
      <c r="BM343" s="109"/>
      <c r="BN343" s="109"/>
      <c r="BO343" s="109"/>
      <c r="BP343" s="109"/>
    </row>
    <row r="344" spans="1:68" ht="12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23"/>
      <c r="AE344" s="109"/>
      <c r="AF344" s="109"/>
      <c r="AG344" s="109"/>
      <c r="AH344" s="109"/>
      <c r="AI344" s="109"/>
      <c r="AJ344" s="109"/>
      <c r="AK344" s="109"/>
      <c r="AL344" s="109"/>
      <c r="AM344" s="109"/>
      <c r="AN344" s="109"/>
      <c r="AO344" s="109"/>
      <c r="AP344" s="109"/>
      <c r="AQ344" s="109"/>
      <c r="AR344" s="109"/>
      <c r="AS344" s="109"/>
      <c r="AT344" s="109"/>
      <c r="AU344" s="109"/>
      <c r="AV344" s="109"/>
      <c r="AW344" s="109"/>
      <c r="AX344" s="109"/>
      <c r="AY344" s="109"/>
      <c r="AZ344" s="109"/>
      <c r="BA344" s="109"/>
      <c r="BB344" s="109"/>
      <c r="BC344" s="109"/>
      <c r="BD344" s="109"/>
      <c r="BE344" s="109"/>
      <c r="BF344" s="109"/>
      <c r="BG344" s="109"/>
      <c r="BH344" s="109"/>
      <c r="BI344" s="109"/>
      <c r="BJ344" s="109"/>
      <c r="BK344" s="109"/>
      <c r="BL344" s="109"/>
      <c r="BM344" s="109"/>
      <c r="BN344" s="109"/>
      <c r="BO344" s="109"/>
      <c r="BP344" s="109"/>
    </row>
    <row r="345" spans="1:68" ht="12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23"/>
      <c r="AE345" s="109"/>
      <c r="AF345" s="109"/>
      <c r="AG345" s="109"/>
      <c r="AH345" s="109"/>
      <c r="AI345" s="109"/>
      <c r="AJ345" s="109"/>
      <c r="AK345" s="109"/>
      <c r="AL345" s="109"/>
      <c r="AM345" s="109"/>
      <c r="AN345" s="109"/>
      <c r="AO345" s="109"/>
      <c r="AP345" s="109"/>
      <c r="AQ345" s="109"/>
      <c r="AR345" s="109"/>
      <c r="AS345" s="109"/>
      <c r="AT345" s="109"/>
      <c r="AU345" s="109"/>
      <c r="AV345" s="109"/>
      <c r="AW345" s="109"/>
      <c r="AX345" s="109"/>
      <c r="AY345" s="109"/>
      <c r="AZ345" s="109"/>
      <c r="BA345" s="109"/>
      <c r="BB345" s="109"/>
      <c r="BC345" s="109"/>
      <c r="BD345" s="109"/>
      <c r="BE345" s="109"/>
      <c r="BF345" s="109"/>
      <c r="BG345" s="109"/>
      <c r="BH345" s="109"/>
      <c r="BI345" s="109"/>
      <c r="BJ345" s="109"/>
      <c r="BK345" s="109"/>
      <c r="BL345" s="109"/>
      <c r="BM345" s="109"/>
      <c r="BN345" s="109"/>
      <c r="BO345" s="109"/>
      <c r="BP345" s="109"/>
    </row>
    <row r="346" spans="1:68" ht="12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23"/>
      <c r="AE346" s="109"/>
      <c r="AF346" s="109"/>
      <c r="AG346" s="109"/>
      <c r="AH346" s="109"/>
      <c r="AI346" s="109"/>
      <c r="AJ346" s="109"/>
      <c r="AK346" s="109"/>
      <c r="AL346" s="109"/>
      <c r="AM346" s="109"/>
      <c r="AN346" s="109"/>
      <c r="AO346" s="109"/>
      <c r="AP346" s="109"/>
      <c r="AQ346" s="109"/>
      <c r="AR346" s="109"/>
      <c r="AS346" s="109"/>
      <c r="AT346" s="109"/>
      <c r="AU346" s="109"/>
      <c r="AV346" s="109"/>
      <c r="AW346" s="109"/>
      <c r="AX346" s="109"/>
      <c r="AY346" s="109"/>
      <c r="AZ346" s="109"/>
      <c r="BA346" s="109"/>
      <c r="BB346" s="109"/>
      <c r="BC346" s="109"/>
      <c r="BD346" s="109"/>
      <c r="BE346" s="109"/>
      <c r="BF346" s="109"/>
      <c r="BG346" s="109"/>
      <c r="BH346" s="109"/>
      <c r="BI346" s="109"/>
      <c r="BJ346" s="109"/>
      <c r="BK346" s="109"/>
      <c r="BL346" s="109"/>
      <c r="BM346" s="109"/>
      <c r="BN346" s="109"/>
      <c r="BO346" s="109"/>
      <c r="BP346" s="109"/>
    </row>
    <row r="347" spans="1:68" ht="12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23"/>
      <c r="AE347" s="109"/>
      <c r="AF347" s="109"/>
      <c r="AG347" s="109"/>
      <c r="AH347" s="109"/>
      <c r="AI347" s="109"/>
      <c r="AJ347" s="109"/>
      <c r="AK347" s="109"/>
      <c r="AL347" s="109"/>
      <c r="AM347" s="109"/>
      <c r="AN347" s="109"/>
      <c r="AO347" s="109"/>
      <c r="AP347" s="109"/>
      <c r="AQ347" s="109"/>
      <c r="AR347" s="109"/>
      <c r="AS347" s="109"/>
      <c r="AT347" s="109"/>
      <c r="AU347" s="109"/>
      <c r="AV347" s="109"/>
      <c r="AW347" s="109"/>
      <c r="AX347" s="109"/>
      <c r="AY347" s="109"/>
      <c r="AZ347" s="109"/>
      <c r="BA347" s="109"/>
      <c r="BB347" s="109"/>
      <c r="BC347" s="109"/>
      <c r="BD347" s="109"/>
      <c r="BE347" s="109"/>
      <c r="BF347" s="109"/>
      <c r="BG347" s="109"/>
      <c r="BH347" s="109"/>
      <c r="BI347" s="109"/>
      <c r="BJ347" s="109"/>
      <c r="BK347" s="109"/>
      <c r="BL347" s="109"/>
      <c r="BM347" s="109"/>
      <c r="BN347" s="109"/>
      <c r="BO347" s="109"/>
      <c r="BP347" s="109"/>
    </row>
    <row r="348" spans="1:68" ht="12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23"/>
      <c r="AE348" s="109"/>
      <c r="AF348" s="109"/>
      <c r="AG348" s="109"/>
      <c r="AH348" s="109"/>
      <c r="AI348" s="109"/>
      <c r="AJ348" s="109"/>
      <c r="AK348" s="109"/>
      <c r="AL348" s="109"/>
      <c r="AM348" s="109"/>
      <c r="AN348" s="109"/>
      <c r="AO348" s="109"/>
      <c r="AP348" s="109"/>
      <c r="AQ348" s="109"/>
      <c r="AR348" s="109"/>
      <c r="AS348" s="109"/>
      <c r="AT348" s="109"/>
      <c r="AU348" s="109"/>
      <c r="AV348" s="109"/>
      <c r="AW348" s="109"/>
      <c r="AX348" s="109"/>
      <c r="AY348" s="109"/>
      <c r="AZ348" s="109"/>
      <c r="BA348" s="109"/>
      <c r="BB348" s="109"/>
      <c r="BC348" s="109"/>
      <c r="BD348" s="109"/>
      <c r="BE348" s="109"/>
      <c r="BF348" s="109"/>
      <c r="BG348" s="109"/>
      <c r="BH348" s="109"/>
      <c r="BI348" s="109"/>
      <c r="BJ348" s="109"/>
      <c r="BK348" s="109"/>
      <c r="BL348" s="109"/>
      <c r="BM348" s="109"/>
      <c r="BN348" s="109"/>
      <c r="BO348" s="109"/>
      <c r="BP348" s="109"/>
    </row>
    <row r="349" spans="1:68" ht="12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23"/>
      <c r="AE349" s="109"/>
      <c r="AF349" s="109"/>
      <c r="AG349" s="109"/>
      <c r="AH349" s="109"/>
      <c r="AI349" s="109"/>
      <c r="AJ349" s="109"/>
      <c r="AK349" s="109"/>
      <c r="AL349" s="109"/>
      <c r="AM349" s="109"/>
      <c r="AN349" s="109"/>
      <c r="AO349" s="109"/>
      <c r="AP349" s="109"/>
      <c r="AQ349" s="109"/>
      <c r="AR349" s="109"/>
      <c r="AS349" s="109"/>
      <c r="AT349" s="109"/>
      <c r="AU349" s="109"/>
      <c r="AV349" s="109"/>
      <c r="AW349" s="109"/>
      <c r="AX349" s="109"/>
      <c r="AY349" s="109"/>
      <c r="AZ349" s="109"/>
      <c r="BA349" s="109"/>
      <c r="BB349" s="109"/>
      <c r="BC349" s="109"/>
      <c r="BD349" s="109"/>
      <c r="BE349" s="109"/>
      <c r="BF349" s="109"/>
      <c r="BG349" s="109"/>
      <c r="BH349" s="109"/>
      <c r="BI349" s="109"/>
      <c r="BJ349" s="109"/>
      <c r="BK349" s="109"/>
      <c r="BL349" s="109"/>
      <c r="BM349" s="109"/>
      <c r="BN349" s="109"/>
      <c r="BO349" s="109"/>
      <c r="BP349" s="109"/>
    </row>
    <row r="350" spans="1:68" ht="12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23"/>
      <c r="AE350" s="109"/>
      <c r="AF350" s="109"/>
      <c r="AG350" s="109"/>
      <c r="AH350" s="109"/>
      <c r="AI350" s="109"/>
      <c r="AJ350" s="109"/>
      <c r="AK350" s="109"/>
      <c r="AL350" s="109"/>
      <c r="AM350" s="109"/>
      <c r="AN350" s="109"/>
      <c r="AO350" s="109"/>
      <c r="AP350" s="109"/>
      <c r="AQ350" s="109"/>
      <c r="AR350" s="109"/>
      <c r="AS350" s="109"/>
      <c r="AT350" s="109"/>
      <c r="AU350" s="109"/>
      <c r="AV350" s="109"/>
      <c r="AW350" s="109"/>
      <c r="AX350" s="109"/>
      <c r="AY350" s="109"/>
      <c r="AZ350" s="109"/>
      <c r="BA350" s="109"/>
      <c r="BB350" s="109"/>
      <c r="BC350" s="109"/>
      <c r="BD350" s="109"/>
      <c r="BE350" s="109"/>
      <c r="BF350" s="109"/>
      <c r="BG350" s="109"/>
      <c r="BH350" s="109"/>
      <c r="BI350" s="109"/>
      <c r="BJ350" s="109"/>
      <c r="BK350" s="109"/>
      <c r="BL350" s="109"/>
      <c r="BM350" s="109"/>
      <c r="BN350" s="109"/>
      <c r="BO350" s="109"/>
      <c r="BP350" s="109"/>
    </row>
    <row r="351" spans="1:68" ht="12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23"/>
      <c r="AE351" s="109"/>
      <c r="AF351" s="109"/>
      <c r="AG351" s="109"/>
      <c r="AH351" s="109"/>
      <c r="AI351" s="109"/>
      <c r="AJ351" s="109"/>
      <c r="AK351" s="109"/>
      <c r="AL351" s="109"/>
      <c r="AM351" s="109"/>
      <c r="AN351" s="109"/>
      <c r="AO351" s="109"/>
      <c r="AP351" s="109"/>
      <c r="AQ351" s="109"/>
      <c r="AR351" s="109"/>
      <c r="AS351" s="109"/>
      <c r="AT351" s="109"/>
      <c r="AU351" s="109"/>
      <c r="AV351" s="109"/>
      <c r="AW351" s="109"/>
      <c r="AX351" s="109"/>
      <c r="AY351" s="109"/>
      <c r="AZ351" s="109"/>
      <c r="BA351" s="109"/>
      <c r="BB351" s="109"/>
      <c r="BC351" s="109"/>
      <c r="BD351" s="109"/>
      <c r="BE351" s="109"/>
      <c r="BF351" s="109"/>
      <c r="BG351" s="109"/>
      <c r="BH351" s="109"/>
      <c r="BI351" s="109"/>
      <c r="BJ351" s="109"/>
      <c r="BK351" s="109"/>
      <c r="BL351" s="109"/>
      <c r="BM351" s="109"/>
      <c r="BN351" s="109"/>
      <c r="BO351" s="109"/>
      <c r="BP351" s="109"/>
    </row>
    <row r="352" spans="1:68" ht="12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23"/>
      <c r="AE352" s="109"/>
      <c r="AF352" s="109"/>
      <c r="AG352" s="109"/>
      <c r="AH352" s="109"/>
      <c r="AI352" s="109"/>
      <c r="AJ352" s="109"/>
      <c r="AK352" s="109"/>
      <c r="AL352" s="109"/>
      <c r="AM352" s="109"/>
      <c r="AN352" s="109"/>
      <c r="AO352" s="109"/>
      <c r="AP352" s="109"/>
      <c r="AQ352" s="109"/>
      <c r="AR352" s="109"/>
      <c r="AS352" s="109"/>
      <c r="AT352" s="109"/>
      <c r="AU352" s="109"/>
      <c r="AV352" s="109"/>
      <c r="AW352" s="109"/>
      <c r="AX352" s="109"/>
      <c r="AY352" s="109"/>
      <c r="AZ352" s="109"/>
      <c r="BA352" s="109"/>
      <c r="BB352" s="109"/>
      <c r="BC352" s="109"/>
      <c r="BD352" s="109"/>
      <c r="BE352" s="109"/>
      <c r="BF352" s="109"/>
      <c r="BG352" s="109"/>
      <c r="BH352" s="109"/>
      <c r="BI352" s="109"/>
      <c r="BJ352" s="109"/>
      <c r="BK352" s="109"/>
      <c r="BL352" s="109"/>
      <c r="BM352" s="109"/>
      <c r="BN352" s="109"/>
      <c r="BO352" s="109"/>
      <c r="BP352" s="109"/>
    </row>
    <row r="353" spans="1:68" ht="12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23"/>
      <c r="AE353" s="109"/>
      <c r="AF353" s="109"/>
      <c r="AG353" s="109"/>
      <c r="AH353" s="109"/>
      <c r="AI353" s="109"/>
      <c r="AJ353" s="109"/>
      <c r="AK353" s="109"/>
      <c r="AL353" s="109"/>
      <c r="AM353" s="109"/>
      <c r="AN353" s="109"/>
      <c r="AO353" s="109"/>
      <c r="AP353" s="109"/>
      <c r="AQ353" s="109"/>
      <c r="AR353" s="109"/>
      <c r="AS353" s="109"/>
      <c r="AT353" s="109"/>
      <c r="AU353" s="109"/>
      <c r="AV353" s="109"/>
      <c r="AW353" s="109"/>
      <c r="AX353" s="109"/>
      <c r="AY353" s="109"/>
      <c r="AZ353" s="109"/>
      <c r="BA353" s="109"/>
      <c r="BB353" s="109"/>
      <c r="BC353" s="109"/>
      <c r="BD353" s="109"/>
      <c r="BE353" s="109"/>
      <c r="BF353" s="109"/>
      <c r="BG353" s="109"/>
      <c r="BH353" s="109"/>
      <c r="BI353" s="109"/>
      <c r="BJ353" s="109"/>
      <c r="BK353" s="109"/>
      <c r="BL353" s="109"/>
      <c r="BM353" s="109"/>
      <c r="BN353" s="109"/>
      <c r="BO353" s="109"/>
      <c r="BP353" s="109"/>
    </row>
    <row r="354" spans="1:68" ht="12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23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  <c r="AO354" s="109"/>
      <c r="AP354" s="109"/>
      <c r="AQ354" s="109"/>
      <c r="AR354" s="109"/>
      <c r="AS354" s="109"/>
      <c r="AT354" s="109"/>
      <c r="AU354" s="109"/>
      <c r="AV354" s="109"/>
      <c r="AW354" s="109"/>
      <c r="AX354" s="109"/>
      <c r="AY354" s="109"/>
      <c r="AZ354" s="109"/>
      <c r="BA354" s="109"/>
      <c r="BB354" s="109"/>
      <c r="BC354" s="109"/>
      <c r="BD354" s="109"/>
      <c r="BE354" s="109"/>
      <c r="BF354" s="109"/>
      <c r="BG354" s="109"/>
      <c r="BH354" s="109"/>
      <c r="BI354" s="109"/>
      <c r="BJ354" s="109"/>
      <c r="BK354" s="109"/>
      <c r="BL354" s="109"/>
      <c r="BM354" s="109"/>
      <c r="BN354" s="109"/>
      <c r="BO354" s="109"/>
      <c r="BP354" s="109"/>
    </row>
    <row r="355" spans="1:68" ht="12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23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  <c r="AO355" s="109"/>
      <c r="AP355" s="109"/>
      <c r="AQ355" s="109"/>
      <c r="AR355" s="109"/>
      <c r="AS355" s="109"/>
      <c r="AT355" s="109"/>
      <c r="AU355" s="109"/>
      <c r="AV355" s="109"/>
      <c r="AW355" s="109"/>
      <c r="AX355" s="109"/>
      <c r="AY355" s="109"/>
      <c r="AZ355" s="109"/>
      <c r="BA355" s="109"/>
      <c r="BB355" s="109"/>
      <c r="BC355" s="109"/>
      <c r="BD355" s="109"/>
      <c r="BE355" s="109"/>
      <c r="BF355" s="109"/>
      <c r="BG355" s="109"/>
      <c r="BH355" s="109"/>
      <c r="BI355" s="109"/>
      <c r="BJ355" s="109"/>
      <c r="BK355" s="109"/>
      <c r="BL355" s="109"/>
      <c r="BM355" s="109"/>
      <c r="BN355" s="109"/>
      <c r="BO355" s="109"/>
      <c r="BP355" s="109"/>
    </row>
    <row r="356" spans="1:68" ht="12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23"/>
      <c r="AE356" s="109"/>
      <c r="AF356" s="109"/>
      <c r="AG356" s="109"/>
      <c r="AH356" s="109"/>
      <c r="AI356" s="109"/>
      <c r="AJ356" s="109"/>
      <c r="AK356" s="109"/>
      <c r="AL356" s="109"/>
      <c r="AM356" s="109"/>
      <c r="AN356" s="109"/>
      <c r="AO356" s="109"/>
      <c r="AP356" s="109"/>
      <c r="AQ356" s="109"/>
      <c r="AR356" s="109"/>
      <c r="AS356" s="109"/>
      <c r="AT356" s="109"/>
      <c r="AU356" s="109"/>
      <c r="AV356" s="109"/>
      <c r="AW356" s="109"/>
      <c r="AX356" s="109"/>
      <c r="AY356" s="109"/>
      <c r="AZ356" s="109"/>
      <c r="BA356" s="109"/>
      <c r="BB356" s="109"/>
      <c r="BC356" s="109"/>
      <c r="BD356" s="109"/>
      <c r="BE356" s="109"/>
      <c r="BF356" s="109"/>
      <c r="BG356" s="109"/>
      <c r="BH356" s="109"/>
      <c r="BI356" s="109"/>
      <c r="BJ356" s="109"/>
      <c r="BK356" s="109"/>
      <c r="BL356" s="109"/>
      <c r="BM356" s="109"/>
      <c r="BN356" s="109"/>
      <c r="BO356" s="109"/>
      <c r="BP356" s="109"/>
    </row>
    <row r="357" spans="1:68" ht="12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23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  <c r="AO357" s="109"/>
      <c r="AP357" s="109"/>
      <c r="AQ357" s="109"/>
      <c r="AR357" s="109"/>
      <c r="AS357" s="109"/>
      <c r="AT357" s="109"/>
      <c r="AU357" s="109"/>
      <c r="AV357" s="109"/>
      <c r="AW357" s="109"/>
      <c r="AX357" s="109"/>
      <c r="AY357" s="109"/>
      <c r="AZ357" s="109"/>
      <c r="BA357" s="109"/>
      <c r="BB357" s="109"/>
      <c r="BC357" s="109"/>
      <c r="BD357" s="109"/>
      <c r="BE357" s="109"/>
      <c r="BF357" s="109"/>
      <c r="BG357" s="109"/>
      <c r="BH357" s="109"/>
      <c r="BI357" s="109"/>
      <c r="BJ357" s="109"/>
      <c r="BK357" s="109"/>
      <c r="BL357" s="109"/>
      <c r="BM357" s="109"/>
      <c r="BN357" s="109"/>
      <c r="BO357" s="109"/>
      <c r="BP357" s="109"/>
    </row>
    <row r="358" spans="1:68" ht="12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23"/>
      <c r="AE358" s="109"/>
      <c r="AF358" s="109"/>
      <c r="AG358" s="109"/>
      <c r="AH358" s="109"/>
      <c r="AI358" s="109"/>
      <c r="AJ358" s="109"/>
      <c r="AK358" s="109"/>
      <c r="AL358" s="109"/>
      <c r="AM358" s="109"/>
      <c r="AN358" s="109"/>
      <c r="AO358" s="109"/>
      <c r="AP358" s="109"/>
      <c r="AQ358" s="109"/>
      <c r="AR358" s="109"/>
      <c r="AS358" s="109"/>
      <c r="AT358" s="109"/>
      <c r="AU358" s="109"/>
      <c r="AV358" s="109"/>
      <c r="AW358" s="109"/>
      <c r="AX358" s="109"/>
      <c r="AY358" s="109"/>
      <c r="AZ358" s="109"/>
      <c r="BA358" s="109"/>
      <c r="BB358" s="109"/>
      <c r="BC358" s="109"/>
      <c r="BD358" s="109"/>
      <c r="BE358" s="109"/>
      <c r="BF358" s="109"/>
      <c r="BG358" s="109"/>
      <c r="BH358" s="109"/>
      <c r="BI358" s="109"/>
      <c r="BJ358" s="109"/>
      <c r="BK358" s="109"/>
      <c r="BL358" s="109"/>
      <c r="BM358" s="109"/>
      <c r="BN358" s="109"/>
      <c r="BO358" s="109"/>
      <c r="BP358" s="109"/>
    </row>
    <row r="359" spans="1:68" ht="12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23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  <c r="AO359" s="109"/>
      <c r="AP359" s="109"/>
      <c r="AQ359" s="109"/>
      <c r="AR359" s="109"/>
      <c r="AS359" s="109"/>
      <c r="AT359" s="109"/>
      <c r="AU359" s="109"/>
      <c r="AV359" s="109"/>
      <c r="AW359" s="109"/>
      <c r="AX359" s="109"/>
      <c r="AY359" s="109"/>
      <c r="AZ359" s="109"/>
      <c r="BA359" s="109"/>
      <c r="BB359" s="109"/>
      <c r="BC359" s="109"/>
      <c r="BD359" s="109"/>
      <c r="BE359" s="109"/>
      <c r="BF359" s="109"/>
      <c r="BG359" s="109"/>
      <c r="BH359" s="109"/>
      <c r="BI359" s="109"/>
      <c r="BJ359" s="109"/>
      <c r="BK359" s="109"/>
      <c r="BL359" s="109"/>
      <c r="BM359" s="109"/>
      <c r="BN359" s="109"/>
      <c r="BO359" s="109"/>
      <c r="BP359" s="109"/>
    </row>
    <row r="360" spans="1:68" ht="12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23"/>
      <c r="AE360" s="109"/>
      <c r="AF360" s="109"/>
      <c r="AG360" s="109"/>
      <c r="AH360" s="109"/>
      <c r="AI360" s="109"/>
      <c r="AJ360" s="109"/>
      <c r="AK360" s="109"/>
      <c r="AL360" s="109"/>
      <c r="AM360" s="109"/>
      <c r="AN360" s="109"/>
      <c r="AO360" s="109"/>
      <c r="AP360" s="109"/>
      <c r="AQ360" s="109"/>
      <c r="AR360" s="109"/>
      <c r="AS360" s="109"/>
      <c r="AT360" s="109"/>
      <c r="AU360" s="109"/>
      <c r="AV360" s="109"/>
      <c r="AW360" s="109"/>
      <c r="AX360" s="109"/>
      <c r="AY360" s="109"/>
      <c r="AZ360" s="109"/>
      <c r="BA360" s="109"/>
      <c r="BB360" s="109"/>
      <c r="BC360" s="109"/>
      <c r="BD360" s="109"/>
      <c r="BE360" s="109"/>
      <c r="BF360" s="109"/>
      <c r="BG360" s="109"/>
      <c r="BH360" s="109"/>
      <c r="BI360" s="109"/>
      <c r="BJ360" s="109"/>
      <c r="BK360" s="109"/>
      <c r="BL360" s="109"/>
      <c r="BM360" s="109"/>
      <c r="BN360" s="109"/>
      <c r="BO360" s="109"/>
      <c r="BP360" s="109"/>
    </row>
    <row r="361" spans="1:68" ht="12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23"/>
      <c r="AE361" s="109"/>
      <c r="AF361" s="109"/>
      <c r="AG361" s="109"/>
      <c r="AH361" s="109"/>
      <c r="AI361" s="109"/>
      <c r="AJ361" s="109"/>
      <c r="AK361" s="109"/>
      <c r="AL361" s="109"/>
      <c r="AM361" s="109"/>
      <c r="AN361" s="109"/>
      <c r="AO361" s="109"/>
      <c r="AP361" s="109"/>
      <c r="AQ361" s="109"/>
      <c r="AR361" s="109"/>
      <c r="AS361" s="109"/>
      <c r="AT361" s="109"/>
      <c r="AU361" s="109"/>
      <c r="AV361" s="109"/>
      <c r="AW361" s="109"/>
      <c r="AX361" s="109"/>
      <c r="AY361" s="109"/>
      <c r="AZ361" s="109"/>
      <c r="BA361" s="109"/>
      <c r="BB361" s="109"/>
      <c r="BC361" s="109"/>
      <c r="BD361" s="109"/>
      <c r="BE361" s="109"/>
      <c r="BF361" s="109"/>
      <c r="BG361" s="109"/>
      <c r="BH361" s="109"/>
      <c r="BI361" s="109"/>
      <c r="BJ361" s="109"/>
      <c r="BK361" s="109"/>
      <c r="BL361" s="109"/>
      <c r="BM361" s="109"/>
      <c r="BN361" s="109"/>
      <c r="BO361" s="109"/>
      <c r="BP361" s="109"/>
    </row>
    <row r="362" spans="1:68" ht="12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23"/>
      <c r="AE362" s="109"/>
      <c r="AF362" s="109"/>
      <c r="AG362" s="109"/>
      <c r="AH362" s="109"/>
      <c r="AI362" s="109"/>
      <c r="AJ362" s="109"/>
      <c r="AK362" s="109"/>
      <c r="AL362" s="109"/>
      <c r="AM362" s="109"/>
      <c r="AN362" s="109"/>
      <c r="AO362" s="109"/>
      <c r="AP362" s="109"/>
      <c r="AQ362" s="109"/>
      <c r="AR362" s="109"/>
      <c r="AS362" s="109"/>
      <c r="AT362" s="109"/>
      <c r="AU362" s="109"/>
      <c r="AV362" s="109"/>
      <c r="AW362" s="109"/>
      <c r="AX362" s="109"/>
      <c r="AY362" s="109"/>
      <c r="AZ362" s="109"/>
      <c r="BA362" s="109"/>
      <c r="BB362" s="109"/>
      <c r="BC362" s="109"/>
      <c r="BD362" s="109"/>
      <c r="BE362" s="109"/>
      <c r="BF362" s="109"/>
      <c r="BG362" s="109"/>
      <c r="BH362" s="109"/>
      <c r="BI362" s="109"/>
      <c r="BJ362" s="109"/>
      <c r="BK362" s="109"/>
      <c r="BL362" s="109"/>
      <c r="BM362" s="109"/>
      <c r="BN362" s="109"/>
      <c r="BO362" s="109"/>
      <c r="BP362" s="109"/>
    </row>
    <row r="363" spans="1:68" ht="12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23"/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09"/>
      <c r="AS363" s="109"/>
      <c r="AT363" s="109"/>
      <c r="AU363" s="109"/>
      <c r="AV363" s="109"/>
      <c r="AW363" s="109"/>
      <c r="AX363" s="109"/>
      <c r="AY363" s="109"/>
      <c r="AZ363" s="109"/>
      <c r="BA363" s="109"/>
      <c r="BB363" s="109"/>
      <c r="BC363" s="109"/>
      <c r="BD363" s="109"/>
      <c r="BE363" s="109"/>
      <c r="BF363" s="109"/>
      <c r="BG363" s="109"/>
      <c r="BH363" s="109"/>
      <c r="BI363" s="109"/>
      <c r="BJ363" s="109"/>
      <c r="BK363" s="109"/>
      <c r="BL363" s="109"/>
      <c r="BM363" s="109"/>
      <c r="BN363" s="109"/>
      <c r="BO363" s="109"/>
      <c r="BP363" s="109"/>
    </row>
    <row r="364" spans="1:68" ht="12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23"/>
      <c r="AE364" s="109"/>
      <c r="AF364" s="109"/>
      <c r="AG364" s="109"/>
      <c r="AH364" s="109"/>
      <c r="AI364" s="109"/>
      <c r="AJ364" s="109"/>
      <c r="AK364" s="109"/>
      <c r="AL364" s="109"/>
      <c r="AM364" s="109"/>
      <c r="AN364" s="109"/>
      <c r="AO364" s="109"/>
      <c r="AP364" s="109"/>
      <c r="AQ364" s="109"/>
      <c r="AR364" s="109"/>
      <c r="AS364" s="109"/>
      <c r="AT364" s="109"/>
      <c r="AU364" s="109"/>
      <c r="AV364" s="109"/>
      <c r="AW364" s="109"/>
      <c r="AX364" s="109"/>
      <c r="AY364" s="109"/>
      <c r="AZ364" s="109"/>
      <c r="BA364" s="109"/>
      <c r="BB364" s="109"/>
      <c r="BC364" s="109"/>
      <c r="BD364" s="109"/>
      <c r="BE364" s="109"/>
      <c r="BF364" s="109"/>
      <c r="BG364" s="109"/>
      <c r="BH364" s="109"/>
      <c r="BI364" s="109"/>
      <c r="BJ364" s="109"/>
      <c r="BK364" s="109"/>
      <c r="BL364" s="109"/>
      <c r="BM364" s="109"/>
      <c r="BN364" s="109"/>
      <c r="BO364" s="109"/>
      <c r="BP364" s="109"/>
    </row>
    <row r="365" spans="1:68" ht="12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23"/>
      <c r="AE365" s="109"/>
      <c r="AF365" s="109"/>
      <c r="AG365" s="109"/>
      <c r="AH365" s="109"/>
      <c r="AI365" s="109"/>
      <c r="AJ365" s="109"/>
      <c r="AK365" s="109"/>
      <c r="AL365" s="109"/>
      <c r="AM365" s="109"/>
      <c r="AN365" s="109"/>
      <c r="AO365" s="109"/>
      <c r="AP365" s="109"/>
      <c r="AQ365" s="109"/>
      <c r="AR365" s="109"/>
      <c r="AS365" s="109"/>
      <c r="AT365" s="109"/>
      <c r="AU365" s="109"/>
      <c r="AV365" s="109"/>
      <c r="AW365" s="109"/>
      <c r="AX365" s="109"/>
      <c r="AY365" s="109"/>
      <c r="AZ365" s="109"/>
      <c r="BA365" s="109"/>
      <c r="BB365" s="109"/>
      <c r="BC365" s="109"/>
      <c r="BD365" s="109"/>
      <c r="BE365" s="109"/>
      <c r="BF365" s="109"/>
      <c r="BG365" s="109"/>
      <c r="BH365" s="109"/>
      <c r="BI365" s="109"/>
      <c r="BJ365" s="109"/>
      <c r="BK365" s="109"/>
      <c r="BL365" s="109"/>
      <c r="BM365" s="109"/>
      <c r="BN365" s="109"/>
      <c r="BO365" s="109"/>
      <c r="BP365" s="109"/>
    </row>
    <row r="366" spans="1:68" ht="12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23"/>
      <c r="AE366" s="109"/>
      <c r="AF366" s="109"/>
      <c r="AG366" s="109"/>
      <c r="AH366" s="109"/>
      <c r="AI366" s="109"/>
      <c r="AJ366" s="109"/>
      <c r="AK366" s="109"/>
      <c r="AL366" s="109"/>
      <c r="AM366" s="109"/>
      <c r="AN366" s="109"/>
      <c r="AO366" s="109"/>
      <c r="AP366" s="109"/>
      <c r="AQ366" s="109"/>
      <c r="AR366" s="109"/>
      <c r="AS366" s="109"/>
      <c r="AT366" s="109"/>
      <c r="AU366" s="109"/>
      <c r="AV366" s="109"/>
      <c r="AW366" s="109"/>
      <c r="AX366" s="109"/>
      <c r="AY366" s="109"/>
      <c r="AZ366" s="109"/>
      <c r="BA366" s="109"/>
      <c r="BB366" s="109"/>
      <c r="BC366" s="109"/>
      <c r="BD366" s="109"/>
      <c r="BE366" s="109"/>
      <c r="BF366" s="109"/>
      <c r="BG366" s="109"/>
      <c r="BH366" s="109"/>
      <c r="BI366" s="109"/>
      <c r="BJ366" s="109"/>
      <c r="BK366" s="109"/>
      <c r="BL366" s="109"/>
      <c r="BM366" s="109"/>
      <c r="BN366" s="109"/>
      <c r="BO366" s="109"/>
      <c r="BP366" s="109"/>
    </row>
    <row r="367" spans="1:68" ht="12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23"/>
      <c r="AE367" s="109"/>
      <c r="AF367" s="109"/>
      <c r="AG367" s="109"/>
      <c r="AH367" s="109"/>
      <c r="AI367" s="109"/>
      <c r="AJ367" s="109"/>
      <c r="AK367" s="109"/>
      <c r="AL367" s="109"/>
      <c r="AM367" s="109"/>
      <c r="AN367" s="109"/>
      <c r="AO367" s="109"/>
      <c r="AP367" s="109"/>
      <c r="AQ367" s="109"/>
      <c r="AR367" s="109"/>
      <c r="AS367" s="109"/>
      <c r="AT367" s="109"/>
      <c r="AU367" s="109"/>
      <c r="AV367" s="109"/>
      <c r="AW367" s="109"/>
      <c r="AX367" s="109"/>
      <c r="AY367" s="109"/>
      <c r="AZ367" s="109"/>
      <c r="BA367" s="109"/>
      <c r="BB367" s="109"/>
      <c r="BC367" s="109"/>
      <c r="BD367" s="109"/>
      <c r="BE367" s="109"/>
      <c r="BF367" s="109"/>
      <c r="BG367" s="109"/>
      <c r="BH367" s="109"/>
      <c r="BI367" s="109"/>
      <c r="BJ367" s="109"/>
      <c r="BK367" s="109"/>
      <c r="BL367" s="109"/>
      <c r="BM367" s="109"/>
      <c r="BN367" s="109"/>
      <c r="BO367" s="109"/>
      <c r="BP367" s="109"/>
    </row>
    <row r="368" spans="1:68" ht="12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23"/>
      <c r="AE368" s="109"/>
      <c r="AF368" s="109"/>
      <c r="AG368" s="109"/>
      <c r="AH368" s="109"/>
      <c r="AI368" s="109"/>
      <c r="AJ368" s="109"/>
      <c r="AK368" s="109"/>
      <c r="AL368" s="109"/>
      <c r="AM368" s="109"/>
      <c r="AN368" s="109"/>
      <c r="AO368" s="109"/>
      <c r="AP368" s="109"/>
      <c r="AQ368" s="109"/>
      <c r="AR368" s="109"/>
      <c r="AS368" s="109"/>
      <c r="AT368" s="109"/>
      <c r="AU368" s="109"/>
      <c r="AV368" s="109"/>
      <c r="AW368" s="109"/>
      <c r="AX368" s="109"/>
      <c r="AY368" s="109"/>
      <c r="AZ368" s="109"/>
      <c r="BA368" s="109"/>
      <c r="BB368" s="109"/>
      <c r="BC368" s="109"/>
      <c r="BD368" s="109"/>
      <c r="BE368" s="109"/>
      <c r="BF368" s="109"/>
      <c r="BG368" s="109"/>
      <c r="BH368" s="109"/>
      <c r="BI368" s="109"/>
      <c r="BJ368" s="109"/>
      <c r="BK368" s="109"/>
      <c r="BL368" s="109"/>
      <c r="BM368" s="109"/>
      <c r="BN368" s="109"/>
      <c r="BO368" s="109"/>
      <c r="BP368" s="109"/>
    </row>
    <row r="369" spans="1:68" ht="12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23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  <c r="AO369" s="109"/>
      <c r="AP369" s="109"/>
      <c r="AQ369" s="109"/>
      <c r="AR369" s="109"/>
      <c r="AS369" s="109"/>
      <c r="AT369" s="109"/>
      <c r="AU369" s="109"/>
      <c r="AV369" s="109"/>
      <c r="AW369" s="109"/>
      <c r="AX369" s="109"/>
      <c r="AY369" s="109"/>
      <c r="AZ369" s="109"/>
      <c r="BA369" s="109"/>
      <c r="BB369" s="109"/>
      <c r="BC369" s="109"/>
      <c r="BD369" s="109"/>
      <c r="BE369" s="109"/>
      <c r="BF369" s="109"/>
      <c r="BG369" s="109"/>
      <c r="BH369" s="109"/>
      <c r="BI369" s="109"/>
      <c r="BJ369" s="109"/>
      <c r="BK369" s="109"/>
      <c r="BL369" s="109"/>
      <c r="BM369" s="109"/>
      <c r="BN369" s="109"/>
      <c r="BO369" s="109"/>
      <c r="BP369" s="109"/>
    </row>
    <row r="370" spans="1:68" ht="12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23"/>
      <c r="AE370" s="109"/>
      <c r="AF370" s="109"/>
      <c r="AG370" s="109"/>
      <c r="AH370" s="109"/>
      <c r="AI370" s="109"/>
      <c r="AJ370" s="109"/>
      <c r="AK370" s="109"/>
      <c r="AL370" s="109"/>
      <c r="AM370" s="109"/>
      <c r="AN370" s="109"/>
      <c r="AO370" s="109"/>
      <c r="AP370" s="109"/>
      <c r="AQ370" s="109"/>
      <c r="AR370" s="109"/>
      <c r="AS370" s="109"/>
      <c r="AT370" s="109"/>
      <c r="AU370" s="109"/>
      <c r="AV370" s="109"/>
      <c r="AW370" s="109"/>
      <c r="AX370" s="109"/>
      <c r="AY370" s="109"/>
      <c r="AZ370" s="109"/>
      <c r="BA370" s="109"/>
      <c r="BB370" s="109"/>
      <c r="BC370" s="109"/>
      <c r="BD370" s="109"/>
      <c r="BE370" s="109"/>
      <c r="BF370" s="109"/>
      <c r="BG370" s="109"/>
      <c r="BH370" s="109"/>
      <c r="BI370" s="109"/>
      <c r="BJ370" s="109"/>
      <c r="BK370" s="109"/>
      <c r="BL370" s="109"/>
      <c r="BM370" s="109"/>
      <c r="BN370" s="109"/>
      <c r="BO370" s="109"/>
      <c r="BP370" s="109"/>
    </row>
    <row r="371" spans="1:68" ht="12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23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  <c r="AO371" s="109"/>
      <c r="AP371" s="109"/>
      <c r="AQ371" s="109"/>
      <c r="AR371" s="109"/>
      <c r="AS371" s="109"/>
      <c r="AT371" s="109"/>
      <c r="AU371" s="109"/>
      <c r="AV371" s="109"/>
      <c r="AW371" s="109"/>
      <c r="AX371" s="109"/>
      <c r="AY371" s="109"/>
      <c r="AZ371" s="109"/>
      <c r="BA371" s="109"/>
      <c r="BB371" s="109"/>
      <c r="BC371" s="109"/>
      <c r="BD371" s="109"/>
      <c r="BE371" s="109"/>
      <c r="BF371" s="109"/>
      <c r="BG371" s="109"/>
      <c r="BH371" s="109"/>
      <c r="BI371" s="109"/>
      <c r="BJ371" s="109"/>
      <c r="BK371" s="109"/>
      <c r="BL371" s="109"/>
      <c r="BM371" s="109"/>
      <c r="BN371" s="109"/>
      <c r="BO371" s="109"/>
      <c r="BP371" s="109"/>
    </row>
    <row r="372" spans="1:68" ht="12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23"/>
      <c r="AE372" s="109"/>
      <c r="AF372" s="109"/>
      <c r="AG372" s="109"/>
      <c r="AH372" s="109"/>
      <c r="AI372" s="109"/>
      <c r="AJ372" s="109"/>
      <c r="AK372" s="109"/>
      <c r="AL372" s="109"/>
      <c r="AM372" s="109"/>
      <c r="AN372" s="109"/>
      <c r="AO372" s="109"/>
      <c r="AP372" s="109"/>
      <c r="AQ372" s="109"/>
      <c r="AR372" s="109"/>
      <c r="AS372" s="109"/>
      <c r="AT372" s="109"/>
      <c r="AU372" s="109"/>
      <c r="AV372" s="109"/>
      <c r="AW372" s="109"/>
      <c r="AX372" s="109"/>
      <c r="AY372" s="109"/>
      <c r="AZ372" s="109"/>
      <c r="BA372" s="109"/>
      <c r="BB372" s="109"/>
      <c r="BC372" s="109"/>
      <c r="BD372" s="109"/>
      <c r="BE372" s="109"/>
      <c r="BF372" s="109"/>
      <c r="BG372" s="109"/>
      <c r="BH372" s="109"/>
      <c r="BI372" s="109"/>
      <c r="BJ372" s="109"/>
      <c r="BK372" s="109"/>
      <c r="BL372" s="109"/>
      <c r="BM372" s="109"/>
      <c r="BN372" s="109"/>
      <c r="BO372" s="109"/>
      <c r="BP372" s="109"/>
    </row>
    <row r="373" spans="1:68" ht="12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23"/>
      <c r="AE373" s="109"/>
      <c r="AF373" s="109"/>
      <c r="AG373" s="109"/>
      <c r="AH373" s="109"/>
      <c r="AI373" s="109"/>
      <c r="AJ373" s="109"/>
      <c r="AK373" s="109"/>
      <c r="AL373" s="109"/>
      <c r="AM373" s="109"/>
      <c r="AN373" s="109"/>
      <c r="AO373" s="109"/>
      <c r="AP373" s="109"/>
      <c r="AQ373" s="109"/>
      <c r="AR373" s="109"/>
      <c r="AS373" s="109"/>
      <c r="AT373" s="109"/>
      <c r="AU373" s="109"/>
      <c r="AV373" s="109"/>
      <c r="AW373" s="109"/>
      <c r="AX373" s="109"/>
      <c r="AY373" s="109"/>
      <c r="AZ373" s="109"/>
      <c r="BA373" s="109"/>
      <c r="BB373" s="109"/>
      <c r="BC373" s="109"/>
      <c r="BD373" s="109"/>
      <c r="BE373" s="109"/>
      <c r="BF373" s="109"/>
      <c r="BG373" s="109"/>
      <c r="BH373" s="109"/>
      <c r="BI373" s="109"/>
      <c r="BJ373" s="109"/>
      <c r="BK373" s="109"/>
      <c r="BL373" s="109"/>
      <c r="BM373" s="109"/>
      <c r="BN373" s="109"/>
      <c r="BO373" s="109"/>
      <c r="BP373" s="109"/>
    </row>
    <row r="374" spans="1:68" ht="12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23"/>
      <c r="AE374" s="109"/>
      <c r="AF374" s="109"/>
      <c r="AG374" s="109"/>
      <c r="AH374" s="109"/>
      <c r="AI374" s="109"/>
      <c r="AJ374" s="109"/>
      <c r="AK374" s="109"/>
      <c r="AL374" s="109"/>
      <c r="AM374" s="109"/>
      <c r="AN374" s="109"/>
      <c r="AO374" s="109"/>
      <c r="AP374" s="109"/>
      <c r="AQ374" s="109"/>
      <c r="AR374" s="109"/>
      <c r="AS374" s="109"/>
      <c r="AT374" s="109"/>
      <c r="AU374" s="109"/>
      <c r="AV374" s="109"/>
      <c r="AW374" s="109"/>
      <c r="AX374" s="109"/>
      <c r="AY374" s="109"/>
      <c r="AZ374" s="109"/>
      <c r="BA374" s="109"/>
      <c r="BB374" s="109"/>
      <c r="BC374" s="109"/>
      <c r="BD374" s="109"/>
      <c r="BE374" s="109"/>
      <c r="BF374" s="109"/>
      <c r="BG374" s="109"/>
      <c r="BH374" s="109"/>
      <c r="BI374" s="109"/>
      <c r="BJ374" s="109"/>
      <c r="BK374" s="109"/>
      <c r="BL374" s="109"/>
      <c r="BM374" s="109"/>
      <c r="BN374" s="109"/>
      <c r="BO374" s="109"/>
      <c r="BP374" s="109"/>
    </row>
    <row r="375" spans="1:68" ht="12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23"/>
      <c r="AE375" s="109"/>
      <c r="AF375" s="109"/>
      <c r="AG375" s="109"/>
      <c r="AH375" s="109"/>
      <c r="AI375" s="109"/>
      <c r="AJ375" s="109"/>
      <c r="AK375" s="109"/>
      <c r="AL375" s="109"/>
      <c r="AM375" s="109"/>
      <c r="AN375" s="109"/>
      <c r="AO375" s="109"/>
      <c r="AP375" s="109"/>
      <c r="AQ375" s="109"/>
      <c r="AR375" s="109"/>
      <c r="AS375" s="109"/>
      <c r="AT375" s="109"/>
      <c r="AU375" s="109"/>
      <c r="AV375" s="109"/>
      <c r="AW375" s="109"/>
      <c r="AX375" s="109"/>
      <c r="AY375" s="109"/>
      <c r="AZ375" s="109"/>
      <c r="BA375" s="109"/>
      <c r="BB375" s="109"/>
      <c r="BC375" s="109"/>
      <c r="BD375" s="109"/>
      <c r="BE375" s="109"/>
      <c r="BF375" s="109"/>
      <c r="BG375" s="109"/>
      <c r="BH375" s="109"/>
      <c r="BI375" s="109"/>
      <c r="BJ375" s="109"/>
      <c r="BK375" s="109"/>
      <c r="BL375" s="109"/>
      <c r="BM375" s="109"/>
      <c r="BN375" s="109"/>
      <c r="BO375" s="109"/>
      <c r="BP375" s="109"/>
    </row>
    <row r="376" spans="1:68" ht="12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23"/>
      <c r="AE376" s="109"/>
      <c r="AF376" s="109"/>
      <c r="AG376" s="109"/>
      <c r="AH376" s="109"/>
      <c r="AI376" s="109"/>
      <c r="AJ376" s="109"/>
      <c r="AK376" s="109"/>
      <c r="AL376" s="109"/>
      <c r="AM376" s="109"/>
      <c r="AN376" s="109"/>
      <c r="AO376" s="109"/>
      <c r="AP376" s="109"/>
      <c r="AQ376" s="109"/>
      <c r="AR376" s="109"/>
      <c r="AS376" s="109"/>
      <c r="AT376" s="109"/>
      <c r="AU376" s="109"/>
      <c r="AV376" s="109"/>
      <c r="AW376" s="109"/>
      <c r="AX376" s="109"/>
      <c r="AY376" s="109"/>
      <c r="AZ376" s="109"/>
      <c r="BA376" s="109"/>
      <c r="BB376" s="109"/>
      <c r="BC376" s="109"/>
      <c r="BD376" s="109"/>
      <c r="BE376" s="109"/>
      <c r="BF376" s="109"/>
      <c r="BG376" s="109"/>
      <c r="BH376" s="109"/>
      <c r="BI376" s="109"/>
      <c r="BJ376" s="109"/>
      <c r="BK376" s="109"/>
      <c r="BL376" s="109"/>
      <c r="BM376" s="109"/>
      <c r="BN376" s="109"/>
      <c r="BO376" s="109"/>
      <c r="BP376" s="109"/>
    </row>
    <row r="377" spans="1:68" ht="12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23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  <c r="AO377" s="109"/>
      <c r="AP377" s="109"/>
      <c r="AQ377" s="109"/>
      <c r="AR377" s="109"/>
      <c r="AS377" s="109"/>
      <c r="AT377" s="109"/>
      <c r="AU377" s="109"/>
      <c r="AV377" s="109"/>
      <c r="AW377" s="109"/>
      <c r="AX377" s="109"/>
      <c r="AY377" s="109"/>
      <c r="AZ377" s="109"/>
      <c r="BA377" s="109"/>
      <c r="BB377" s="109"/>
      <c r="BC377" s="109"/>
      <c r="BD377" s="109"/>
      <c r="BE377" s="109"/>
      <c r="BF377" s="109"/>
      <c r="BG377" s="109"/>
      <c r="BH377" s="109"/>
      <c r="BI377" s="109"/>
      <c r="BJ377" s="109"/>
      <c r="BK377" s="109"/>
      <c r="BL377" s="109"/>
      <c r="BM377" s="109"/>
      <c r="BN377" s="109"/>
      <c r="BO377" s="109"/>
      <c r="BP377" s="109"/>
    </row>
    <row r="378" spans="1:68" ht="12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23"/>
      <c r="AE378" s="109"/>
      <c r="AF378" s="109"/>
      <c r="AG378" s="109"/>
      <c r="AH378" s="109"/>
      <c r="AI378" s="109"/>
      <c r="AJ378" s="109"/>
      <c r="AK378" s="109"/>
      <c r="AL378" s="109"/>
      <c r="AM378" s="109"/>
      <c r="AN378" s="109"/>
      <c r="AO378" s="109"/>
      <c r="AP378" s="109"/>
      <c r="AQ378" s="109"/>
      <c r="AR378" s="109"/>
      <c r="AS378" s="109"/>
      <c r="AT378" s="109"/>
      <c r="AU378" s="109"/>
      <c r="AV378" s="109"/>
      <c r="AW378" s="109"/>
      <c r="AX378" s="109"/>
      <c r="AY378" s="109"/>
      <c r="AZ378" s="109"/>
      <c r="BA378" s="109"/>
      <c r="BB378" s="109"/>
      <c r="BC378" s="109"/>
      <c r="BD378" s="109"/>
      <c r="BE378" s="109"/>
      <c r="BF378" s="109"/>
      <c r="BG378" s="109"/>
      <c r="BH378" s="109"/>
      <c r="BI378" s="109"/>
      <c r="BJ378" s="109"/>
      <c r="BK378" s="109"/>
      <c r="BL378" s="109"/>
      <c r="BM378" s="109"/>
      <c r="BN378" s="109"/>
      <c r="BO378" s="109"/>
      <c r="BP378" s="109"/>
    </row>
    <row r="379" spans="1:68" ht="12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23"/>
      <c r="AE379" s="109"/>
      <c r="AF379" s="109"/>
      <c r="AG379" s="109"/>
      <c r="AH379" s="109"/>
      <c r="AI379" s="109"/>
      <c r="AJ379" s="109"/>
      <c r="AK379" s="109"/>
      <c r="AL379" s="109"/>
      <c r="AM379" s="109"/>
      <c r="AN379" s="109"/>
      <c r="AO379" s="109"/>
      <c r="AP379" s="109"/>
      <c r="AQ379" s="109"/>
      <c r="AR379" s="109"/>
      <c r="AS379" s="109"/>
      <c r="AT379" s="109"/>
      <c r="AU379" s="109"/>
      <c r="AV379" s="109"/>
      <c r="AW379" s="109"/>
      <c r="AX379" s="109"/>
      <c r="AY379" s="109"/>
      <c r="AZ379" s="109"/>
      <c r="BA379" s="109"/>
      <c r="BB379" s="109"/>
      <c r="BC379" s="109"/>
      <c r="BD379" s="109"/>
      <c r="BE379" s="109"/>
      <c r="BF379" s="109"/>
      <c r="BG379" s="109"/>
      <c r="BH379" s="109"/>
      <c r="BI379" s="109"/>
      <c r="BJ379" s="109"/>
      <c r="BK379" s="109"/>
      <c r="BL379" s="109"/>
      <c r="BM379" s="109"/>
      <c r="BN379" s="109"/>
      <c r="BO379" s="109"/>
      <c r="BP379" s="109"/>
    </row>
    <row r="380" spans="1:68" ht="12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23"/>
      <c r="AE380" s="109"/>
      <c r="AF380" s="109"/>
      <c r="AG380" s="109"/>
      <c r="AH380" s="109"/>
      <c r="AI380" s="109"/>
      <c r="AJ380" s="109"/>
      <c r="AK380" s="109"/>
      <c r="AL380" s="109"/>
      <c r="AM380" s="109"/>
      <c r="AN380" s="109"/>
      <c r="AO380" s="109"/>
      <c r="AP380" s="109"/>
      <c r="AQ380" s="109"/>
      <c r="AR380" s="109"/>
      <c r="AS380" s="109"/>
      <c r="AT380" s="109"/>
      <c r="AU380" s="109"/>
      <c r="AV380" s="109"/>
      <c r="AW380" s="109"/>
      <c r="AX380" s="109"/>
      <c r="AY380" s="109"/>
      <c r="AZ380" s="109"/>
      <c r="BA380" s="109"/>
      <c r="BB380" s="109"/>
      <c r="BC380" s="109"/>
      <c r="BD380" s="109"/>
      <c r="BE380" s="109"/>
      <c r="BF380" s="109"/>
      <c r="BG380" s="109"/>
      <c r="BH380" s="109"/>
      <c r="BI380" s="109"/>
      <c r="BJ380" s="109"/>
      <c r="BK380" s="109"/>
      <c r="BL380" s="109"/>
      <c r="BM380" s="109"/>
      <c r="BN380" s="109"/>
      <c r="BO380" s="109"/>
      <c r="BP380" s="109"/>
    </row>
    <row r="381" spans="1:68" ht="12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23"/>
      <c r="AE381" s="109"/>
      <c r="AF381" s="109"/>
      <c r="AG381" s="109"/>
      <c r="AH381" s="109"/>
      <c r="AI381" s="109"/>
      <c r="AJ381" s="109"/>
      <c r="AK381" s="109"/>
      <c r="AL381" s="109"/>
      <c r="AM381" s="109"/>
      <c r="AN381" s="109"/>
      <c r="AO381" s="109"/>
      <c r="AP381" s="109"/>
      <c r="AQ381" s="109"/>
      <c r="AR381" s="109"/>
      <c r="AS381" s="109"/>
      <c r="AT381" s="109"/>
      <c r="AU381" s="109"/>
      <c r="AV381" s="109"/>
      <c r="AW381" s="109"/>
      <c r="AX381" s="109"/>
      <c r="AY381" s="109"/>
      <c r="AZ381" s="109"/>
      <c r="BA381" s="109"/>
      <c r="BB381" s="109"/>
      <c r="BC381" s="109"/>
      <c r="BD381" s="109"/>
      <c r="BE381" s="109"/>
      <c r="BF381" s="109"/>
      <c r="BG381" s="109"/>
      <c r="BH381" s="109"/>
      <c r="BI381" s="109"/>
      <c r="BJ381" s="109"/>
      <c r="BK381" s="109"/>
      <c r="BL381" s="109"/>
      <c r="BM381" s="109"/>
      <c r="BN381" s="109"/>
      <c r="BO381" s="109"/>
      <c r="BP381" s="109"/>
    </row>
    <row r="382" spans="1:68" ht="12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23"/>
      <c r="AE382" s="109"/>
      <c r="AF382" s="109"/>
      <c r="AG382" s="109"/>
      <c r="AH382" s="109"/>
      <c r="AI382" s="109"/>
      <c r="AJ382" s="109"/>
      <c r="AK382" s="109"/>
      <c r="AL382" s="109"/>
      <c r="AM382" s="109"/>
      <c r="AN382" s="109"/>
      <c r="AO382" s="109"/>
      <c r="AP382" s="109"/>
      <c r="AQ382" s="109"/>
      <c r="AR382" s="109"/>
      <c r="AS382" s="109"/>
      <c r="AT382" s="109"/>
      <c r="AU382" s="109"/>
      <c r="AV382" s="109"/>
      <c r="AW382" s="109"/>
      <c r="AX382" s="109"/>
      <c r="AY382" s="109"/>
      <c r="AZ382" s="109"/>
      <c r="BA382" s="109"/>
      <c r="BB382" s="109"/>
      <c r="BC382" s="109"/>
      <c r="BD382" s="109"/>
      <c r="BE382" s="109"/>
      <c r="BF382" s="109"/>
      <c r="BG382" s="109"/>
      <c r="BH382" s="109"/>
      <c r="BI382" s="109"/>
      <c r="BJ382" s="109"/>
      <c r="BK382" s="109"/>
      <c r="BL382" s="109"/>
      <c r="BM382" s="109"/>
      <c r="BN382" s="109"/>
      <c r="BO382" s="109"/>
      <c r="BP382" s="109"/>
    </row>
    <row r="383" spans="1:68" ht="12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23"/>
      <c r="AE383" s="109"/>
      <c r="AF383" s="109"/>
      <c r="AG383" s="109"/>
      <c r="AH383" s="109"/>
      <c r="AI383" s="109"/>
      <c r="AJ383" s="109"/>
      <c r="AK383" s="109"/>
      <c r="AL383" s="109"/>
      <c r="AM383" s="109"/>
      <c r="AN383" s="109"/>
      <c r="AO383" s="109"/>
      <c r="AP383" s="109"/>
      <c r="AQ383" s="109"/>
      <c r="AR383" s="109"/>
      <c r="AS383" s="109"/>
      <c r="AT383" s="109"/>
      <c r="AU383" s="109"/>
      <c r="AV383" s="109"/>
      <c r="AW383" s="109"/>
      <c r="AX383" s="109"/>
      <c r="AY383" s="109"/>
      <c r="AZ383" s="109"/>
      <c r="BA383" s="109"/>
      <c r="BB383" s="109"/>
      <c r="BC383" s="109"/>
      <c r="BD383" s="109"/>
      <c r="BE383" s="109"/>
      <c r="BF383" s="109"/>
      <c r="BG383" s="109"/>
      <c r="BH383" s="109"/>
      <c r="BI383" s="109"/>
      <c r="BJ383" s="109"/>
      <c r="BK383" s="109"/>
      <c r="BL383" s="109"/>
      <c r="BM383" s="109"/>
      <c r="BN383" s="109"/>
      <c r="BO383" s="109"/>
      <c r="BP383" s="109"/>
    </row>
    <row r="384" spans="1:68" ht="12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23"/>
      <c r="AE384" s="109"/>
      <c r="AF384" s="109"/>
      <c r="AG384" s="109"/>
      <c r="AH384" s="109"/>
      <c r="AI384" s="109"/>
      <c r="AJ384" s="109"/>
      <c r="AK384" s="109"/>
      <c r="AL384" s="109"/>
      <c r="AM384" s="109"/>
      <c r="AN384" s="109"/>
      <c r="AO384" s="109"/>
      <c r="AP384" s="109"/>
      <c r="AQ384" s="109"/>
      <c r="AR384" s="109"/>
      <c r="AS384" s="109"/>
      <c r="AT384" s="109"/>
      <c r="AU384" s="109"/>
      <c r="AV384" s="109"/>
      <c r="AW384" s="109"/>
      <c r="AX384" s="109"/>
      <c r="AY384" s="109"/>
      <c r="AZ384" s="109"/>
      <c r="BA384" s="109"/>
      <c r="BB384" s="109"/>
      <c r="BC384" s="109"/>
      <c r="BD384" s="109"/>
      <c r="BE384" s="109"/>
      <c r="BF384" s="109"/>
      <c r="BG384" s="109"/>
      <c r="BH384" s="109"/>
      <c r="BI384" s="109"/>
      <c r="BJ384" s="109"/>
      <c r="BK384" s="109"/>
      <c r="BL384" s="109"/>
      <c r="BM384" s="109"/>
      <c r="BN384" s="109"/>
      <c r="BO384" s="109"/>
      <c r="BP384" s="109"/>
    </row>
    <row r="385" spans="1:68" ht="12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23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  <c r="AO385" s="109"/>
      <c r="AP385" s="109"/>
      <c r="AQ385" s="109"/>
      <c r="AR385" s="109"/>
      <c r="AS385" s="109"/>
      <c r="AT385" s="109"/>
      <c r="AU385" s="109"/>
      <c r="AV385" s="109"/>
      <c r="AW385" s="109"/>
      <c r="AX385" s="109"/>
      <c r="AY385" s="109"/>
      <c r="AZ385" s="109"/>
      <c r="BA385" s="109"/>
      <c r="BB385" s="109"/>
      <c r="BC385" s="109"/>
      <c r="BD385" s="109"/>
      <c r="BE385" s="109"/>
      <c r="BF385" s="109"/>
      <c r="BG385" s="109"/>
      <c r="BH385" s="109"/>
      <c r="BI385" s="109"/>
      <c r="BJ385" s="109"/>
      <c r="BK385" s="109"/>
      <c r="BL385" s="109"/>
      <c r="BM385" s="109"/>
      <c r="BN385" s="109"/>
      <c r="BO385" s="109"/>
      <c r="BP385" s="109"/>
    </row>
    <row r="386" spans="1:68" ht="12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23"/>
      <c r="AE386" s="109"/>
      <c r="AF386" s="109"/>
      <c r="AG386" s="109"/>
      <c r="AH386" s="109"/>
      <c r="AI386" s="109"/>
      <c r="AJ386" s="109"/>
      <c r="AK386" s="109"/>
      <c r="AL386" s="109"/>
      <c r="AM386" s="109"/>
      <c r="AN386" s="109"/>
      <c r="AO386" s="109"/>
      <c r="AP386" s="109"/>
      <c r="AQ386" s="109"/>
      <c r="AR386" s="109"/>
      <c r="AS386" s="109"/>
      <c r="AT386" s="109"/>
      <c r="AU386" s="109"/>
      <c r="AV386" s="109"/>
      <c r="AW386" s="109"/>
      <c r="AX386" s="109"/>
      <c r="AY386" s="109"/>
      <c r="AZ386" s="109"/>
      <c r="BA386" s="109"/>
      <c r="BB386" s="109"/>
      <c r="BC386" s="109"/>
      <c r="BD386" s="109"/>
      <c r="BE386" s="109"/>
      <c r="BF386" s="109"/>
      <c r="BG386" s="109"/>
      <c r="BH386" s="109"/>
      <c r="BI386" s="109"/>
      <c r="BJ386" s="109"/>
      <c r="BK386" s="109"/>
      <c r="BL386" s="109"/>
      <c r="BM386" s="109"/>
      <c r="BN386" s="109"/>
      <c r="BO386" s="109"/>
      <c r="BP386" s="109"/>
    </row>
    <row r="387" spans="1:68" ht="12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23"/>
      <c r="AE387" s="109"/>
      <c r="AF387" s="109"/>
      <c r="AG387" s="109"/>
      <c r="AH387" s="109"/>
      <c r="AI387" s="109"/>
      <c r="AJ387" s="109"/>
      <c r="AK387" s="109"/>
      <c r="AL387" s="109"/>
      <c r="AM387" s="109"/>
      <c r="AN387" s="109"/>
      <c r="AO387" s="109"/>
      <c r="AP387" s="109"/>
      <c r="AQ387" s="109"/>
      <c r="AR387" s="109"/>
      <c r="AS387" s="109"/>
      <c r="AT387" s="109"/>
      <c r="AU387" s="109"/>
      <c r="AV387" s="109"/>
      <c r="AW387" s="109"/>
      <c r="AX387" s="109"/>
      <c r="AY387" s="109"/>
      <c r="AZ387" s="109"/>
      <c r="BA387" s="109"/>
      <c r="BB387" s="109"/>
      <c r="BC387" s="109"/>
      <c r="BD387" s="109"/>
      <c r="BE387" s="109"/>
      <c r="BF387" s="109"/>
      <c r="BG387" s="109"/>
      <c r="BH387" s="109"/>
      <c r="BI387" s="109"/>
      <c r="BJ387" s="109"/>
      <c r="BK387" s="109"/>
      <c r="BL387" s="109"/>
      <c r="BM387" s="109"/>
      <c r="BN387" s="109"/>
      <c r="BO387" s="109"/>
      <c r="BP387" s="109"/>
    </row>
    <row r="388" spans="1:68" ht="12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23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  <c r="AO388" s="109"/>
      <c r="AP388" s="109"/>
      <c r="AQ388" s="109"/>
      <c r="AR388" s="109"/>
      <c r="AS388" s="109"/>
      <c r="AT388" s="109"/>
      <c r="AU388" s="109"/>
      <c r="AV388" s="109"/>
      <c r="AW388" s="109"/>
      <c r="AX388" s="109"/>
      <c r="AY388" s="109"/>
      <c r="AZ388" s="109"/>
      <c r="BA388" s="109"/>
      <c r="BB388" s="109"/>
      <c r="BC388" s="109"/>
      <c r="BD388" s="109"/>
      <c r="BE388" s="109"/>
      <c r="BF388" s="109"/>
      <c r="BG388" s="109"/>
      <c r="BH388" s="109"/>
      <c r="BI388" s="109"/>
      <c r="BJ388" s="109"/>
      <c r="BK388" s="109"/>
      <c r="BL388" s="109"/>
      <c r="BM388" s="109"/>
      <c r="BN388" s="109"/>
      <c r="BO388" s="109"/>
      <c r="BP388" s="109"/>
    </row>
    <row r="389" spans="1:68" ht="12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23"/>
      <c r="AE389" s="109"/>
      <c r="AF389" s="109"/>
      <c r="AG389" s="109"/>
      <c r="AH389" s="109"/>
      <c r="AI389" s="109"/>
      <c r="AJ389" s="109"/>
      <c r="AK389" s="109"/>
      <c r="AL389" s="109"/>
      <c r="AM389" s="109"/>
      <c r="AN389" s="109"/>
      <c r="AO389" s="109"/>
      <c r="AP389" s="109"/>
      <c r="AQ389" s="109"/>
      <c r="AR389" s="109"/>
      <c r="AS389" s="109"/>
      <c r="AT389" s="109"/>
      <c r="AU389" s="109"/>
      <c r="AV389" s="109"/>
      <c r="AW389" s="109"/>
      <c r="AX389" s="109"/>
      <c r="AY389" s="109"/>
      <c r="AZ389" s="109"/>
      <c r="BA389" s="109"/>
      <c r="BB389" s="109"/>
      <c r="BC389" s="109"/>
      <c r="BD389" s="109"/>
      <c r="BE389" s="109"/>
      <c r="BF389" s="109"/>
      <c r="BG389" s="109"/>
      <c r="BH389" s="109"/>
      <c r="BI389" s="109"/>
      <c r="BJ389" s="109"/>
      <c r="BK389" s="109"/>
      <c r="BL389" s="109"/>
      <c r="BM389" s="109"/>
      <c r="BN389" s="109"/>
      <c r="BO389" s="109"/>
      <c r="BP389" s="109"/>
    </row>
    <row r="390" spans="1:68" ht="12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23"/>
      <c r="AE390" s="109"/>
      <c r="AF390" s="109"/>
      <c r="AG390" s="109"/>
      <c r="AH390" s="109"/>
      <c r="AI390" s="109"/>
      <c r="AJ390" s="109"/>
      <c r="AK390" s="109"/>
      <c r="AL390" s="109"/>
      <c r="AM390" s="109"/>
      <c r="AN390" s="109"/>
      <c r="AO390" s="109"/>
      <c r="AP390" s="109"/>
      <c r="AQ390" s="109"/>
      <c r="AR390" s="109"/>
      <c r="AS390" s="109"/>
      <c r="AT390" s="109"/>
      <c r="AU390" s="109"/>
      <c r="AV390" s="109"/>
      <c r="AW390" s="109"/>
      <c r="AX390" s="109"/>
      <c r="AY390" s="109"/>
      <c r="AZ390" s="109"/>
      <c r="BA390" s="109"/>
      <c r="BB390" s="109"/>
      <c r="BC390" s="109"/>
      <c r="BD390" s="109"/>
      <c r="BE390" s="109"/>
      <c r="BF390" s="109"/>
      <c r="BG390" s="109"/>
      <c r="BH390" s="109"/>
      <c r="BI390" s="109"/>
      <c r="BJ390" s="109"/>
      <c r="BK390" s="109"/>
      <c r="BL390" s="109"/>
      <c r="BM390" s="109"/>
      <c r="BN390" s="109"/>
      <c r="BO390" s="109"/>
      <c r="BP390" s="109"/>
    </row>
    <row r="391" spans="1:68" ht="12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23"/>
      <c r="AE391" s="109"/>
      <c r="AF391" s="109"/>
      <c r="AG391" s="109"/>
      <c r="AH391" s="109"/>
      <c r="AI391" s="109"/>
      <c r="AJ391" s="109"/>
      <c r="AK391" s="109"/>
      <c r="AL391" s="109"/>
      <c r="AM391" s="109"/>
      <c r="AN391" s="109"/>
      <c r="AO391" s="109"/>
      <c r="AP391" s="109"/>
      <c r="AQ391" s="109"/>
      <c r="AR391" s="109"/>
      <c r="AS391" s="109"/>
      <c r="AT391" s="109"/>
      <c r="AU391" s="109"/>
      <c r="AV391" s="109"/>
      <c r="AW391" s="109"/>
      <c r="AX391" s="109"/>
      <c r="AY391" s="109"/>
      <c r="AZ391" s="109"/>
      <c r="BA391" s="109"/>
      <c r="BB391" s="109"/>
      <c r="BC391" s="109"/>
      <c r="BD391" s="109"/>
      <c r="BE391" s="109"/>
      <c r="BF391" s="109"/>
      <c r="BG391" s="109"/>
      <c r="BH391" s="109"/>
      <c r="BI391" s="109"/>
      <c r="BJ391" s="109"/>
      <c r="BK391" s="109"/>
      <c r="BL391" s="109"/>
      <c r="BM391" s="109"/>
      <c r="BN391" s="109"/>
      <c r="BO391" s="109"/>
      <c r="BP391" s="109"/>
    </row>
    <row r="392" spans="1:68" ht="12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23"/>
      <c r="AE392" s="109"/>
      <c r="AF392" s="109"/>
      <c r="AG392" s="109"/>
      <c r="AH392" s="109"/>
      <c r="AI392" s="109"/>
      <c r="AJ392" s="109"/>
      <c r="AK392" s="109"/>
      <c r="AL392" s="109"/>
      <c r="AM392" s="109"/>
      <c r="AN392" s="109"/>
      <c r="AO392" s="109"/>
      <c r="AP392" s="109"/>
      <c r="AQ392" s="109"/>
      <c r="AR392" s="109"/>
      <c r="AS392" s="109"/>
      <c r="AT392" s="109"/>
      <c r="AU392" s="109"/>
      <c r="AV392" s="109"/>
      <c r="AW392" s="109"/>
      <c r="AX392" s="109"/>
      <c r="AY392" s="109"/>
      <c r="AZ392" s="109"/>
      <c r="BA392" s="109"/>
      <c r="BB392" s="109"/>
      <c r="BC392" s="109"/>
      <c r="BD392" s="109"/>
      <c r="BE392" s="109"/>
      <c r="BF392" s="109"/>
      <c r="BG392" s="109"/>
      <c r="BH392" s="109"/>
      <c r="BI392" s="109"/>
      <c r="BJ392" s="109"/>
      <c r="BK392" s="109"/>
      <c r="BL392" s="109"/>
      <c r="BM392" s="109"/>
      <c r="BN392" s="109"/>
      <c r="BO392" s="109"/>
      <c r="BP392" s="109"/>
    </row>
    <row r="393" spans="1:68" ht="12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23"/>
      <c r="AE393" s="109"/>
      <c r="AF393" s="109"/>
      <c r="AG393" s="109"/>
      <c r="AH393" s="109"/>
      <c r="AI393" s="109"/>
      <c r="AJ393" s="109"/>
      <c r="AK393" s="109"/>
      <c r="AL393" s="109"/>
      <c r="AM393" s="109"/>
      <c r="AN393" s="109"/>
      <c r="AO393" s="109"/>
      <c r="AP393" s="109"/>
      <c r="AQ393" s="109"/>
      <c r="AR393" s="109"/>
      <c r="AS393" s="109"/>
      <c r="AT393" s="109"/>
      <c r="AU393" s="109"/>
      <c r="AV393" s="109"/>
      <c r="AW393" s="109"/>
      <c r="AX393" s="109"/>
      <c r="AY393" s="109"/>
      <c r="AZ393" s="109"/>
      <c r="BA393" s="109"/>
      <c r="BB393" s="109"/>
      <c r="BC393" s="109"/>
      <c r="BD393" s="109"/>
      <c r="BE393" s="109"/>
      <c r="BF393" s="109"/>
      <c r="BG393" s="109"/>
      <c r="BH393" s="109"/>
      <c r="BI393" s="109"/>
      <c r="BJ393" s="109"/>
      <c r="BK393" s="109"/>
      <c r="BL393" s="109"/>
      <c r="BM393" s="109"/>
      <c r="BN393" s="109"/>
      <c r="BO393" s="109"/>
      <c r="BP393" s="109"/>
    </row>
    <row r="394" spans="1:68" ht="12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23"/>
      <c r="AE394" s="109"/>
      <c r="AF394" s="109"/>
      <c r="AG394" s="109"/>
      <c r="AH394" s="109"/>
      <c r="AI394" s="109"/>
      <c r="AJ394" s="109"/>
      <c r="AK394" s="109"/>
      <c r="AL394" s="109"/>
      <c r="AM394" s="109"/>
      <c r="AN394" s="109"/>
      <c r="AO394" s="109"/>
      <c r="AP394" s="109"/>
      <c r="AQ394" s="109"/>
      <c r="AR394" s="109"/>
      <c r="AS394" s="109"/>
      <c r="AT394" s="109"/>
      <c r="AU394" s="109"/>
      <c r="AV394" s="109"/>
      <c r="AW394" s="109"/>
      <c r="AX394" s="109"/>
      <c r="AY394" s="109"/>
      <c r="AZ394" s="109"/>
      <c r="BA394" s="109"/>
      <c r="BB394" s="109"/>
      <c r="BC394" s="109"/>
      <c r="BD394" s="109"/>
      <c r="BE394" s="109"/>
      <c r="BF394" s="109"/>
      <c r="BG394" s="109"/>
      <c r="BH394" s="109"/>
      <c r="BI394" s="109"/>
      <c r="BJ394" s="109"/>
      <c r="BK394" s="109"/>
      <c r="BL394" s="109"/>
      <c r="BM394" s="109"/>
      <c r="BN394" s="109"/>
      <c r="BO394" s="109"/>
      <c r="BP394" s="109"/>
    </row>
    <row r="395" spans="1:68" ht="12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23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  <c r="AO395" s="109"/>
      <c r="AP395" s="109"/>
      <c r="AQ395" s="109"/>
      <c r="AR395" s="109"/>
      <c r="AS395" s="109"/>
      <c r="AT395" s="109"/>
      <c r="AU395" s="109"/>
      <c r="AV395" s="109"/>
      <c r="AW395" s="109"/>
      <c r="AX395" s="109"/>
      <c r="AY395" s="109"/>
      <c r="AZ395" s="109"/>
      <c r="BA395" s="109"/>
      <c r="BB395" s="109"/>
      <c r="BC395" s="109"/>
      <c r="BD395" s="109"/>
      <c r="BE395" s="109"/>
      <c r="BF395" s="109"/>
      <c r="BG395" s="109"/>
      <c r="BH395" s="109"/>
      <c r="BI395" s="109"/>
      <c r="BJ395" s="109"/>
      <c r="BK395" s="109"/>
      <c r="BL395" s="109"/>
      <c r="BM395" s="109"/>
      <c r="BN395" s="109"/>
      <c r="BO395" s="109"/>
      <c r="BP395" s="109"/>
    </row>
    <row r="396" spans="1:68" ht="12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23"/>
      <c r="AE396" s="109"/>
      <c r="AF396" s="109"/>
      <c r="AG396" s="109"/>
      <c r="AH396" s="109"/>
      <c r="AI396" s="109"/>
      <c r="AJ396" s="109"/>
      <c r="AK396" s="109"/>
      <c r="AL396" s="109"/>
      <c r="AM396" s="109"/>
      <c r="AN396" s="109"/>
      <c r="AO396" s="109"/>
      <c r="AP396" s="109"/>
      <c r="AQ396" s="109"/>
      <c r="AR396" s="109"/>
      <c r="AS396" s="109"/>
      <c r="AT396" s="109"/>
      <c r="AU396" s="109"/>
      <c r="AV396" s="109"/>
      <c r="AW396" s="109"/>
      <c r="AX396" s="109"/>
      <c r="AY396" s="109"/>
      <c r="AZ396" s="109"/>
      <c r="BA396" s="109"/>
      <c r="BB396" s="109"/>
      <c r="BC396" s="109"/>
      <c r="BD396" s="109"/>
      <c r="BE396" s="109"/>
      <c r="BF396" s="109"/>
      <c r="BG396" s="109"/>
      <c r="BH396" s="109"/>
      <c r="BI396" s="109"/>
      <c r="BJ396" s="109"/>
      <c r="BK396" s="109"/>
      <c r="BL396" s="109"/>
      <c r="BM396" s="109"/>
      <c r="BN396" s="109"/>
      <c r="BO396" s="109"/>
      <c r="BP396" s="109"/>
    </row>
    <row r="397" spans="1:68" ht="12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23"/>
      <c r="AE397" s="109"/>
      <c r="AF397" s="109"/>
      <c r="AG397" s="109"/>
      <c r="AH397" s="109"/>
      <c r="AI397" s="109"/>
      <c r="AJ397" s="109"/>
      <c r="AK397" s="109"/>
      <c r="AL397" s="109"/>
      <c r="AM397" s="109"/>
      <c r="AN397" s="109"/>
      <c r="AO397" s="109"/>
      <c r="AP397" s="109"/>
      <c r="AQ397" s="109"/>
      <c r="AR397" s="109"/>
      <c r="AS397" s="109"/>
      <c r="AT397" s="109"/>
      <c r="AU397" s="109"/>
      <c r="AV397" s="109"/>
      <c r="AW397" s="109"/>
      <c r="AX397" s="109"/>
      <c r="AY397" s="109"/>
      <c r="AZ397" s="109"/>
      <c r="BA397" s="109"/>
      <c r="BB397" s="109"/>
      <c r="BC397" s="109"/>
      <c r="BD397" s="109"/>
      <c r="BE397" s="109"/>
      <c r="BF397" s="109"/>
      <c r="BG397" s="109"/>
      <c r="BH397" s="109"/>
      <c r="BI397" s="109"/>
      <c r="BJ397" s="109"/>
      <c r="BK397" s="109"/>
      <c r="BL397" s="109"/>
      <c r="BM397" s="109"/>
      <c r="BN397" s="109"/>
      <c r="BO397" s="109"/>
      <c r="BP397" s="109"/>
    </row>
    <row r="398" spans="1:68" ht="12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23"/>
      <c r="AE398" s="109"/>
      <c r="AF398" s="109"/>
      <c r="AG398" s="109"/>
      <c r="AH398" s="109"/>
      <c r="AI398" s="109"/>
      <c r="AJ398" s="109"/>
      <c r="AK398" s="109"/>
      <c r="AL398" s="109"/>
      <c r="AM398" s="109"/>
      <c r="AN398" s="109"/>
      <c r="AO398" s="109"/>
      <c r="AP398" s="109"/>
      <c r="AQ398" s="109"/>
      <c r="AR398" s="109"/>
      <c r="AS398" s="109"/>
      <c r="AT398" s="109"/>
      <c r="AU398" s="109"/>
      <c r="AV398" s="109"/>
      <c r="AW398" s="109"/>
      <c r="AX398" s="109"/>
      <c r="AY398" s="109"/>
      <c r="AZ398" s="109"/>
      <c r="BA398" s="109"/>
      <c r="BB398" s="109"/>
      <c r="BC398" s="109"/>
      <c r="BD398" s="109"/>
      <c r="BE398" s="109"/>
      <c r="BF398" s="109"/>
      <c r="BG398" s="109"/>
      <c r="BH398" s="109"/>
      <c r="BI398" s="109"/>
      <c r="BJ398" s="109"/>
      <c r="BK398" s="109"/>
      <c r="BL398" s="109"/>
      <c r="BM398" s="109"/>
      <c r="BN398" s="109"/>
      <c r="BO398" s="109"/>
      <c r="BP398" s="109"/>
    </row>
    <row r="399" spans="1:68" ht="12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23"/>
      <c r="AE399" s="109"/>
      <c r="AF399" s="109"/>
      <c r="AG399" s="109"/>
      <c r="AH399" s="109"/>
      <c r="AI399" s="109"/>
      <c r="AJ399" s="109"/>
      <c r="AK399" s="109"/>
      <c r="AL399" s="109"/>
      <c r="AM399" s="109"/>
      <c r="AN399" s="109"/>
      <c r="AO399" s="109"/>
      <c r="AP399" s="109"/>
      <c r="AQ399" s="109"/>
      <c r="AR399" s="109"/>
      <c r="AS399" s="109"/>
      <c r="AT399" s="109"/>
      <c r="AU399" s="109"/>
      <c r="AV399" s="109"/>
      <c r="AW399" s="109"/>
      <c r="AX399" s="109"/>
      <c r="AY399" s="109"/>
      <c r="AZ399" s="109"/>
      <c r="BA399" s="109"/>
      <c r="BB399" s="109"/>
      <c r="BC399" s="109"/>
      <c r="BD399" s="109"/>
      <c r="BE399" s="109"/>
      <c r="BF399" s="109"/>
      <c r="BG399" s="109"/>
      <c r="BH399" s="109"/>
      <c r="BI399" s="109"/>
      <c r="BJ399" s="109"/>
      <c r="BK399" s="109"/>
      <c r="BL399" s="109"/>
      <c r="BM399" s="109"/>
      <c r="BN399" s="109"/>
      <c r="BO399" s="109"/>
      <c r="BP399" s="109"/>
    </row>
    <row r="400" spans="1:68" ht="12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23"/>
      <c r="AE400" s="109"/>
      <c r="AF400" s="109"/>
      <c r="AG400" s="109"/>
      <c r="AH400" s="109"/>
      <c r="AI400" s="109"/>
      <c r="AJ400" s="109"/>
      <c r="AK400" s="109"/>
      <c r="AL400" s="109"/>
      <c r="AM400" s="109"/>
      <c r="AN400" s="109"/>
      <c r="AO400" s="109"/>
      <c r="AP400" s="109"/>
      <c r="AQ400" s="109"/>
      <c r="AR400" s="109"/>
      <c r="AS400" s="109"/>
      <c r="AT400" s="109"/>
      <c r="AU400" s="109"/>
      <c r="AV400" s="109"/>
      <c r="AW400" s="109"/>
      <c r="AX400" s="109"/>
      <c r="AY400" s="109"/>
      <c r="AZ400" s="109"/>
      <c r="BA400" s="109"/>
      <c r="BB400" s="109"/>
      <c r="BC400" s="109"/>
      <c r="BD400" s="109"/>
      <c r="BE400" s="109"/>
      <c r="BF400" s="109"/>
      <c r="BG400" s="109"/>
      <c r="BH400" s="109"/>
      <c r="BI400" s="109"/>
      <c r="BJ400" s="109"/>
      <c r="BK400" s="109"/>
      <c r="BL400" s="109"/>
      <c r="BM400" s="109"/>
      <c r="BN400" s="109"/>
      <c r="BO400" s="109"/>
      <c r="BP400" s="109"/>
    </row>
    <row r="401" spans="1:68" ht="12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23"/>
      <c r="AE401" s="109"/>
      <c r="AF401" s="109"/>
      <c r="AG401" s="109"/>
      <c r="AH401" s="109"/>
      <c r="AI401" s="109"/>
      <c r="AJ401" s="109"/>
      <c r="AK401" s="109"/>
      <c r="AL401" s="109"/>
      <c r="AM401" s="109"/>
      <c r="AN401" s="109"/>
      <c r="AO401" s="109"/>
      <c r="AP401" s="109"/>
      <c r="AQ401" s="109"/>
      <c r="AR401" s="109"/>
      <c r="AS401" s="109"/>
      <c r="AT401" s="109"/>
      <c r="AU401" s="109"/>
      <c r="AV401" s="109"/>
      <c r="AW401" s="109"/>
      <c r="AX401" s="109"/>
      <c r="AY401" s="109"/>
      <c r="AZ401" s="109"/>
      <c r="BA401" s="109"/>
      <c r="BB401" s="109"/>
      <c r="BC401" s="109"/>
      <c r="BD401" s="109"/>
      <c r="BE401" s="109"/>
      <c r="BF401" s="109"/>
      <c r="BG401" s="109"/>
      <c r="BH401" s="109"/>
      <c r="BI401" s="109"/>
      <c r="BJ401" s="109"/>
      <c r="BK401" s="109"/>
      <c r="BL401" s="109"/>
      <c r="BM401" s="109"/>
      <c r="BN401" s="109"/>
      <c r="BO401" s="109"/>
      <c r="BP401" s="109"/>
    </row>
    <row r="402" spans="1:68" ht="12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23"/>
      <c r="AE402" s="109"/>
      <c r="AF402" s="109"/>
      <c r="AG402" s="109"/>
      <c r="AH402" s="109"/>
      <c r="AI402" s="109"/>
      <c r="AJ402" s="109"/>
      <c r="AK402" s="109"/>
      <c r="AL402" s="109"/>
      <c r="AM402" s="109"/>
      <c r="AN402" s="109"/>
      <c r="AO402" s="109"/>
      <c r="AP402" s="109"/>
      <c r="AQ402" s="109"/>
      <c r="AR402" s="109"/>
      <c r="AS402" s="109"/>
      <c r="AT402" s="109"/>
      <c r="AU402" s="109"/>
      <c r="AV402" s="109"/>
      <c r="AW402" s="109"/>
      <c r="AX402" s="109"/>
      <c r="AY402" s="109"/>
      <c r="AZ402" s="109"/>
      <c r="BA402" s="109"/>
      <c r="BB402" s="109"/>
      <c r="BC402" s="109"/>
      <c r="BD402" s="109"/>
      <c r="BE402" s="109"/>
      <c r="BF402" s="109"/>
      <c r="BG402" s="109"/>
      <c r="BH402" s="109"/>
      <c r="BI402" s="109"/>
      <c r="BJ402" s="109"/>
      <c r="BK402" s="109"/>
      <c r="BL402" s="109"/>
      <c r="BM402" s="109"/>
      <c r="BN402" s="109"/>
      <c r="BO402" s="109"/>
      <c r="BP402" s="109"/>
    </row>
    <row r="403" spans="1:68" ht="12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23"/>
      <c r="AE403" s="109"/>
      <c r="AF403" s="109"/>
      <c r="AG403" s="109"/>
      <c r="AH403" s="109"/>
      <c r="AI403" s="109"/>
      <c r="AJ403" s="109"/>
      <c r="AK403" s="109"/>
      <c r="AL403" s="109"/>
      <c r="AM403" s="109"/>
      <c r="AN403" s="109"/>
      <c r="AO403" s="109"/>
      <c r="AP403" s="109"/>
      <c r="AQ403" s="109"/>
      <c r="AR403" s="109"/>
      <c r="AS403" s="109"/>
      <c r="AT403" s="109"/>
      <c r="AU403" s="109"/>
      <c r="AV403" s="109"/>
      <c r="AW403" s="109"/>
      <c r="AX403" s="109"/>
      <c r="AY403" s="109"/>
      <c r="AZ403" s="109"/>
      <c r="BA403" s="109"/>
      <c r="BB403" s="109"/>
      <c r="BC403" s="109"/>
      <c r="BD403" s="109"/>
      <c r="BE403" s="109"/>
      <c r="BF403" s="109"/>
      <c r="BG403" s="109"/>
      <c r="BH403" s="109"/>
      <c r="BI403" s="109"/>
      <c r="BJ403" s="109"/>
      <c r="BK403" s="109"/>
      <c r="BL403" s="109"/>
      <c r="BM403" s="109"/>
      <c r="BN403" s="109"/>
      <c r="BO403" s="109"/>
      <c r="BP403" s="109"/>
    </row>
    <row r="404" spans="1:68" ht="12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23"/>
      <c r="AE404" s="109"/>
      <c r="AF404" s="109"/>
      <c r="AG404" s="109"/>
      <c r="AH404" s="109"/>
      <c r="AI404" s="109"/>
      <c r="AJ404" s="109"/>
      <c r="AK404" s="109"/>
      <c r="AL404" s="109"/>
      <c r="AM404" s="109"/>
      <c r="AN404" s="109"/>
      <c r="AO404" s="109"/>
      <c r="AP404" s="109"/>
      <c r="AQ404" s="109"/>
      <c r="AR404" s="109"/>
      <c r="AS404" s="109"/>
      <c r="AT404" s="109"/>
      <c r="AU404" s="109"/>
      <c r="AV404" s="109"/>
      <c r="AW404" s="109"/>
      <c r="AX404" s="109"/>
      <c r="AY404" s="109"/>
      <c r="AZ404" s="109"/>
      <c r="BA404" s="109"/>
      <c r="BB404" s="109"/>
      <c r="BC404" s="109"/>
      <c r="BD404" s="109"/>
      <c r="BE404" s="109"/>
      <c r="BF404" s="109"/>
      <c r="BG404" s="109"/>
      <c r="BH404" s="109"/>
      <c r="BI404" s="109"/>
      <c r="BJ404" s="109"/>
      <c r="BK404" s="109"/>
      <c r="BL404" s="109"/>
      <c r="BM404" s="109"/>
      <c r="BN404" s="109"/>
      <c r="BO404" s="109"/>
      <c r="BP404" s="109"/>
    </row>
    <row r="405" spans="1:68" ht="12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23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  <c r="AO405" s="109"/>
      <c r="AP405" s="109"/>
      <c r="AQ405" s="109"/>
      <c r="AR405" s="109"/>
      <c r="AS405" s="109"/>
      <c r="AT405" s="109"/>
      <c r="AU405" s="109"/>
      <c r="AV405" s="109"/>
      <c r="AW405" s="109"/>
      <c r="AX405" s="109"/>
      <c r="AY405" s="109"/>
      <c r="AZ405" s="109"/>
      <c r="BA405" s="109"/>
      <c r="BB405" s="109"/>
      <c r="BC405" s="109"/>
      <c r="BD405" s="109"/>
      <c r="BE405" s="109"/>
      <c r="BF405" s="109"/>
      <c r="BG405" s="109"/>
      <c r="BH405" s="109"/>
      <c r="BI405" s="109"/>
      <c r="BJ405" s="109"/>
      <c r="BK405" s="109"/>
      <c r="BL405" s="109"/>
      <c r="BM405" s="109"/>
      <c r="BN405" s="109"/>
      <c r="BO405" s="109"/>
      <c r="BP405" s="109"/>
    </row>
    <row r="406" spans="1:68" ht="12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23"/>
      <c r="AE406" s="109"/>
      <c r="AF406" s="109"/>
      <c r="AG406" s="109"/>
      <c r="AH406" s="109"/>
      <c r="AI406" s="109"/>
      <c r="AJ406" s="109"/>
      <c r="AK406" s="109"/>
      <c r="AL406" s="109"/>
      <c r="AM406" s="109"/>
      <c r="AN406" s="109"/>
      <c r="AO406" s="109"/>
      <c r="AP406" s="109"/>
      <c r="AQ406" s="109"/>
      <c r="AR406" s="109"/>
      <c r="AS406" s="109"/>
      <c r="AT406" s="109"/>
      <c r="AU406" s="109"/>
      <c r="AV406" s="109"/>
      <c r="AW406" s="109"/>
      <c r="AX406" s="109"/>
      <c r="AY406" s="109"/>
      <c r="AZ406" s="109"/>
      <c r="BA406" s="109"/>
      <c r="BB406" s="109"/>
      <c r="BC406" s="109"/>
      <c r="BD406" s="109"/>
      <c r="BE406" s="109"/>
      <c r="BF406" s="109"/>
      <c r="BG406" s="109"/>
      <c r="BH406" s="109"/>
      <c r="BI406" s="109"/>
      <c r="BJ406" s="109"/>
      <c r="BK406" s="109"/>
      <c r="BL406" s="109"/>
      <c r="BM406" s="109"/>
      <c r="BN406" s="109"/>
      <c r="BO406" s="109"/>
      <c r="BP406" s="109"/>
    </row>
    <row r="407" spans="1:68" ht="12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23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  <c r="AO407" s="109"/>
      <c r="AP407" s="109"/>
      <c r="AQ407" s="109"/>
      <c r="AR407" s="109"/>
      <c r="AS407" s="109"/>
      <c r="AT407" s="109"/>
      <c r="AU407" s="109"/>
      <c r="AV407" s="109"/>
      <c r="AW407" s="109"/>
      <c r="AX407" s="109"/>
      <c r="AY407" s="109"/>
      <c r="AZ407" s="109"/>
      <c r="BA407" s="109"/>
      <c r="BB407" s="109"/>
      <c r="BC407" s="109"/>
      <c r="BD407" s="109"/>
      <c r="BE407" s="109"/>
      <c r="BF407" s="109"/>
      <c r="BG407" s="109"/>
      <c r="BH407" s="109"/>
      <c r="BI407" s="109"/>
      <c r="BJ407" s="109"/>
      <c r="BK407" s="109"/>
      <c r="BL407" s="109"/>
      <c r="BM407" s="109"/>
      <c r="BN407" s="109"/>
      <c r="BO407" s="109"/>
      <c r="BP407" s="109"/>
    </row>
    <row r="408" spans="1:68" ht="12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23"/>
      <c r="AE408" s="109"/>
      <c r="AF408" s="109"/>
      <c r="AG408" s="109"/>
      <c r="AH408" s="109"/>
      <c r="AI408" s="109"/>
      <c r="AJ408" s="109"/>
      <c r="AK408" s="109"/>
      <c r="AL408" s="109"/>
      <c r="AM408" s="109"/>
      <c r="AN408" s="109"/>
      <c r="AO408" s="109"/>
      <c r="AP408" s="109"/>
      <c r="AQ408" s="109"/>
      <c r="AR408" s="109"/>
      <c r="AS408" s="109"/>
      <c r="AT408" s="109"/>
      <c r="AU408" s="109"/>
      <c r="AV408" s="109"/>
      <c r="AW408" s="109"/>
      <c r="AX408" s="109"/>
      <c r="AY408" s="109"/>
      <c r="AZ408" s="109"/>
      <c r="BA408" s="109"/>
      <c r="BB408" s="109"/>
      <c r="BC408" s="109"/>
      <c r="BD408" s="109"/>
      <c r="BE408" s="109"/>
      <c r="BF408" s="109"/>
      <c r="BG408" s="109"/>
      <c r="BH408" s="109"/>
      <c r="BI408" s="109"/>
      <c r="BJ408" s="109"/>
      <c r="BK408" s="109"/>
      <c r="BL408" s="109"/>
      <c r="BM408" s="109"/>
      <c r="BN408" s="109"/>
      <c r="BO408" s="109"/>
      <c r="BP408" s="109"/>
    </row>
    <row r="409" spans="1:68" ht="12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23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  <c r="AO409" s="109"/>
      <c r="AP409" s="109"/>
      <c r="AQ409" s="109"/>
      <c r="AR409" s="109"/>
      <c r="AS409" s="109"/>
      <c r="AT409" s="109"/>
      <c r="AU409" s="109"/>
      <c r="AV409" s="109"/>
      <c r="AW409" s="109"/>
      <c r="AX409" s="109"/>
      <c r="AY409" s="109"/>
      <c r="AZ409" s="109"/>
      <c r="BA409" s="109"/>
      <c r="BB409" s="109"/>
      <c r="BC409" s="109"/>
      <c r="BD409" s="109"/>
      <c r="BE409" s="109"/>
      <c r="BF409" s="109"/>
      <c r="BG409" s="109"/>
      <c r="BH409" s="109"/>
      <c r="BI409" s="109"/>
      <c r="BJ409" s="109"/>
      <c r="BK409" s="109"/>
      <c r="BL409" s="109"/>
      <c r="BM409" s="109"/>
      <c r="BN409" s="109"/>
      <c r="BO409" s="109"/>
      <c r="BP409" s="109"/>
    </row>
    <row r="410" spans="1:68" ht="12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23"/>
      <c r="AE410" s="109"/>
      <c r="AF410" s="109"/>
      <c r="AG410" s="109"/>
      <c r="AH410" s="109"/>
      <c r="AI410" s="109"/>
      <c r="AJ410" s="109"/>
      <c r="AK410" s="109"/>
      <c r="AL410" s="109"/>
      <c r="AM410" s="109"/>
      <c r="AN410" s="109"/>
      <c r="AO410" s="109"/>
      <c r="AP410" s="109"/>
      <c r="AQ410" s="109"/>
      <c r="AR410" s="109"/>
      <c r="AS410" s="109"/>
      <c r="AT410" s="109"/>
      <c r="AU410" s="109"/>
      <c r="AV410" s="109"/>
      <c r="AW410" s="109"/>
      <c r="AX410" s="109"/>
      <c r="AY410" s="109"/>
      <c r="AZ410" s="109"/>
      <c r="BA410" s="109"/>
      <c r="BB410" s="109"/>
      <c r="BC410" s="109"/>
      <c r="BD410" s="109"/>
      <c r="BE410" s="109"/>
      <c r="BF410" s="109"/>
      <c r="BG410" s="109"/>
      <c r="BH410" s="109"/>
      <c r="BI410" s="109"/>
      <c r="BJ410" s="109"/>
      <c r="BK410" s="109"/>
      <c r="BL410" s="109"/>
      <c r="BM410" s="109"/>
      <c r="BN410" s="109"/>
      <c r="BO410" s="109"/>
      <c r="BP410" s="109"/>
    </row>
    <row r="411" spans="1:68" ht="12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23"/>
      <c r="AE411" s="109"/>
      <c r="AF411" s="109"/>
      <c r="AG411" s="109"/>
      <c r="AH411" s="109"/>
      <c r="AI411" s="109"/>
      <c r="AJ411" s="109"/>
      <c r="AK411" s="109"/>
      <c r="AL411" s="109"/>
      <c r="AM411" s="109"/>
      <c r="AN411" s="109"/>
      <c r="AO411" s="109"/>
      <c r="AP411" s="109"/>
      <c r="AQ411" s="109"/>
      <c r="AR411" s="109"/>
      <c r="AS411" s="109"/>
      <c r="AT411" s="109"/>
      <c r="AU411" s="109"/>
      <c r="AV411" s="109"/>
      <c r="AW411" s="109"/>
      <c r="AX411" s="109"/>
      <c r="AY411" s="109"/>
      <c r="AZ411" s="109"/>
      <c r="BA411" s="109"/>
      <c r="BB411" s="109"/>
      <c r="BC411" s="109"/>
      <c r="BD411" s="109"/>
      <c r="BE411" s="109"/>
      <c r="BF411" s="109"/>
      <c r="BG411" s="109"/>
      <c r="BH411" s="109"/>
      <c r="BI411" s="109"/>
      <c r="BJ411" s="109"/>
      <c r="BK411" s="109"/>
      <c r="BL411" s="109"/>
      <c r="BM411" s="109"/>
      <c r="BN411" s="109"/>
      <c r="BO411" s="109"/>
      <c r="BP411" s="109"/>
    </row>
    <row r="412" spans="1:68" ht="12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23"/>
      <c r="AE412" s="109"/>
      <c r="AF412" s="109"/>
      <c r="AG412" s="109"/>
      <c r="AH412" s="109"/>
      <c r="AI412" s="109"/>
      <c r="AJ412" s="109"/>
      <c r="AK412" s="109"/>
      <c r="AL412" s="109"/>
      <c r="AM412" s="109"/>
      <c r="AN412" s="109"/>
      <c r="AO412" s="109"/>
      <c r="AP412" s="109"/>
      <c r="AQ412" s="109"/>
      <c r="AR412" s="109"/>
      <c r="AS412" s="109"/>
      <c r="AT412" s="109"/>
      <c r="AU412" s="109"/>
      <c r="AV412" s="109"/>
      <c r="AW412" s="109"/>
      <c r="AX412" s="109"/>
      <c r="AY412" s="109"/>
      <c r="AZ412" s="109"/>
      <c r="BA412" s="109"/>
      <c r="BB412" s="109"/>
      <c r="BC412" s="109"/>
      <c r="BD412" s="109"/>
      <c r="BE412" s="109"/>
      <c r="BF412" s="109"/>
      <c r="BG412" s="109"/>
      <c r="BH412" s="109"/>
      <c r="BI412" s="109"/>
      <c r="BJ412" s="109"/>
      <c r="BK412" s="109"/>
      <c r="BL412" s="109"/>
      <c r="BM412" s="109"/>
      <c r="BN412" s="109"/>
      <c r="BO412" s="109"/>
      <c r="BP412" s="109"/>
    </row>
    <row r="413" spans="1:68" ht="12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23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  <c r="AO413" s="109"/>
      <c r="AP413" s="109"/>
      <c r="AQ413" s="109"/>
      <c r="AR413" s="109"/>
      <c r="AS413" s="109"/>
      <c r="AT413" s="109"/>
      <c r="AU413" s="109"/>
      <c r="AV413" s="109"/>
      <c r="AW413" s="109"/>
      <c r="AX413" s="109"/>
      <c r="AY413" s="109"/>
      <c r="AZ413" s="109"/>
      <c r="BA413" s="109"/>
      <c r="BB413" s="109"/>
      <c r="BC413" s="109"/>
      <c r="BD413" s="109"/>
      <c r="BE413" s="109"/>
      <c r="BF413" s="109"/>
      <c r="BG413" s="109"/>
      <c r="BH413" s="109"/>
      <c r="BI413" s="109"/>
      <c r="BJ413" s="109"/>
      <c r="BK413" s="109"/>
      <c r="BL413" s="109"/>
      <c r="BM413" s="109"/>
      <c r="BN413" s="109"/>
      <c r="BO413" s="109"/>
      <c r="BP413" s="109"/>
    </row>
    <row r="414" spans="1:68" ht="12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23"/>
      <c r="AE414" s="109"/>
      <c r="AF414" s="109"/>
      <c r="AG414" s="109"/>
      <c r="AH414" s="109"/>
      <c r="AI414" s="109"/>
      <c r="AJ414" s="109"/>
      <c r="AK414" s="109"/>
      <c r="AL414" s="109"/>
      <c r="AM414" s="109"/>
      <c r="AN414" s="109"/>
      <c r="AO414" s="109"/>
      <c r="AP414" s="109"/>
      <c r="AQ414" s="109"/>
      <c r="AR414" s="109"/>
      <c r="AS414" s="109"/>
      <c r="AT414" s="109"/>
      <c r="AU414" s="109"/>
      <c r="AV414" s="109"/>
      <c r="AW414" s="109"/>
      <c r="AX414" s="109"/>
      <c r="AY414" s="109"/>
      <c r="AZ414" s="109"/>
      <c r="BA414" s="109"/>
      <c r="BB414" s="109"/>
      <c r="BC414" s="109"/>
      <c r="BD414" s="109"/>
      <c r="BE414" s="109"/>
      <c r="BF414" s="109"/>
      <c r="BG414" s="109"/>
      <c r="BH414" s="109"/>
      <c r="BI414" s="109"/>
      <c r="BJ414" s="109"/>
      <c r="BK414" s="109"/>
      <c r="BL414" s="109"/>
      <c r="BM414" s="109"/>
      <c r="BN414" s="109"/>
      <c r="BO414" s="109"/>
      <c r="BP414" s="109"/>
    </row>
    <row r="415" spans="1:68" ht="12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23"/>
      <c r="AE415" s="109"/>
      <c r="AF415" s="109"/>
      <c r="AG415" s="109"/>
      <c r="AH415" s="109"/>
      <c r="AI415" s="109"/>
      <c r="AJ415" s="109"/>
      <c r="AK415" s="109"/>
      <c r="AL415" s="109"/>
      <c r="AM415" s="109"/>
      <c r="AN415" s="109"/>
      <c r="AO415" s="109"/>
      <c r="AP415" s="109"/>
      <c r="AQ415" s="109"/>
      <c r="AR415" s="109"/>
      <c r="AS415" s="109"/>
      <c r="AT415" s="109"/>
      <c r="AU415" s="109"/>
      <c r="AV415" s="109"/>
      <c r="AW415" s="109"/>
      <c r="AX415" s="109"/>
      <c r="AY415" s="109"/>
      <c r="AZ415" s="109"/>
      <c r="BA415" s="109"/>
      <c r="BB415" s="109"/>
      <c r="BC415" s="109"/>
      <c r="BD415" s="109"/>
      <c r="BE415" s="109"/>
      <c r="BF415" s="109"/>
      <c r="BG415" s="109"/>
      <c r="BH415" s="109"/>
      <c r="BI415" s="109"/>
      <c r="BJ415" s="109"/>
      <c r="BK415" s="109"/>
      <c r="BL415" s="109"/>
      <c r="BM415" s="109"/>
      <c r="BN415" s="109"/>
      <c r="BO415" s="109"/>
      <c r="BP415" s="109"/>
    </row>
  </sheetData>
  <mergeCells count="669">
    <mergeCell ref="A208:B209"/>
    <mergeCell ref="AW115:BA115"/>
    <mergeCell ref="A176:B176"/>
    <mergeCell ref="K167:K168"/>
    <mergeCell ref="AL183:AN183"/>
    <mergeCell ref="A25:B25"/>
    <mergeCell ref="A203:B204"/>
    <mergeCell ref="F7:I14"/>
    <mergeCell ref="AR106:BA106"/>
    <mergeCell ref="AH65:AQ65"/>
    <mergeCell ref="D167:F167"/>
    <mergeCell ref="AI18:AK18"/>
    <mergeCell ref="AL188:AN188"/>
    <mergeCell ref="F90:H90"/>
    <mergeCell ref="E47:K47"/>
    <mergeCell ref="AH107:AL107"/>
    <mergeCell ref="AG141:AK141"/>
    <mergeCell ref="AM118:AQ118"/>
    <mergeCell ref="E39:J39"/>
    <mergeCell ref="D112:M112"/>
    <mergeCell ref="J49:L49"/>
    <mergeCell ref="AD39:AD40"/>
    <mergeCell ref="AE94:AF94"/>
    <mergeCell ref="S119:W119"/>
    <mergeCell ref="BG121:BK121"/>
    <mergeCell ref="BB111:BF111"/>
    <mergeCell ref="AM115:AQ115"/>
    <mergeCell ref="AC39:AC40"/>
    <mergeCell ref="P47:R47"/>
    <mergeCell ref="BB120:BF120"/>
    <mergeCell ref="AW120:BA120"/>
    <mergeCell ref="N108:BK110"/>
    <mergeCell ref="AR117:AV117"/>
    <mergeCell ref="BB114:BF114"/>
    <mergeCell ref="AW116:BA116"/>
    <mergeCell ref="AW114:BA114"/>
    <mergeCell ref="AT8:AX8"/>
    <mergeCell ref="AJ53:AL53"/>
    <mergeCell ref="A16:BN16"/>
    <mergeCell ref="AA7:AE7"/>
    <mergeCell ref="AD57:AD58"/>
    <mergeCell ref="P88:R88"/>
    <mergeCell ref="AW113:BA113"/>
    <mergeCell ref="BG111:BK111"/>
    <mergeCell ref="W33:AA33"/>
    <mergeCell ref="AJ23:AK23"/>
    <mergeCell ref="AQ75:AR75"/>
    <mergeCell ref="AH112:AL112"/>
    <mergeCell ref="W39:Y39"/>
    <mergeCell ref="X63:Y63"/>
    <mergeCell ref="A27:B27"/>
    <mergeCell ref="A84:B84"/>
    <mergeCell ref="BB107:BF107"/>
    <mergeCell ref="V53:W53"/>
    <mergeCell ref="A57:B58"/>
    <mergeCell ref="P62:Y62"/>
    <mergeCell ref="BB112:BF112"/>
    <mergeCell ref="AA13:AE13"/>
    <mergeCell ref="AX75:AZ75"/>
    <mergeCell ref="AY13:BM13"/>
    <mergeCell ref="AA4:AO5"/>
    <mergeCell ref="D163:J163"/>
    <mergeCell ref="C87:C88"/>
    <mergeCell ref="T125:AE125"/>
    <mergeCell ref="AF70:AG70"/>
    <mergeCell ref="R12:T12"/>
    <mergeCell ref="C62:C63"/>
    <mergeCell ref="AK7:AO7"/>
    <mergeCell ref="C158:I158"/>
    <mergeCell ref="AL146:AN146"/>
    <mergeCell ref="O18:P18"/>
    <mergeCell ref="X107:AB107"/>
    <mergeCell ref="D114:M114"/>
    <mergeCell ref="T127:AE127"/>
    <mergeCell ref="N4:Q6"/>
    <mergeCell ref="G94:H94"/>
    <mergeCell ref="P40:R40"/>
    <mergeCell ref="AH119:AL119"/>
    <mergeCell ref="AM121:AQ121"/>
    <mergeCell ref="AH114:AL114"/>
    <mergeCell ref="AM116:AQ116"/>
    <mergeCell ref="AC117:AG117"/>
    <mergeCell ref="W32:AA32"/>
    <mergeCell ref="G53:H53"/>
    <mergeCell ref="M170:N170"/>
    <mergeCell ref="C208:C209"/>
    <mergeCell ref="BG120:BK120"/>
    <mergeCell ref="AG137:AK137"/>
    <mergeCell ref="AL186:AN186"/>
    <mergeCell ref="X158:Z158"/>
    <mergeCell ref="K208:K209"/>
    <mergeCell ref="AW119:BA119"/>
    <mergeCell ref="A182:B182"/>
    <mergeCell ref="D209:F209"/>
    <mergeCell ref="A177:B177"/>
    <mergeCell ref="A179:B179"/>
    <mergeCell ref="A180:B180"/>
    <mergeCell ref="AL182:AN182"/>
    <mergeCell ref="U203:V203"/>
    <mergeCell ref="C167:C168"/>
    <mergeCell ref="A175:B175"/>
    <mergeCell ref="A185:B185"/>
    <mergeCell ref="AG190:AK190"/>
    <mergeCell ref="AG185:AK185"/>
    <mergeCell ref="A138:B138"/>
    <mergeCell ref="A157:A158"/>
    <mergeCell ref="AL147:AN147"/>
    <mergeCell ref="L129:S129"/>
    <mergeCell ref="T167:V168"/>
    <mergeCell ref="X111:AB111"/>
    <mergeCell ref="AI70:AK70"/>
    <mergeCell ref="AH116:AL116"/>
    <mergeCell ref="V72:W72"/>
    <mergeCell ref="W87:Z87"/>
    <mergeCell ref="AL141:AN141"/>
    <mergeCell ref="N107:R107"/>
    <mergeCell ref="AF124:AQ124"/>
    <mergeCell ref="L168:N168"/>
    <mergeCell ref="AG143:AK143"/>
    <mergeCell ref="C199:I199"/>
    <mergeCell ref="AF127:AQ127"/>
    <mergeCell ref="G194:H194"/>
    <mergeCell ref="P39:Q39"/>
    <mergeCell ref="D99:J99"/>
    <mergeCell ref="U162:V162"/>
    <mergeCell ref="AW117:BA117"/>
    <mergeCell ref="A98:B99"/>
    <mergeCell ref="A141:B141"/>
    <mergeCell ref="A135:B135"/>
    <mergeCell ref="AC120:AG120"/>
    <mergeCell ref="D106:M106"/>
    <mergeCell ref="P57:Y57"/>
    <mergeCell ref="AM113:AQ113"/>
    <mergeCell ref="C157:I157"/>
    <mergeCell ref="R53:T53"/>
    <mergeCell ref="X112:AB112"/>
    <mergeCell ref="S116:W116"/>
    <mergeCell ref="AC113:AG113"/>
    <mergeCell ref="A190:B190"/>
    <mergeCell ref="A145:B145"/>
    <mergeCell ref="AG179:AK179"/>
    <mergeCell ref="AG183:AK183"/>
    <mergeCell ref="C198:I198"/>
    <mergeCell ref="A215:BM217"/>
    <mergeCell ref="A183:B183"/>
    <mergeCell ref="AP13:AS13"/>
    <mergeCell ref="AL185:AN185"/>
    <mergeCell ref="N105:AG105"/>
    <mergeCell ref="AW121:BA121"/>
    <mergeCell ref="D194:E194"/>
    <mergeCell ref="AT14:AX14"/>
    <mergeCell ref="F4:I6"/>
    <mergeCell ref="U14:W14"/>
    <mergeCell ref="N111:R111"/>
    <mergeCell ref="AR129:BC129"/>
    <mergeCell ref="R211:T211"/>
    <mergeCell ref="AP8:AS8"/>
    <mergeCell ref="AB60:AK60"/>
    <mergeCell ref="N119:R119"/>
    <mergeCell ref="C39:C40"/>
    <mergeCell ref="Y65:Z65"/>
    <mergeCell ref="O70:P70"/>
    <mergeCell ref="AP10:AS10"/>
    <mergeCell ref="A147:B147"/>
    <mergeCell ref="N203:O204"/>
    <mergeCell ref="W29:AA29"/>
    <mergeCell ref="AA23:AB23"/>
    <mergeCell ref="AT4:AX6"/>
    <mergeCell ref="AR112:AV112"/>
    <mergeCell ref="F49:H49"/>
    <mergeCell ref="X58:Y58"/>
    <mergeCell ref="D57:J57"/>
    <mergeCell ref="AC101:AL101"/>
    <mergeCell ref="AR114:AV114"/>
    <mergeCell ref="N94:P94"/>
    <mergeCell ref="AF8:AJ8"/>
    <mergeCell ref="AA12:AE12"/>
    <mergeCell ref="AD62:AD63"/>
    <mergeCell ref="M98:N99"/>
    <mergeCell ref="R94:T94"/>
    <mergeCell ref="J7:M14"/>
    <mergeCell ref="AA14:AE14"/>
    <mergeCell ref="AE87:AG88"/>
    <mergeCell ref="P98:Y98"/>
    <mergeCell ref="U4:Z5"/>
    <mergeCell ref="F42:H42"/>
    <mergeCell ref="D58:J58"/>
    <mergeCell ref="AW107:BA107"/>
    <mergeCell ref="AN72:AP72"/>
    <mergeCell ref="AH90:AQ90"/>
    <mergeCell ref="N114:R114"/>
    <mergeCell ref="AT11:AX11"/>
    <mergeCell ref="X13:Z13"/>
    <mergeCell ref="AL135:AN135"/>
    <mergeCell ref="X7:Z7"/>
    <mergeCell ref="AR119:AV119"/>
    <mergeCell ref="U11:W11"/>
    <mergeCell ref="A142:B142"/>
    <mergeCell ref="AK94:AM94"/>
    <mergeCell ref="D117:M117"/>
    <mergeCell ref="AR128:BC128"/>
    <mergeCell ref="A79:B79"/>
    <mergeCell ref="AP7:AS7"/>
    <mergeCell ref="AB57:AC58"/>
    <mergeCell ref="U12:W12"/>
    <mergeCell ref="AC111:AG111"/>
    <mergeCell ref="AC121:AG121"/>
    <mergeCell ref="AK12:AO12"/>
    <mergeCell ref="A137:B137"/>
    <mergeCell ref="AK14:AO14"/>
    <mergeCell ref="L127:S127"/>
    <mergeCell ref="D39:D40"/>
    <mergeCell ref="AY14:BM14"/>
    <mergeCell ref="BG117:BK117"/>
    <mergeCell ref="BB121:BF121"/>
    <mergeCell ref="T208:V209"/>
    <mergeCell ref="AR111:AV111"/>
    <mergeCell ref="AL189:AN189"/>
    <mergeCell ref="S87:U87"/>
    <mergeCell ref="K153:L153"/>
    <mergeCell ref="M57:N58"/>
    <mergeCell ref="B157:B158"/>
    <mergeCell ref="AA6:AE6"/>
    <mergeCell ref="N121:R121"/>
    <mergeCell ref="N115:R115"/>
    <mergeCell ref="AB62:AC63"/>
    <mergeCell ref="D119:M119"/>
    <mergeCell ref="N39:N40"/>
    <mergeCell ref="D203:J203"/>
    <mergeCell ref="AE46:AG47"/>
    <mergeCell ref="X12:Z12"/>
    <mergeCell ref="A188:B188"/>
    <mergeCell ref="F73:F74"/>
    <mergeCell ref="AT9:AX9"/>
    <mergeCell ref="D204:J204"/>
    <mergeCell ref="A53:B53"/>
    <mergeCell ref="N194:P194"/>
    <mergeCell ref="T204:W204"/>
    <mergeCell ref="AG184:AK184"/>
    <mergeCell ref="M211:N211"/>
    <mergeCell ref="D118:M118"/>
    <mergeCell ref="AF157:AF158"/>
    <mergeCell ref="AC87:AC88"/>
    <mergeCell ref="AR121:AV121"/>
    <mergeCell ref="AW111:BA111"/>
    <mergeCell ref="AR115:AV115"/>
    <mergeCell ref="B7:E14"/>
    <mergeCell ref="AM112:AQ112"/>
    <mergeCell ref="A187:B187"/>
    <mergeCell ref="A198:A199"/>
    <mergeCell ref="K94:L94"/>
    <mergeCell ref="AR116:AV116"/>
    <mergeCell ref="AD46:AD47"/>
    <mergeCell ref="AM120:AQ120"/>
    <mergeCell ref="A189:B189"/>
    <mergeCell ref="AG145:AK145"/>
    <mergeCell ref="AM107:AQ107"/>
    <mergeCell ref="X162:Z162"/>
    <mergeCell ref="AR118:AV118"/>
    <mergeCell ref="P58:R58"/>
    <mergeCell ref="AY7:BM7"/>
    <mergeCell ref="AG147:AK147"/>
    <mergeCell ref="AR125:BC125"/>
    <mergeCell ref="Q208:R209"/>
    <mergeCell ref="AL144:AN144"/>
    <mergeCell ref="Y40:Z40"/>
    <mergeCell ref="AG162:AJ163"/>
    <mergeCell ref="O199:Q199"/>
    <mergeCell ref="AL137:AN137"/>
    <mergeCell ref="A32:B32"/>
    <mergeCell ref="AI72:AJ72"/>
    <mergeCell ref="AL148:AN148"/>
    <mergeCell ref="S46:U46"/>
    <mergeCell ref="AL139:AN139"/>
    <mergeCell ref="A73:D74"/>
    <mergeCell ref="AB49:AD49"/>
    <mergeCell ref="AA75:AB75"/>
    <mergeCell ref="X117:AB117"/>
    <mergeCell ref="AG189:AK189"/>
    <mergeCell ref="D116:M116"/>
    <mergeCell ref="AH57:AH58"/>
    <mergeCell ref="A134:B134"/>
    <mergeCell ref="W75:Z75"/>
    <mergeCell ref="AL145:AN145"/>
    <mergeCell ref="T124:AE124"/>
    <mergeCell ref="AB90:AD90"/>
    <mergeCell ref="D62:J62"/>
    <mergeCell ref="A1:BN1"/>
    <mergeCell ref="D113:M113"/>
    <mergeCell ref="F21:F22"/>
    <mergeCell ref="W26:AA26"/>
    <mergeCell ref="Z194:AB194"/>
    <mergeCell ref="AS53:BB53"/>
    <mergeCell ref="X116:AB116"/>
    <mergeCell ref="R194:T194"/>
    <mergeCell ref="AG139:AK139"/>
    <mergeCell ref="AL142:AN142"/>
    <mergeCell ref="D115:M115"/>
    <mergeCell ref="A62:B63"/>
    <mergeCell ref="AM117:AQ117"/>
    <mergeCell ref="AY10:BM10"/>
    <mergeCell ref="J90:L90"/>
    <mergeCell ref="X118:AB118"/>
    <mergeCell ref="X6:Z6"/>
    <mergeCell ref="T23:U23"/>
    <mergeCell ref="W27:AA27"/>
    <mergeCell ref="A29:B29"/>
    <mergeCell ref="R4:T6"/>
    <mergeCell ref="A31:B31"/>
    <mergeCell ref="AL187:AN187"/>
    <mergeCell ref="BB113:BF113"/>
    <mergeCell ref="AG188:AK188"/>
    <mergeCell ref="AH111:AL111"/>
    <mergeCell ref="Y53:AA53"/>
    <mergeCell ref="E87:K87"/>
    <mergeCell ref="P63:R63"/>
    <mergeCell ref="P71:P76"/>
    <mergeCell ref="X114:AB114"/>
    <mergeCell ref="AH106:AQ106"/>
    <mergeCell ref="AK162:AL163"/>
    <mergeCell ref="AE157:AE158"/>
    <mergeCell ref="AL179:AN179"/>
    <mergeCell ref="AF125:AQ125"/>
    <mergeCell ref="Y94:AA94"/>
    <mergeCell ref="N153:P153"/>
    <mergeCell ref="P162:P163"/>
    <mergeCell ref="R153:T153"/>
    <mergeCell ref="I167:J168"/>
    <mergeCell ref="AM119:AQ119"/>
    <mergeCell ref="X119:AB119"/>
    <mergeCell ref="AJ75:AK75"/>
    <mergeCell ref="O87:O88"/>
    <mergeCell ref="D168:F168"/>
    <mergeCell ref="AL180:AN180"/>
    <mergeCell ref="S120:W120"/>
    <mergeCell ref="B3:BM3"/>
    <mergeCell ref="K53:L53"/>
    <mergeCell ref="AL177:AN177"/>
    <mergeCell ref="D107:M107"/>
    <mergeCell ref="D34:U34"/>
    <mergeCell ref="S114:W114"/>
    <mergeCell ref="N118:R118"/>
    <mergeCell ref="O39:O40"/>
    <mergeCell ref="X115:AB115"/>
    <mergeCell ref="C98:C99"/>
    <mergeCell ref="T101:U101"/>
    <mergeCell ref="S167:S168"/>
    <mergeCell ref="J4:M6"/>
    <mergeCell ref="BG112:BK112"/>
    <mergeCell ref="W34:AA34"/>
    <mergeCell ref="C162:C163"/>
    <mergeCell ref="BG114:BK114"/>
    <mergeCell ref="W30:AA30"/>
    <mergeCell ref="AG149:AK149"/>
    <mergeCell ref="AB98:AC99"/>
    <mergeCell ref="AT94:BC94"/>
    <mergeCell ref="S117:W117"/>
    <mergeCell ref="BB117:BF117"/>
    <mergeCell ref="BG107:BK107"/>
    <mergeCell ref="B198:B199"/>
    <mergeCell ref="U211:AG211"/>
    <mergeCell ref="L167:N167"/>
    <mergeCell ref="W79:AA79"/>
    <mergeCell ref="AM111:AQ111"/>
    <mergeCell ref="AH115:AL115"/>
    <mergeCell ref="AC112:AG112"/>
    <mergeCell ref="T158:V158"/>
    <mergeCell ref="AF126:AQ126"/>
    <mergeCell ref="AG136:AK136"/>
    <mergeCell ref="M198:M199"/>
    <mergeCell ref="W81:AA81"/>
    <mergeCell ref="AG134:AK134"/>
    <mergeCell ref="D105:M105"/>
    <mergeCell ref="L128:S128"/>
    <mergeCell ref="AD87:AD88"/>
    <mergeCell ref="X113:AB113"/>
    <mergeCell ref="D120:M120"/>
    <mergeCell ref="O198:AA198"/>
    <mergeCell ref="AK203:AL204"/>
    <mergeCell ref="AG187:AK187"/>
    <mergeCell ref="Y88:Z88"/>
    <mergeCell ref="W153:X153"/>
    <mergeCell ref="AD162:AE163"/>
    <mergeCell ref="K194:L194"/>
    <mergeCell ref="P46:Q46"/>
    <mergeCell ref="AF198:AF199"/>
    <mergeCell ref="N7:Q14"/>
    <mergeCell ref="A21:D22"/>
    <mergeCell ref="C57:C58"/>
    <mergeCell ref="AP9:AS9"/>
    <mergeCell ref="D33:U33"/>
    <mergeCell ref="A140:B140"/>
    <mergeCell ref="R8:T10"/>
    <mergeCell ref="AF9:AJ9"/>
    <mergeCell ref="AF11:AJ11"/>
    <mergeCell ref="X8:Z10"/>
    <mergeCell ref="U8:W10"/>
    <mergeCell ref="AE98:AG99"/>
    <mergeCell ref="AA9:AE9"/>
    <mergeCell ref="AF10:AJ10"/>
    <mergeCell ref="AA10:AE10"/>
    <mergeCell ref="A149:B149"/>
    <mergeCell ref="AC116:AG116"/>
    <mergeCell ref="AI20:AJ20"/>
    <mergeCell ref="S112:W112"/>
    <mergeCell ref="N116:R116"/>
    <mergeCell ref="A33:B33"/>
    <mergeCell ref="AX18:AZ18"/>
    <mergeCell ref="D63:J63"/>
    <mergeCell ref="A26:B26"/>
    <mergeCell ref="W31:AA31"/>
    <mergeCell ref="X121:AB121"/>
    <mergeCell ref="AH121:AL121"/>
    <mergeCell ref="AK11:AO11"/>
    <mergeCell ref="J42:L42"/>
    <mergeCell ref="AY8:BM8"/>
    <mergeCell ref="S39:U39"/>
    <mergeCell ref="BG106:BK106"/>
    <mergeCell ref="O19:O24"/>
    <mergeCell ref="AF13:AJ13"/>
    <mergeCell ref="W28:AA28"/>
    <mergeCell ref="AF18:AG18"/>
    <mergeCell ref="R99:T99"/>
    <mergeCell ref="T63:V63"/>
    <mergeCell ref="AK9:AO9"/>
    <mergeCell ref="AC46:AC47"/>
    <mergeCell ref="AE39:AG40"/>
    <mergeCell ref="AH42:AQ42"/>
    <mergeCell ref="P19:P24"/>
    <mergeCell ref="AT12:AX12"/>
    <mergeCell ref="AN20:AP20"/>
    <mergeCell ref="A153:B153"/>
    <mergeCell ref="A139:B139"/>
    <mergeCell ref="AU70:AV70"/>
    <mergeCell ref="A82:B82"/>
    <mergeCell ref="A94:B94"/>
    <mergeCell ref="S107:W107"/>
    <mergeCell ref="AC107:AG107"/>
    <mergeCell ref="AH118:AL118"/>
    <mergeCell ref="N87:N88"/>
    <mergeCell ref="AH98:AH99"/>
    <mergeCell ref="AR113:AV113"/>
    <mergeCell ref="A148:B148"/>
    <mergeCell ref="AG135:AK135"/>
    <mergeCell ref="AL138:AN138"/>
    <mergeCell ref="O98:O99"/>
    <mergeCell ref="D94:E94"/>
    <mergeCell ref="A146:B146"/>
    <mergeCell ref="AG148:AK148"/>
    <mergeCell ref="D153:E153"/>
    <mergeCell ref="C90:D90"/>
    <mergeCell ref="AR142:AT142"/>
    <mergeCell ref="N117:R117"/>
    <mergeCell ref="AU18:AV18"/>
    <mergeCell ref="C49:D49"/>
    <mergeCell ref="AC119:AG119"/>
    <mergeCell ref="W78:AA78"/>
    <mergeCell ref="BG118:BK118"/>
    <mergeCell ref="C42:D42"/>
    <mergeCell ref="D46:D47"/>
    <mergeCell ref="W80:AA80"/>
    <mergeCell ref="X20:Z20"/>
    <mergeCell ref="S111:W111"/>
    <mergeCell ref="BB118:BF118"/>
    <mergeCell ref="BB115:BF115"/>
    <mergeCell ref="BB106:BF106"/>
    <mergeCell ref="BB119:BF119"/>
    <mergeCell ref="BG115:BK115"/>
    <mergeCell ref="AM75:AP75"/>
    <mergeCell ref="D111:M111"/>
    <mergeCell ref="AH117:AL117"/>
    <mergeCell ref="S118:W118"/>
    <mergeCell ref="T75:U75"/>
    <mergeCell ref="BG119:BK119"/>
    <mergeCell ref="BB116:BF116"/>
    <mergeCell ref="W23:Z23"/>
    <mergeCell ref="BG116:BK116"/>
    <mergeCell ref="AL190:AN190"/>
    <mergeCell ref="AG198:AI199"/>
    <mergeCell ref="AG180:AK180"/>
    <mergeCell ref="T199:V199"/>
    <mergeCell ref="Y47:Z47"/>
    <mergeCell ref="AG203:AJ204"/>
    <mergeCell ref="P203:P204"/>
    <mergeCell ref="AD203:AE204"/>
    <mergeCell ref="AG175:AK175"/>
    <mergeCell ref="AL136:AN136"/>
    <mergeCell ref="AF162:AF163"/>
    <mergeCell ref="AG182:AK182"/>
    <mergeCell ref="X199:Z199"/>
    <mergeCell ref="AL143:AN143"/>
    <mergeCell ref="AL140:AN140"/>
    <mergeCell ref="T128:AE128"/>
    <mergeCell ref="L126:S126"/>
    <mergeCell ref="T47:W47"/>
    <mergeCell ref="N162:O163"/>
    <mergeCell ref="O46:O47"/>
    <mergeCell ref="AG138:AK138"/>
    <mergeCell ref="AG140:AK140"/>
    <mergeCell ref="AF129:AQ129"/>
    <mergeCell ref="N46:N47"/>
    <mergeCell ref="U6:W6"/>
    <mergeCell ref="G153:H153"/>
    <mergeCell ref="AK6:AO6"/>
    <mergeCell ref="AF7:AJ7"/>
    <mergeCell ref="AA11:AE11"/>
    <mergeCell ref="T163:W163"/>
    <mergeCell ref="T40:W40"/>
    <mergeCell ref="N53:P53"/>
    <mergeCell ref="X14:Z14"/>
    <mergeCell ref="AG146:AK146"/>
    <mergeCell ref="N157:N158"/>
    <mergeCell ref="D162:J162"/>
    <mergeCell ref="E46:K46"/>
    <mergeCell ref="E40:J40"/>
    <mergeCell ref="D121:M121"/>
    <mergeCell ref="V99:W99"/>
    <mergeCell ref="AH49:AQ49"/>
    <mergeCell ref="R14:T14"/>
    <mergeCell ref="AK10:AO10"/>
    <mergeCell ref="AF14:AJ14"/>
    <mergeCell ref="O71:O76"/>
    <mergeCell ref="AF72:AF75"/>
    <mergeCell ref="P87:Q87"/>
    <mergeCell ref="AH113:AL113"/>
    <mergeCell ref="L209:N209"/>
    <mergeCell ref="AY4:BM6"/>
    <mergeCell ref="AR127:BC127"/>
    <mergeCell ref="AG178:AK178"/>
    <mergeCell ref="A78:B78"/>
    <mergeCell ref="W83:AA83"/>
    <mergeCell ref="S208:S209"/>
    <mergeCell ref="S121:W121"/>
    <mergeCell ref="D104:BK104"/>
    <mergeCell ref="B4:E6"/>
    <mergeCell ref="AW112:BA112"/>
    <mergeCell ref="L124:S125"/>
    <mergeCell ref="A80:B80"/>
    <mergeCell ref="Z153:AB153"/>
    <mergeCell ref="M62:N63"/>
    <mergeCell ref="X72:Z72"/>
    <mergeCell ref="D83:U83"/>
    <mergeCell ref="U170:AJ170"/>
    <mergeCell ref="AL176:AN176"/>
    <mergeCell ref="AF12:AJ12"/>
    <mergeCell ref="N120:R120"/>
    <mergeCell ref="E88:K88"/>
    <mergeCell ref="AQ23:AR23"/>
    <mergeCell ref="AF20:AF23"/>
    <mergeCell ref="I208:J209"/>
    <mergeCell ref="A136:B136"/>
    <mergeCell ref="O62:O63"/>
    <mergeCell ref="D53:E53"/>
    <mergeCell ref="AW118:BA118"/>
    <mergeCell ref="C203:C204"/>
    <mergeCell ref="AL181:AN181"/>
    <mergeCell ref="AB42:AD42"/>
    <mergeCell ref="A194:B194"/>
    <mergeCell ref="A181:B181"/>
    <mergeCell ref="AG186:AK186"/>
    <mergeCell ref="AH94:AI94"/>
    <mergeCell ref="T126:AE126"/>
    <mergeCell ref="O57:O58"/>
    <mergeCell ref="N198:N199"/>
    <mergeCell ref="AT75:AU75"/>
    <mergeCell ref="A83:B83"/>
    <mergeCell ref="AV75:AW75"/>
    <mergeCell ref="A143:B143"/>
    <mergeCell ref="N113:R113"/>
    <mergeCell ref="AH105:BA105"/>
    <mergeCell ref="V94:W94"/>
    <mergeCell ref="X106:AG106"/>
    <mergeCell ref="AF128:AQ128"/>
    <mergeCell ref="L208:N208"/>
    <mergeCell ref="L123:BC123"/>
    <mergeCell ref="AH62:AH63"/>
    <mergeCell ref="D208:F208"/>
    <mergeCell ref="S20:T20"/>
    <mergeCell ref="AG177:AK177"/>
    <mergeCell ref="W82:AA82"/>
    <mergeCell ref="AL178:AN178"/>
    <mergeCell ref="AR194:AS194"/>
    <mergeCell ref="AM114:AQ114"/>
    <mergeCell ref="S60:T60"/>
    <mergeCell ref="AG20:AG23"/>
    <mergeCell ref="AG176:AK176"/>
    <mergeCell ref="T58:V58"/>
    <mergeCell ref="AX70:AZ70"/>
    <mergeCell ref="S113:W113"/>
    <mergeCell ref="M157:M158"/>
    <mergeCell ref="AG181:AK181"/>
    <mergeCell ref="AL175:AN175"/>
    <mergeCell ref="S115:W115"/>
    <mergeCell ref="Q203:S203"/>
    <mergeCell ref="N106:W106"/>
    <mergeCell ref="AE57:AG58"/>
    <mergeCell ref="AL149:AN149"/>
    <mergeCell ref="AF203:AF204"/>
    <mergeCell ref="AC118:AG118"/>
    <mergeCell ref="AY9:BM9"/>
    <mergeCell ref="AR107:AV107"/>
    <mergeCell ref="V20:W20"/>
    <mergeCell ref="A186:B186"/>
    <mergeCell ref="A191:B191"/>
    <mergeCell ref="A178:B178"/>
    <mergeCell ref="U13:W13"/>
    <mergeCell ref="AG72:AG75"/>
    <mergeCell ref="A184:B184"/>
    <mergeCell ref="X203:Z203"/>
    <mergeCell ref="T88:W88"/>
    <mergeCell ref="AG157:AI158"/>
    <mergeCell ref="AC115:AG115"/>
    <mergeCell ref="AL184:AN184"/>
    <mergeCell ref="X120:AB120"/>
    <mergeCell ref="AH120:AL120"/>
    <mergeCell ref="Q162:S162"/>
    <mergeCell ref="Q167:R168"/>
    <mergeCell ref="O157:AA157"/>
    <mergeCell ref="AG142:AK142"/>
    <mergeCell ref="AG144:AK144"/>
    <mergeCell ref="AE198:AE199"/>
    <mergeCell ref="AP4:AS6"/>
    <mergeCell ref="AR124:BC124"/>
    <mergeCell ref="AY11:BM11"/>
    <mergeCell ref="AE62:AG63"/>
    <mergeCell ref="W194:X194"/>
    <mergeCell ref="D87:D88"/>
    <mergeCell ref="AF6:AJ6"/>
    <mergeCell ref="AM23:AP23"/>
    <mergeCell ref="AA8:AE8"/>
    <mergeCell ref="BG113:BK113"/>
    <mergeCell ref="AT10:AX10"/>
    <mergeCell ref="X11:Z11"/>
    <mergeCell ref="R11:T11"/>
    <mergeCell ref="AY12:BM12"/>
    <mergeCell ref="AL20:AM20"/>
    <mergeCell ref="AK8:AO8"/>
    <mergeCell ref="R13:T13"/>
    <mergeCell ref="AP11:AS11"/>
    <mergeCell ref="BB105:BK105"/>
    <mergeCell ref="AE53:AF53"/>
    <mergeCell ref="D108:M110"/>
    <mergeCell ref="AT13:AX13"/>
    <mergeCell ref="S72:T72"/>
    <mergeCell ref="AT7:AX7"/>
    <mergeCell ref="U7:W7"/>
    <mergeCell ref="AR120:AV120"/>
    <mergeCell ref="D98:J98"/>
    <mergeCell ref="AK13:AO13"/>
    <mergeCell ref="C46:C47"/>
    <mergeCell ref="R170:T170"/>
    <mergeCell ref="AP12:AS12"/>
    <mergeCell ref="A167:B168"/>
    <mergeCell ref="AP14:AS14"/>
    <mergeCell ref="A150:B150"/>
    <mergeCell ref="A144:B144"/>
    <mergeCell ref="A81:B81"/>
    <mergeCell ref="AC114:AG114"/>
    <mergeCell ref="AR126:BC126"/>
    <mergeCell ref="AL72:AM72"/>
    <mergeCell ref="W46:Y46"/>
    <mergeCell ref="T129:AE129"/>
    <mergeCell ref="A28:B28"/>
    <mergeCell ref="A30:B30"/>
    <mergeCell ref="O158:Q158"/>
    <mergeCell ref="N112:R112"/>
    <mergeCell ref="R7:T7"/>
    <mergeCell ref="AD98:AD99"/>
    <mergeCell ref="A162:B163"/>
  </mergeCells>
  <conditionalFormatting sqref="R170:T170">
    <cfRule type="expression" dxfId="86" priority="11">
      <formula>LEN(TRIM(R170))=0</formula>
    </cfRule>
    <cfRule type="cellIs" dxfId="85" priority="12" operator="equal">
      <formula>""" """</formula>
    </cfRule>
  </conditionalFormatting>
  <conditionalFormatting sqref="R211:T211">
    <cfRule type="expression" dxfId="84" priority="13">
      <formula>LEN(TRIM(R211))=0</formula>
    </cfRule>
    <cfRule type="cellIs" dxfId="83" priority="14" operator="equal">
      <formula>""" """</formula>
    </cfRule>
  </conditionalFormatting>
  <conditionalFormatting sqref="AB60:AK60">
    <cfRule type="containsText" dxfId="82" priority="7" operator="containsText" text="uygun değildir">
      <formula>NOT(ISERROR(SEARCH("uygun değildir",AB60)))</formula>
    </cfRule>
  </conditionalFormatting>
  <conditionalFormatting sqref="AC101:AL101">
    <cfRule type="containsText" dxfId="81" priority="8" operator="containsText" text="uygun değildir">
      <formula>NOT(ISERROR(SEARCH("uygun değildir",AC101)))</formula>
    </cfRule>
  </conditionalFormatting>
  <conditionalFormatting sqref="AH86">
    <cfRule type="expression" dxfId="80" priority="42">
      <formula>$O$152&lt;$J$152</formula>
    </cfRule>
  </conditionalFormatting>
  <conditionalFormatting sqref="AH89">
    <cfRule type="expression" dxfId="79" priority="41">
      <formula>$O$152&lt;$J$152</formula>
    </cfRule>
  </conditionalFormatting>
  <conditionalFormatting sqref="AH97">
    <cfRule type="expression" dxfId="78" priority="40">
      <formula>$O$152&lt;$J$152</formula>
    </cfRule>
  </conditionalFormatting>
  <conditionalFormatting sqref="AH100">
    <cfRule type="expression" dxfId="77" priority="39">
      <formula>$O$152&lt;$J$152</formula>
    </cfRule>
  </conditionalFormatting>
  <conditionalFormatting sqref="AH102:AH103">
    <cfRule type="expression" dxfId="76" priority="24">
      <formula>$O$152&lt;$J$152</formula>
    </cfRule>
  </conditionalFormatting>
  <conditionalFormatting sqref="AH122">
    <cfRule type="expression" dxfId="75" priority="38">
      <formula>$O$152&lt;$J$152</formula>
    </cfRule>
  </conditionalFormatting>
  <conditionalFormatting sqref="AH130:AH131">
    <cfRule type="expression" dxfId="74" priority="37">
      <formula>$O$152&lt;$J$152</formula>
    </cfRule>
  </conditionalFormatting>
  <conditionalFormatting sqref="AH133">
    <cfRule type="expression" dxfId="73" priority="36">
      <formula>$O$152&lt;$J$152</formula>
    </cfRule>
  </conditionalFormatting>
  <conditionalFormatting sqref="AH152">
    <cfRule type="expression" dxfId="72" priority="35">
      <formula>$O$152&lt;$J$152</formula>
    </cfRule>
  </conditionalFormatting>
  <conditionalFormatting sqref="AH154">
    <cfRule type="expression" dxfId="71" priority="34">
      <formula>$O$152&lt;$J$152</formula>
    </cfRule>
  </conditionalFormatting>
  <conditionalFormatting sqref="AH156">
    <cfRule type="expression" dxfId="70" priority="33">
      <formula>$O$152&lt;$J$152</formula>
    </cfRule>
  </conditionalFormatting>
  <conditionalFormatting sqref="AH159">
    <cfRule type="expression" dxfId="69" priority="32">
      <formula>$O$152&lt;$J$152</formula>
    </cfRule>
  </conditionalFormatting>
  <conditionalFormatting sqref="AH161">
    <cfRule type="expression" dxfId="68" priority="31">
      <formula>$O$152&lt;$J$152</formula>
    </cfRule>
  </conditionalFormatting>
  <conditionalFormatting sqref="AH164">
    <cfRule type="expression" dxfId="67" priority="30">
      <formula>$O$152&lt;$J$152</formula>
    </cfRule>
  </conditionalFormatting>
  <conditionalFormatting sqref="AH166">
    <cfRule type="expression" dxfId="66" priority="29">
      <formula>$O$152&lt;$J$152</formula>
    </cfRule>
  </conditionalFormatting>
  <conditionalFormatting sqref="AH169">
    <cfRule type="expression" dxfId="65" priority="28">
      <formula>$O$152&lt;$J$152</formula>
    </cfRule>
  </conditionalFormatting>
  <conditionalFormatting sqref="AH171:AH172">
    <cfRule type="expression" dxfId="64" priority="27">
      <formula>$O$152&lt;$J$152</formula>
    </cfRule>
  </conditionalFormatting>
  <conditionalFormatting sqref="AH174">
    <cfRule type="expression" dxfId="63" priority="15">
      <formula>$O$152&lt;$J$152</formula>
    </cfRule>
  </conditionalFormatting>
  <conditionalFormatting sqref="AH193">
    <cfRule type="expression" dxfId="62" priority="20">
      <formula>$O$152&lt;$J$152</formula>
    </cfRule>
  </conditionalFormatting>
  <conditionalFormatting sqref="AH195">
    <cfRule type="expression" dxfId="61" priority="21">
      <formula>$O$152&lt;$J$152</formula>
    </cfRule>
  </conditionalFormatting>
  <conditionalFormatting sqref="AH197">
    <cfRule type="expression" dxfId="60" priority="22">
      <formula>$O$152&lt;$J$152</formula>
    </cfRule>
  </conditionalFormatting>
  <conditionalFormatting sqref="AH200">
    <cfRule type="expression" dxfId="59" priority="23">
      <formula>$O$152&lt;$J$152</formula>
    </cfRule>
  </conditionalFormatting>
  <conditionalFormatting sqref="AH202">
    <cfRule type="expression" dxfId="58" priority="9">
      <formula>$O$152&lt;$J$152</formula>
    </cfRule>
  </conditionalFormatting>
  <conditionalFormatting sqref="AH205">
    <cfRule type="expression" dxfId="57" priority="18">
      <formula>$O$152&lt;$J$152</formula>
    </cfRule>
  </conditionalFormatting>
  <conditionalFormatting sqref="AH207">
    <cfRule type="expression" dxfId="56" priority="17">
      <formula>$O$152&lt;$J$152</formula>
    </cfRule>
  </conditionalFormatting>
  <conditionalFormatting sqref="AH210">
    <cfRule type="expression" dxfId="55" priority="16">
      <formula>$O$152&lt;$J$152</formula>
    </cfRule>
  </conditionalFormatting>
  <conditionalFormatting sqref="AH212">
    <cfRule type="expression" dxfId="54" priority="25">
      <formula>$O$152&lt;$J$152</formula>
    </cfRule>
  </conditionalFormatting>
  <conditionalFormatting sqref="AH214">
    <cfRule type="expression" dxfId="53" priority="26">
      <formula>$O$152&lt;$J$152</formula>
    </cfRule>
  </conditionalFormatting>
  <conditionalFormatting sqref="AH218">
    <cfRule type="expression" dxfId="52" priority="19">
      <formula>$O$152&lt;$J$152</formula>
    </cfRule>
  </conditionalFormatting>
  <conditionalFormatting sqref="AH33:AQ34 AH83:AQ83">
    <cfRule type="containsText" dxfId="51" priority="2" operator="containsText" text="uygun değildir">
      <formula>NOT(ISERROR(SEARCH("uygun değildir",AH33)))</formula>
    </cfRule>
  </conditionalFormatting>
  <conditionalFormatting sqref="AH42:AQ42">
    <cfRule type="containsText" dxfId="50" priority="3" operator="containsText" text="uygun değildir">
      <formula>NOT(ISERROR(SEARCH("uygun değildir",AH42)))</formula>
    </cfRule>
  </conditionalFormatting>
  <conditionalFormatting sqref="AH49:AQ49">
    <cfRule type="containsText" dxfId="49" priority="4" operator="containsText" text="uygun değildir">
      <formula>NOT(ISERROR(SEARCH("uygun değildir",AH49)))</formula>
    </cfRule>
  </conditionalFormatting>
  <conditionalFormatting sqref="AH65:AQ65 AR66:AT68">
    <cfRule type="containsText" dxfId="48" priority="6" operator="containsText" text="uygun değildir">
      <formula>NOT(ISERROR(SEARCH("uygun değildir",AH65)))</formula>
    </cfRule>
  </conditionalFormatting>
  <conditionalFormatting sqref="AH90:AQ90">
    <cfRule type="containsText" dxfId="47" priority="10" operator="containsText" text="uygun değildir">
      <formula>NOT(ISERROR(SEARCH("uygun değildir",AH90)))</formula>
    </cfRule>
  </conditionalFormatting>
  <conditionalFormatting sqref="AR38:AT38">
    <cfRule type="containsText" dxfId="46" priority="54" operator="containsText" text="uygun değildir">
      <formula>NOT(ISERROR(SEARCH("uygun değildir",AR38)))</formula>
    </cfRule>
  </conditionalFormatting>
  <conditionalFormatting sqref="AR41:AT41">
    <cfRule type="containsText" dxfId="45" priority="53" operator="containsText" text="uygun değildir">
      <formula>NOT(ISERROR(SEARCH("uygun değildir",AR41)))</formula>
    </cfRule>
  </conditionalFormatting>
  <conditionalFormatting sqref="AR43:AT43">
    <cfRule type="containsText" dxfId="44" priority="52" operator="containsText" text="uygun değildir">
      <formula>NOT(ISERROR(SEARCH("uygun değildir",AR43)))</formula>
    </cfRule>
  </conditionalFormatting>
  <conditionalFormatting sqref="AR45:AT45">
    <cfRule type="containsText" dxfId="43" priority="51" operator="containsText" text="uygun değildir">
      <formula>NOT(ISERROR(SEARCH("uygun değildir",AR45)))</formula>
    </cfRule>
  </conditionalFormatting>
  <conditionalFormatting sqref="AR48:AT48">
    <cfRule type="containsText" dxfId="42" priority="47" operator="containsText" text="uygun değildir">
      <formula>NOT(ISERROR(SEARCH("uygun değildir",AR48)))</formula>
    </cfRule>
  </conditionalFormatting>
  <conditionalFormatting sqref="AR50:AT50">
    <cfRule type="containsText" dxfId="41" priority="50" operator="containsText" text="uygun değildir">
      <formula>NOT(ISERROR(SEARCH("uygun değildir",AR50)))</formula>
    </cfRule>
  </conditionalFormatting>
  <conditionalFormatting sqref="AR52:AT52">
    <cfRule type="containsText" dxfId="40" priority="49" operator="containsText" text="uygun değildir">
      <formula>NOT(ISERROR(SEARCH("uygun değildir",AR52)))</formula>
    </cfRule>
  </conditionalFormatting>
  <conditionalFormatting sqref="AR54:AT54">
    <cfRule type="containsText" dxfId="39" priority="48" operator="containsText" text="uygun değildir">
      <formula>NOT(ISERROR(SEARCH("uygun değildir",AR54)))</formula>
    </cfRule>
  </conditionalFormatting>
  <conditionalFormatting sqref="AR56:AT56">
    <cfRule type="containsText" dxfId="38" priority="46" operator="containsText" text="uygun değildir">
      <formula>NOT(ISERROR(SEARCH("uygun değildir",AR56)))</formula>
    </cfRule>
  </conditionalFormatting>
  <conditionalFormatting sqref="AR59:AT59">
    <cfRule type="containsText" dxfId="37" priority="45" operator="containsText" text="uygun değildir">
      <formula>NOT(ISERROR(SEARCH("uygun değildir",AR59)))</formula>
    </cfRule>
  </conditionalFormatting>
  <conditionalFormatting sqref="AR61:AT61">
    <cfRule type="containsText" dxfId="36" priority="44" operator="containsText" text="uygun değildir">
      <formula>NOT(ISERROR(SEARCH("uygun değildir",AR61)))</formula>
    </cfRule>
  </conditionalFormatting>
  <conditionalFormatting sqref="AR64:AT64">
    <cfRule type="containsText" dxfId="35" priority="43" operator="containsText" text="uygun değildir">
      <formula>NOT(ISERROR(SEARCH("uygun değildir",AR64)))</formula>
    </cfRule>
  </conditionalFormatting>
  <conditionalFormatting sqref="AR91:AT91">
    <cfRule type="containsText" dxfId="34" priority="58" operator="containsText" text="uygun değildir">
      <formula>NOT(ISERROR(SEARCH("uygun değildir",AR91)))</formula>
    </cfRule>
  </conditionalFormatting>
  <conditionalFormatting sqref="AR93:AT93">
    <cfRule type="containsText" dxfId="33" priority="57" operator="containsText" text="uygun değildir">
      <formula>NOT(ISERROR(SEARCH("uygun değildir",AR93)))</formula>
    </cfRule>
  </conditionalFormatting>
  <conditionalFormatting sqref="AR95:AT95">
    <cfRule type="containsText" dxfId="32" priority="56" operator="containsText" text="uygun değildir">
      <formula>NOT(ISERROR(SEARCH("uygun değildir",AR95)))</formula>
    </cfRule>
  </conditionalFormatting>
  <conditionalFormatting sqref="AS53:BB53">
    <cfRule type="containsText" dxfId="31" priority="5" operator="containsText" text="uygun değildir">
      <formula>NOT(ISERROR(SEARCH("uygun değildir",AS53)))</formula>
    </cfRule>
  </conditionalFormatting>
  <conditionalFormatting sqref="AT94:BC94 AH90:AQ90 AB60:AK60 AH65:AQ65 AS53:BB53 AH49:AQ49 AH42:AQ42">
    <cfRule type="containsText" dxfId="30" priority="59" operator="containsText" text="UYGUNDUR">
      <formula>NOT(ISERROR(SEARCH("UYGUNDUR",AB42)))</formula>
    </cfRule>
  </conditionalFormatting>
  <conditionalFormatting sqref="AT94:BC94">
    <cfRule type="containsText" dxfId="29" priority="55" operator="containsText" text="uygun değildir">
      <formula>NOT(ISERROR(SEARCH("uygun değildir",AT94)))</formula>
    </cfRule>
  </conditionalFormatting>
  <pageMargins left="0.39374999999999999" right="0.118055555555556" top="0.31527777777777799" bottom="0.39374999999999999" header="0.511811023622047" footer="0.511811023622047"/>
  <pageSetup paperSize="9" scale="95" orientation="portrait" horizontalDpi="300" verticalDpi="300"/>
  <rowBreaks count="2" manualBreakCount="2">
    <brk id="66" max="16383" man="1"/>
    <brk id="13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Q100"/>
  <sheetViews>
    <sheetView zoomScaleNormal="100" workbookViewId="0">
      <selection activeCell="B6" sqref="B6:Q6"/>
    </sheetView>
  </sheetViews>
  <sheetFormatPr defaultColWidth="14.42578125" defaultRowHeight="12.75"/>
  <cols>
    <col min="1" max="1" width="1.7109375" customWidth="1"/>
    <col min="2" max="4" width="8.7109375" customWidth="1"/>
    <col min="5" max="5" width="1.85546875" customWidth="1"/>
    <col min="6" max="9" width="8.7109375" customWidth="1"/>
    <col min="10" max="10" width="1.85546875" customWidth="1"/>
    <col min="11" max="13" width="8.7109375" customWidth="1"/>
    <col min="14" max="14" width="10.5703125" customWidth="1"/>
    <col min="15" max="15" width="1.85546875" customWidth="1"/>
    <col min="16" max="17" width="8.7109375" customWidth="1"/>
  </cols>
  <sheetData>
    <row r="1" spans="2:17" ht="24.75" customHeight="1"/>
    <row r="2" spans="2:17" ht="36" customHeight="1">
      <c r="B2" s="910" t="s">
        <v>941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9"/>
    </row>
    <row r="3" spans="2:17" ht="12.75" customHeight="1">
      <c r="B3" s="929" t="s">
        <v>942</v>
      </c>
      <c r="C3" s="930"/>
      <c r="D3" s="658"/>
      <c r="E3" s="283" t="s">
        <v>308</v>
      </c>
      <c r="F3" s="915" t="str">
        <f>IF('Veri Girişi'!C22="","",'Veri Girişi'!C22)</f>
        <v/>
      </c>
      <c r="G3" s="658"/>
      <c r="H3" s="928" t="s">
        <v>79</v>
      </c>
      <c r="I3" s="658"/>
      <c r="J3" s="283" t="s">
        <v>308</v>
      </c>
      <c r="K3" s="915" t="str">
        <f>IF('Veri Girişi'!C57="","",'Veri Girişi'!C57)</f>
        <v/>
      </c>
      <c r="L3" s="658"/>
      <c r="M3" s="928" t="s">
        <v>943</v>
      </c>
      <c r="N3" s="658"/>
      <c r="O3" s="283" t="s">
        <v>308</v>
      </c>
      <c r="P3" s="284" t="str">
        <f>IF('Veri Girişi'!C26="","",'Veri Girişi'!C26)</f>
        <v/>
      </c>
      <c r="Q3" s="285" t="str">
        <f>IF('Veri Girişi'!C28="","",'Veri Girişi'!C28)</f>
        <v/>
      </c>
    </row>
    <row r="4" spans="2:17" ht="12.75" customHeight="1">
      <c r="B4" s="902" t="s">
        <v>944</v>
      </c>
      <c r="C4" s="639"/>
      <c r="D4" s="641"/>
      <c r="E4" s="286" t="s">
        <v>308</v>
      </c>
      <c r="F4" s="913" t="str">
        <f>IF('Veri Girişi'!C23="","",'Veri Girişi'!C23)</f>
        <v/>
      </c>
      <c r="G4" s="639"/>
      <c r="H4" s="639"/>
      <c r="I4" s="639"/>
      <c r="J4" s="639"/>
      <c r="K4" s="639"/>
      <c r="L4" s="639"/>
      <c r="M4" s="639"/>
      <c r="N4" s="639"/>
      <c r="O4" s="639"/>
      <c r="P4" s="639"/>
      <c r="Q4" s="643"/>
    </row>
    <row r="5" spans="2:17" ht="12.75" customHeight="1">
      <c r="B5" s="902" t="s">
        <v>21</v>
      </c>
      <c r="C5" s="639"/>
      <c r="D5" s="641"/>
      <c r="E5" s="286" t="s">
        <v>308</v>
      </c>
      <c r="F5" s="908" t="str">
        <f>IF('Veri Girişi'!C12="","",'Veri Girişi'!C12)</f>
        <v/>
      </c>
      <c r="G5" s="639"/>
      <c r="H5" s="639"/>
      <c r="I5" s="639"/>
      <c r="J5" s="639"/>
      <c r="K5" s="639"/>
      <c r="L5" s="639"/>
      <c r="M5" s="639"/>
      <c r="N5" s="639"/>
      <c r="O5" s="639"/>
      <c r="P5" s="639"/>
      <c r="Q5" s="643"/>
    </row>
    <row r="6" spans="2:17" ht="12.75" customHeight="1">
      <c r="B6" s="901"/>
      <c r="C6" s="639"/>
      <c r="D6" s="639"/>
      <c r="E6" s="639"/>
      <c r="F6" s="639"/>
      <c r="G6" s="639"/>
      <c r="H6" s="639"/>
      <c r="I6" s="639"/>
      <c r="J6" s="639"/>
      <c r="K6" s="639"/>
      <c r="L6" s="639"/>
      <c r="M6" s="639"/>
      <c r="N6" s="639"/>
      <c r="O6" s="639"/>
      <c r="P6" s="639"/>
      <c r="Q6" s="643"/>
    </row>
    <row r="7" spans="2:17" ht="12.75" customHeight="1">
      <c r="B7" s="899" t="s">
        <v>185</v>
      </c>
      <c r="C7" s="639"/>
      <c r="D7" s="639"/>
      <c r="E7" s="639"/>
      <c r="F7" s="639"/>
      <c r="G7" s="641"/>
      <c r="H7" s="898" t="str">
        <f>'11-Muk. Hesapları'!AH27</f>
        <v>UYGUNDUR.</v>
      </c>
      <c r="I7" s="641"/>
      <c r="J7" s="287"/>
      <c r="K7" s="900" t="s">
        <v>211</v>
      </c>
      <c r="L7" s="639"/>
      <c r="M7" s="639"/>
      <c r="N7" s="639"/>
      <c r="O7" s="639"/>
      <c r="P7" s="639"/>
      <c r="Q7" s="643"/>
    </row>
    <row r="8" spans="2:17" ht="12.75" customHeight="1">
      <c r="B8" s="909"/>
      <c r="C8" s="639"/>
      <c r="D8" s="639"/>
      <c r="E8" s="639"/>
      <c r="F8" s="639"/>
      <c r="G8" s="639"/>
      <c r="H8" s="639"/>
      <c r="I8" s="641"/>
      <c r="J8" s="287"/>
      <c r="K8" s="897" t="s">
        <v>212</v>
      </c>
      <c r="L8" s="639"/>
      <c r="M8" s="639"/>
      <c r="N8" s="639"/>
      <c r="O8" s="641"/>
      <c r="P8" s="896" t="str">
        <f>'11-Muk. Hesapları'!AV365</f>
        <v>UYGUNDUR.</v>
      </c>
      <c r="Q8" s="643"/>
    </row>
    <row r="9" spans="2:17" ht="12.75" customHeight="1">
      <c r="B9" s="899" t="s">
        <v>188</v>
      </c>
      <c r="C9" s="639"/>
      <c r="D9" s="639"/>
      <c r="E9" s="639"/>
      <c r="F9" s="639"/>
      <c r="G9" s="641"/>
      <c r="H9" s="898" t="str">
        <f>'11-Muk. Hesapları'!AH67</f>
        <v>UYGUNDUR.</v>
      </c>
      <c r="I9" s="641"/>
      <c r="J9" s="287"/>
      <c r="K9" s="897" t="s">
        <v>214</v>
      </c>
      <c r="L9" s="639"/>
      <c r="M9" s="639"/>
      <c r="N9" s="639"/>
      <c r="O9" s="641"/>
      <c r="P9" s="896" t="str">
        <f>'11-Muk. Hesapları'!AV374</f>
        <v>UYGUNDUR.</v>
      </c>
      <c r="Q9" s="643"/>
    </row>
    <row r="10" spans="2:17" ht="12.75" customHeight="1">
      <c r="B10" s="899" t="s">
        <v>190</v>
      </c>
      <c r="C10" s="639"/>
      <c r="D10" s="639"/>
      <c r="E10" s="639"/>
      <c r="F10" s="639"/>
      <c r="G10" s="641"/>
      <c r="H10" s="898" t="str">
        <f>'11-Muk. Hesapları'!AH75</f>
        <v>UYGUNDUR.</v>
      </c>
      <c r="I10" s="641"/>
      <c r="J10" s="287"/>
      <c r="K10" s="897" t="s">
        <v>215</v>
      </c>
      <c r="L10" s="639"/>
      <c r="M10" s="639"/>
      <c r="N10" s="639"/>
      <c r="O10" s="641"/>
      <c r="P10" s="896" t="str">
        <f>'11-Muk. Hesapları'!AL379</f>
        <v>UYGUNDUR.</v>
      </c>
      <c r="Q10" s="643"/>
    </row>
    <row r="11" spans="2:17" ht="12.75" customHeight="1">
      <c r="B11" s="909"/>
      <c r="C11" s="639"/>
      <c r="D11" s="639"/>
      <c r="E11" s="639"/>
      <c r="F11" s="639"/>
      <c r="G11" s="639"/>
      <c r="H11" s="639"/>
      <c r="I11" s="641"/>
      <c r="J11" s="287"/>
      <c r="K11" s="897" t="s">
        <v>216</v>
      </c>
      <c r="L11" s="639"/>
      <c r="M11" s="639"/>
      <c r="N11" s="639"/>
      <c r="O11" s="641"/>
      <c r="P11" s="896" t="str">
        <f>'11-Muk. Hesapları'!AL384</f>
        <v>UYGUNDUR.</v>
      </c>
      <c r="Q11" s="643"/>
    </row>
    <row r="12" spans="2:17" ht="12.75" customHeight="1">
      <c r="B12" s="899" t="s">
        <v>192</v>
      </c>
      <c r="C12" s="639"/>
      <c r="D12" s="639"/>
      <c r="E12" s="639"/>
      <c r="F12" s="639"/>
      <c r="G12" s="641"/>
      <c r="H12" s="898" t="str">
        <f>'11-Muk. Hesapları'!AP84</f>
        <v>UYGUNDUR.</v>
      </c>
      <c r="I12" s="641"/>
      <c r="J12" s="287"/>
      <c r="K12" s="907" t="s">
        <v>217</v>
      </c>
      <c r="L12" s="639"/>
      <c r="M12" s="639"/>
      <c r="N12" s="639"/>
      <c r="O12" s="641"/>
      <c r="P12" s="896" t="str">
        <f>'11-Muk. Hesapları'!AQ393</f>
        <v>UYGUNDUR.</v>
      </c>
      <c r="Q12" s="643"/>
    </row>
    <row r="13" spans="2:17" ht="12.75" customHeight="1">
      <c r="B13" s="899" t="s">
        <v>193</v>
      </c>
      <c r="C13" s="639"/>
      <c r="D13" s="639"/>
      <c r="E13" s="639"/>
      <c r="F13" s="639"/>
      <c r="G13" s="641"/>
      <c r="H13" s="898" t="str">
        <f>'11-Muk. Hesapları'!AP90</f>
        <v>UYGUNDUR.</v>
      </c>
      <c r="I13" s="641"/>
      <c r="J13" s="287"/>
      <c r="K13" s="907" t="s">
        <v>218</v>
      </c>
      <c r="L13" s="639"/>
      <c r="M13" s="639"/>
      <c r="N13" s="639"/>
      <c r="O13" s="641"/>
      <c r="P13" s="896" t="str">
        <f>'11-Muk. Hesapları'!AQ396</f>
        <v>UYGUNDUR.</v>
      </c>
      <c r="Q13" s="643"/>
    </row>
    <row r="14" spans="2:17" ht="12.75" customHeight="1">
      <c r="B14" s="909"/>
      <c r="C14" s="639"/>
      <c r="D14" s="639"/>
      <c r="E14" s="639"/>
      <c r="F14" s="639"/>
      <c r="G14" s="639"/>
      <c r="H14" s="639"/>
      <c r="I14" s="641"/>
      <c r="J14" s="287"/>
      <c r="K14" s="907" t="s">
        <v>219</v>
      </c>
      <c r="L14" s="639"/>
      <c r="M14" s="639"/>
      <c r="N14" s="639"/>
      <c r="O14" s="641"/>
      <c r="P14" s="896" t="str">
        <f>'11-Muk. Hesapları'!AQ401</f>
        <v>UYGUNDUR.</v>
      </c>
      <c r="Q14" s="643"/>
    </row>
    <row r="15" spans="2:17" ht="12.75" customHeight="1">
      <c r="B15" s="899" t="s">
        <v>199</v>
      </c>
      <c r="C15" s="639"/>
      <c r="D15" s="639"/>
      <c r="E15" s="639"/>
      <c r="F15" s="639"/>
      <c r="G15" s="641"/>
      <c r="H15" s="898" t="str">
        <f>'11-Muk. Hesapları'!X142</f>
        <v>UYGUNDUR.</v>
      </c>
      <c r="I15" s="641"/>
      <c r="J15" s="287"/>
      <c r="K15" s="907" t="s">
        <v>220</v>
      </c>
      <c r="L15" s="639"/>
      <c r="M15" s="639"/>
      <c r="N15" s="639"/>
      <c r="O15" s="641"/>
      <c r="P15" s="896" t="str">
        <f>'11-Muk. Hesapları'!AQ404</f>
        <v>UYGUNDUR.</v>
      </c>
      <c r="Q15" s="643"/>
    </row>
    <row r="16" spans="2:17" ht="28.5" customHeight="1">
      <c r="B16" s="904" t="s">
        <v>201</v>
      </c>
      <c r="C16" s="639"/>
      <c r="D16" s="639"/>
      <c r="E16" s="639"/>
      <c r="F16" s="639"/>
      <c r="G16" s="641"/>
      <c r="H16" s="898" t="str">
        <f>'11-Muk. Hesapları'!AM156</f>
        <v>UYGUNDUR.</v>
      </c>
      <c r="I16" s="641"/>
      <c r="J16" s="287"/>
      <c r="K16" s="900" t="s">
        <v>227</v>
      </c>
      <c r="L16" s="639"/>
      <c r="M16" s="639"/>
      <c r="N16" s="639"/>
      <c r="O16" s="639"/>
      <c r="P16" s="639"/>
      <c r="Q16" s="643"/>
    </row>
    <row r="17" spans="2:17" ht="12.75" customHeight="1">
      <c r="B17" s="899" t="s">
        <v>202</v>
      </c>
      <c r="C17" s="639"/>
      <c r="D17" s="639"/>
      <c r="E17" s="639"/>
      <c r="F17" s="639"/>
      <c r="G17" s="641"/>
      <c r="H17" s="898" t="str">
        <f>'11-Muk. Hesapları'!U161</f>
        <v>UYGUNDUR.</v>
      </c>
      <c r="I17" s="641"/>
      <c r="J17" s="287"/>
      <c r="K17" s="897" t="s">
        <v>228</v>
      </c>
      <c r="L17" s="639"/>
      <c r="M17" s="639"/>
      <c r="N17" s="639"/>
      <c r="O17" s="641"/>
      <c r="P17" s="896" t="str">
        <f>'11-Muk. Hesapları'!AO532</f>
        <v>UYGUNDUR.</v>
      </c>
      <c r="Q17" s="643"/>
    </row>
    <row r="18" spans="2:17" ht="12.75" customHeight="1">
      <c r="B18" s="909"/>
      <c r="C18" s="639"/>
      <c r="D18" s="639"/>
      <c r="E18" s="639"/>
      <c r="F18" s="639"/>
      <c r="G18" s="639"/>
      <c r="H18" s="639"/>
      <c r="I18" s="641"/>
      <c r="J18" s="287"/>
      <c r="K18" s="897" t="s">
        <v>229</v>
      </c>
      <c r="L18" s="639"/>
      <c r="M18" s="639"/>
      <c r="N18" s="639"/>
      <c r="O18" s="641"/>
      <c r="P18" s="896" t="str">
        <f>'11-Muk. Hesapları'!AL537</f>
        <v>UYGUNDUR.</v>
      </c>
      <c r="Q18" s="643"/>
    </row>
    <row r="19" spans="2:17" ht="24.75" customHeight="1">
      <c r="B19" s="904" t="s">
        <v>204</v>
      </c>
      <c r="C19" s="639"/>
      <c r="D19" s="639"/>
      <c r="E19" s="639"/>
      <c r="F19" s="639"/>
      <c r="G19" s="641"/>
      <c r="H19" s="898" t="str">
        <f>'11-Muk. Hesapları'!Z242</f>
        <v>UYGUNDUR.</v>
      </c>
      <c r="I19" s="641"/>
      <c r="J19" s="287"/>
      <c r="K19" s="897" t="s">
        <v>231</v>
      </c>
      <c r="L19" s="639"/>
      <c r="M19" s="639"/>
      <c r="N19" s="639"/>
      <c r="O19" s="641"/>
      <c r="P19" s="896" t="str">
        <f>'11-Muk. Hesapları'!AQ542</f>
        <v>UYGUNDUR.</v>
      </c>
      <c r="Q19" s="643"/>
    </row>
    <row r="20" spans="2:17" ht="26.25" customHeight="1">
      <c r="B20" s="904" t="s">
        <v>206</v>
      </c>
      <c r="C20" s="639"/>
      <c r="D20" s="639"/>
      <c r="E20" s="639"/>
      <c r="F20" s="639"/>
      <c r="G20" s="641"/>
      <c r="H20" s="898" t="str">
        <f>'11-Muk. Hesapları'!Z257</f>
        <v>UYGUNDUR.</v>
      </c>
      <c r="I20" s="641"/>
      <c r="J20" s="287"/>
      <c r="K20" s="897" t="s">
        <v>232</v>
      </c>
      <c r="L20" s="639"/>
      <c r="M20" s="639"/>
      <c r="N20" s="639"/>
      <c r="O20" s="641"/>
      <c r="P20" s="896" t="str">
        <f>'11-Muk. Hesapları'!AQ545</f>
        <v>UYGUNDUR.</v>
      </c>
      <c r="Q20" s="643"/>
    </row>
    <row r="21" spans="2:17" ht="25.5" customHeight="1">
      <c r="B21" s="904" t="s">
        <v>208</v>
      </c>
      <c r="C21" s="639"/>
      <c r="D21" s="639"/>
      <c r="E21" s="639"/>
      <c r="F21" s="639"/>
      <c r="G21" s="641"/>
      <c r="H21" s="898" t="str">
        <f>'11-Muk. Hesapları'!Z271</f>
        <v>UYGUNDUR.</v>
      </c>
      <c r="I21" s="641"/>
      <c r="J21" s="287"/>
      <c r="K21" s="903"/>
      <c r="L21" s="639"/>
      <c r="M21" s="639"/>
      <c r="N21" s="639"/>
      <c r="O21" s="639"/>
      <c r="P21" s="639"/>
      <c r="Q21" s="643"/>
    </row>
    <row r="22" spans="2:17" ht="25.5" customHeight="1">
      <c r="B22" s="904" t="s">
        <v>209</v>
      </c>
      <c r="C22" s="639"/>
      <c r="D22" s="639"/>
      <c r="E22" s="639"/>
      <c r="F22" s="639"/>
      <c r="G22" s="641"/>
      <c r="H22" s="898" t="str">
        <f>'11-Muk. Hesapları'!Z285</f>
        <v>UYGUNDUR.</v>
      </c>
      <c r="I22" s="641"/>
      <c r="J22" s="287"/>
      <c r="K22" s="905" t="s">
        <v>236</v>
      </c>
      <c r="L22" s="639"/>
      <c r="M22" s="639"/>
      <c r="N22" s="639"/>
      <c r="O22" s="639"/>
      <c r="P22" s="639"/>
      <c r="Q22" s="643"/>
    </row>
    <row r="23" spans="2:17" ht="12.75" customHeight="1">
      <c r="B23" s="909"/>
      <c r="C23" s="639"/>
      <c r="D23" s="639"/>
      <c r="E23" s="639"/>
      <c r="F23" s="639"/>
      <c r="G23" s="639"/>
      <c r="H23" s="639"/>
      <c r="I23" s="641"/>
      <c r="J23" s="287"/>
      <c r="K23" s="897" t="s">
        <v>237</v>
      </c>
      <c r="L23" s="639"/>
      <c r="M23" s="639"/>
      <c r="N23" s="639"/>
      <c r="O23" s="641"/>
      <c r="P23" s="896" t="str">
        <f>'11-Muk. Hesapları'!AS635</f>
        <v>UYGUNDUR.</v>
      </c>
      <c r="Q23" s="643"/>
    </row>
    <row r="24" spans="2:17" ht="12.75" customHeight="1">
      <c r="B24" s="906" t="s">
        <v>945</v>
      </c>
      <c r="C24" s="639"/>
      <c r="D24" s="639"/>
      <c r="E24" s="639"/>
      <c r="F24" s="639"/>
      <c r="G24" s="639"/>
      <c r="H24" s="639"/>
      <c r="I24" s="641"/>
      <c r="J24" s="287"/>
      <c r="K24" s="897" t="s">
        <v>238</v>
      </c>
      <c r="L24" s="639"/>
      <c r="M24" s="639"/>
      <c r="N24" s="639"/>
      <c r="O24" s="641"/>
      <c r="P24" s="896" t="str">
        <f>'11-Muk. Hesapları'!AS636</f>
        <v>UYGUNDUR.</v>
      </c>
      <c r="Q24" s="643"/>
    </row>
    <row r="25" spans="2:17" ht="27" customHeight="1">
      <c r="B25" s="899" t="s">
        <v>228</v>
      </c>
      <c r="C25" s="639"/>
      <c r="D25" s="639"/>
      <c r="E25" s="639"/>
      <c r="F25" s="639"/>
      <c r="G25" s="641"/>
      <c r="H25" s="898" t="str">
        <f>'11-Muk. Hesapları'!AO590</f>
        <v>UYGUNDUR.</v>
      </c>
      <c r="I25" s="641"/>
      <c r="J25" s="287"/>
      <c r="K25" s="916" t="s">
        <v>239</v>
      </c>
      <c r="L25" s="639"/>
      <c r="M25" s="639"/>
      <c r="N25" s="639"/>
      <c r="O25" s="641"/>
      <c r="P25" s="896" t="str">
        <f>'11-Muk. Hesapları'!AS637</f>
        <v>UYGUNDUR.</v>
      </c>
      <c r="Q25" s="643"/>
    </row>
    <row r="26" spans="2:17" ht="27.75" customHeight="1">
      <c r="B26" s="899" t="s">
        <v>229</v>
      </c>
      <c r="C26" s="639"/>
      <c r="D26" s="639"/>
      <c r="E26" s="639"/>
      <c r="F26" s="639"/>
      <c r="G26" s="641"/>
      <c r="H26" s="898" t="str">
        <f>'11-Muk. Hesapları'!AL595</f>
        <v>UYGUNDUR.</v>
      </c>
      <c r="I26" s="641"/>
      <c r="J26" s="287"/>
      <c r="K26" s="916" t="s">
        <v>240</v>
      </c>
      <c r="L26" s="639"/>
      <c r="M26" s="639"/>
      <c r="N26" s="639"/>
      <c r="O26" s="641"/>
      <c r="P26" s="896" t="str">
        <f>'11-Muk. Hesapları'!AS638</f>
        <v>UYGUNDUR.</v>
      </c>
      <c r="Q26" s="643"/>
    </row>
    <row r="27" spans="2:17" ht="12.75" customHeight="1">
      <c r="B27" s="923" t="s">
        <v>231</v>
      </c>
      <c r="C27" s="639"/>
      <c r="D27" s="639"/>
      <c r="E27" s="639"/>
      <c r="F27" s="639"/>
      <c r="G27" s="641"/>
      <c r="H27" s="898" t="str">
        <f>'11-Muk. Hesapları'!AQ600</f>
        <v>UYGUNDUR.</v>
      </c>
      <c r="I27" s="641"/>
      <c r="J27" s="287"/>
      <c r="K27" s="897" t="s">
        <v>241</v>
      </c>
      <c r="L27" s="639"/>
      <c r="M27" s="639"/>
      <c r="N27" s="639"/>
      <c r="O27" s="641"/>
      <c r="P27" s="896" t="str">
        <f>IF('11-Muk. Hesapları'!AV639="U","UYGUNDUR.","UYGUN DEĞİLDİR.")</f>
        <v>UYGUNDUR.</v>
      </c>
      <c r="Q27" s="643"/>
    </row>
    <row r="28" spans="2:17" ht="12.75" customHeight="1">
      <c r="B28" s="923" t="s">
        <v>232</v>
      </c>
      <c r="C28" s="639"/>
      <c r="D28" s="639"/>
      <c r="E28" s="639"/>
      <c r="F28" s="639"/>
      <c r="G28" s="641"/>
      <c r="H28" s="898" t="str">
        <f>'11-Muk. Hesapları'!AQ603</f>
        <v>UYGUNDUR.</v>
      </c>
      <c r="I28" s="641"/>
      <c r="J28" s="287"/>
      <c r="K28" s="897" t="s">
        <v>242</v>
      </c>
      <c r="L28" s="639"/>
      <c r="M28" s="639"/>
      <c r="N28" s="639"/>
      <c r="O28" s="641"/>
      <c r="P28" s="896" t="str">
        <f>'11-Muk. Hesapları'!AS640</f>
        <v>UYGUNDUR.</v>
      </c>
      <c r="Q28" s="643"/>
    </row>
    <row r="29" spans="2:17" ht="12.75" customHeight="1">
      <c r="B29" s="909"/>
      <c r="C29" s="639"/>
      <c r="D29" s="639"/>
      <c r="E29" s="639"/>
      <c r="F29" s="639"/>
      <c r="G29" s="639"/>
      <c r="H29" s="639"/>
      <c r="I29" s="641"/>
      <c r="J29" s="287"/>
      <c r="K29" s="903"/>
      <c r="L29" s="639"/>
      <c r="M29" s="639"/>
      <c r="N29" s="639"/>
      <c r="O29" s="639"/>
      <c r="P29" s="639"/>
      <c r="Q29" s="643"/>
    </row>
    <row r="30" spans="2:17" ht="12.75" customHeight="1">
      <c r="B30" s="931" t="s">
        <v>243</v>
      </c>
      <c r="C30" s="639"/>
      <c r="D30" s="639"/>
      <c r="E30" s="639"/>
      <c r="F30" s="639"/>
      <c r="G30" s="639"/>
      <c r="H30" s="639"/>
      <c r="I30" s="641"/>
      <c r="J30" s="287"/>
      <c r="K30" s="908" t="s">
        <v>946</v>
      </c>
      <c r="L30" s="639"/>
      <c r="M30" s="639"/>
      <c r="N30" s="639"/>
      <c r="O30" s="639"/>
      <c r="P30" s="639"/>
      <c r="Q30" s="643"/>
    </row>
    <row r="31" spans="2:17" ht="12.75" customHeight="1">
      <c r="B31" s="899" t="s">
        <v>244</v>
      </c>
      <c r="C31" s="639"/>
      <c r="D31" s="639"/>
      <c r="E31" s="639"/>
      <c r="F31" s="639"/>
      <c r="G31" s="641"/>
      <c r="H31" s="898" t="str">
        <f>IF('11-Muk. Hesapları'!AS644="U","UYGUNDUR.","UYGUN DEĞİLDİR.")</f>
        <v>UYGUNDUR.</v>
      </c>
      <c r="I31" s="641"/>
      <c r="J31" s="287"/>
      <c r="K31" s="897" t="s">
        <v>250</v>
      </c>
      <c r="L31" s="639"/>
      <c r="M31" s="639"/>
      <c r="N31" s="639"/>
      <c r="O31" s="641"/>
      <c r="P31" s="896" t="str">
        <f>'12-Elk.Hesapları'!AH65</f>
        <v>UYGUNDUR.</v>
      </c>
      <c r="Q31" s="643"/>
    </row>
    <row r="32" spans="2:17" ht="24.75" customHeight="1">
      <c r="B32" s="904" t="s">
        <v>245</v>
      </c>
      <c r="C32" s="639"/>
      <c r="D32" s="639"/>
      <c r="E32" s="639"/>
      <c r="F32" s="639"/>
      <c r="G32" s="641"/>
      <c r="H32" s="898" t="str">
        <f>'11-Muk. Hesapları'!AS645</f>
        <v>UYGUNDUR.</v>
      </c>
      <c r="I32" s="641"/>
      <c r="J32" s="287"/>
      <c r="K32" s="897" t="s">
        <v>251</v>
      </c>
      <c r="L32" s="639"/>
      <c r="M32" s="639"/>
      <c r="N32" s="639"/>
      <c r="O32" s="641"/>
      <c r="P32" s="896" t="str">
        <f>'12-Elk.Hesapları'!AC101</f>
        <v>UYGUNDUR.</v>
      </c>
      <c r="Q32" s="643"/>
    </row>
    <row r="33" spans="2:17" ht="12.75" customHeight="1">
      <c r="B33" s="899" t="s">
        <v>246</v>
      </c>
      <c r="C33" s="639"/>
      <c r="D33" s="639"/>
      <c r="E33" s="639"/>
      <c r="F33" s="639"/>
      <c r="G33" s="641"/>
      <c r="H33" s="898" t="str">
        <f>'11-Muk. Hesapları'!AS646</f>
        <v>UYGUNDUR.</v>
      </c>
      <c r="I33" s="641"/>
      <c r="J33" s="287"/>
      <c r="K33" s="897" t="s">
        <v>252</v>
      </c>
      <c r="L33" s="639"/>
      <c r="M33" s="639"/>
      <c r="N33" s="639"/>
      <c r="O33" s="641"/>
      <c r="P33" s="914" t="s">
        <v>253</v>
      </c>
      <c r="Q33" s="643"/>
    </row>
    <row r="34" spans="2:17" ht="12.75" customHeight="1">
      <c r="B34" s="899" t="s">
        <v>247</v>
      </c>
      <c r="C34" s="639"/>
      <c r="D34" s="639"/>
      <c r="E34" s="639"/>
      <c r="F34" s="639"/>
      <c r="G34" s="641"/>
      <c r="H34" s="898" t="str">
        <f>'11-Muk. Hesapları'!AS647</f>
        <v>UYGUNDUR.</v>
      </c>
      <c r="I34" s="641"/>
      <c r="J34" s="287"/>
      <c r="K34" s="897" t="s">
        <v>254</v>
      </c>
      <c r="L34" s="639"/>
      <c r="M34" s="639"/>
      <c r="N34" s="639"/>
      <c r="O34" s="641"/>
      <c r="P34" s="914" t="s">
        <v>253</v>
      </c>
      <c r="Q34" s="643"/>
    </row>
    <row r="35" spans="2:17" ht="25.5" customHeight="1">
      <c r="B35" s="904" t="s">
        <v>248</v>
      </c>
      <c r="C35" s="639"/>
      <c r="D35" s="639"/>
      <c r="E35" s="639"/>
      <c r="F35" s="639"/>
      <c r="G35" s="641"/>
      <c r="H35" s="898" t="str">
        <f>'11-Muk. Hesapları'!AS648</f>
        <v>UYGUNDUR.</v>
      </c>
      <c r="I35" s="641"/>
      <c r="J35" s="287"/>
      <c r="K35" s="903"/>
      <c r="L35" s="639"/>
      <c r="M35" s="639"/>
      <c r="N35" s="639"/>
      <c r="O35" s="639"/>
      <c r="P35" s="639"/>
      <c r="Q35" s="643"/>
    </row>
    <row r="36" spans="2:17" ht="12.75" customHeight="1">
      <c r="B36" s="901"/>
      <c r="C36" s="639"/>
      <c r="D36" s="639"/>
      <c r="E36" s="639"/>
      <c r="F36" s="639"/>
      <c r="G36" s="639"/>
      <c r="H36" s="639"/>
      <c r="I36" s="639"/>
      <c r="J36" s="639"/>
      <c r="K36" s="639"/>
      <c r="L36" s="639"/>
      <c r="M36" s="639"/>
      <c r="N36" s="639"/>
      <c r="O36" s="639"/>
      <c r="P36" s="639"/>
      <c r="Q36" s="643"/>
    </row>
    <row r="37" spans="2:17" ht="12.75" customHeight="1">
      <c r="B37" s="906" t="s">
        <v>947</v>
      </c>
      <c r="C37" s="639"/>
      <c r="D37" s="639"/>
      <c r="E37" s="639"/>
      <c r="F37" s="639"/>
      <c r="G37" s="639"/>
      <c r="H37" s="639"/>
      <c r="I37" s="641"/>
      <c r="J37" s="288"/>
      <c r="K37" s="905" t="s">
        <v>948</v>
      </c>
      <c r="L37" s="639"/>
      <c r="M37" s="639"/>
      <c r="N37" s="639"/>
      <c r="O37" s="639"/>
      <c r="P37" s="639"/>
      <c r="Q37" s="643"/>
    </row>
    <row r="38" spans="2:17" ht="12.75" customHeight="1">
      <c r="B38" s="899" t="s">
        <v>195</v>
      </c>
      <c r="C38" s="639"/>
      <c r="D38" s="639"/>
      <c r="E38" s="639"/>
      <c r="F38" s="639"/>
      <c r="G38" s="641"/>
      <c r="H38" s="898" t="str">
        <f>'11-Muk. Hesapları'!Z97</f>
        <v>UYGUNDUR.</v>
      </c>
      <c r="I38" s="641"/>
      <c r="K38" s="897" t="s">
        <v>949</v>
      </c>
      <c r="L38" s="639"/>
      <c r="M38" s="639"/>
      <c r="N38" s="639"/>
      <c r="O38" s="641"/>
      <c r="P38" s="896" t="str">
        <f>'11-Muk. Hesapları'!AO463</f>
        <v>UYGUNDUR.</v>
      </c>
      <c r="Q38" s="643"/>
    </row>
    <row r="39" spans="2:17" ht="12.75" customHeight="1">
      <c r="B39" s="899" t="s">
        <v>196</v>
      </c>
      <c r="C39" s="639"/>
      <c r="D39" s="639"/>
      <c r="E39" s="639"/>
      <c r="F39" s="639"/>
      <c r="G39" s="641"/>
      <c r="H39" s="898" t="str">
        <f>'11-Muk. Hesapları'!AH125</f>
        <v>UYGUNDUR.</v>
      </c>
      <c r="I39" s="641"/>
      <c r="K39" s="897" t="s">
        <v>950</v>
      </c>
      <c r="L39" s="639"/>
      <c r="M39" s="639"/>
      <c r="N39" s="639"/>
      <c r="O39" s="641"/>
      <c r="P39" s="896" t="str">
        <f>'11-Muk. Hesapları'!AS470</f>
        <v>UYGUNDUR.</v>
      </c>
      <c r="Q39" s="643"/>
    </row>
    <row r="40" spans="2:17" ht="12.75" customHeight="1">
      <c r="B40" s="899" t="s">
        <v>197</v>
      </c>
      <c r="C40" s="639"/>
      <c r="D40" s="639"/>
      <c r="E40" s="639"/>
      <c r="F40" s="639"/>
      <c r="G40" s="641"/>
      <c r="H40" s="898" t="str">
        <f>'11-Muk. Hesapları'!AH126</f>
        <v>UYGUNDUR.</v>
      </c>
      <c r="I40" s="641"/>
      <c r="K40" s="897" t="s">
        <v>215</v>
      </c>
      <c r="L40" s="639"/>
      <c r="M40" s="639"/>
      <c r="N40" s="639"/>
      <c r="O40" s="641"/>
      <c r="P40" s="896" t="str">
        <f>'11-Muk. Hesapları'!AL476</f>
        <v>UYGUNDUR.</v>
      </c>
      <c r="Q40" s="643"/>
    </row>
    <row r="41" spans="2:17" ht="12.75" customHeight="1">
      <c r="K41" s="897" t="s">
        <v>216</v>
      </c>
      <c r="L41" s="639"/>
      <c r="M41" s="639"/>
      <c r="N41" s="639"/>
      <c r="O41" s="641"/>
      <c r="P41" s="896" t="str">
        <f>'11-Muk. Hesapları'!AL481</f>
        <v>UYGUNDUR.</v>
      </c>
      <c r="Q41" s="643"/>
    </row>
    <row r="42" spans="2:17" ht="12.75" customHeight="1">
      <c r="B42" s="906" t="s">
        <v>951</v>
      </c>
      <c r="C42" s="639"/>
      <c r="D42" s="639"/>
      <c r="E42" s="639"/>
      <c r="F42" s="639"/>
      <c r="G42" s="639"/>
      <c r="H42" s="639"/>
      <c r="I42" s="641"/>
      <c r="K42" s="897" t="s">
        <v>217</v>
      </c>
      <c r="L42" s="639"/>
      <c r="M42" s="639"/>
      <c r="N42" s="639"/>
      <c r="O42" s="641"/>
      <c r="P42" s="896" t="str">
        <f>'11-Muk. Hesapları'!AQ487</f>
        <v>UYGUNDUR.</v>
      </c>
      <c r="Q42" s="643"/>
    </row>
    <row r="43" spans="2:17" ht="12.75" customHeight="1">
      <c r="B43" s="899" t="s">
        <v>256</v>
      </c>
      <c r="C43" s="639"/>
      <c r="D43" s="639"/>
      <c r="E43" s="639"/>
      <c r="F43" s="639"/>
      <c r="G43" s="641"/>
      <c r="H43" s="898" t="str">
        <f>'10-Trafik Hesap'!P56</f>
        <v>UYGUNDUR.</v>
      </c>
      <c r="I43" s="641"/>
      <c r="K43" s="897" t="s">
        <v>218</v>
      </c>
      <c r="L43" s="639"/>
      <c r="M43" s="639"/>
      <c r="N43" s="639"/>
      <c r="O43" s="641"/>
      <c r="P43" s="896" t="str">
        <f>'11-Muk. Hesapları'!AQ490</f>
        <v>UYGUNDUR.</v>
      </c>
      <c r="Q43" s="643"/>
    </row>
    <row r="44" spans="2:17" ht="12.75" customHeight="1">
      <c r="K44" s="897" t="s">
        <v>226</v>
      </c>
      <c r="L44" s="639"/>
      <c r="M44" s="639"/>
      <c r="N44" s="639"/>
      <c r="O44" s="641"/>
      <c r="P44" s="896" t="str">
        <f>'11-Muk. Hesapları'!AQ495</f>
        <v>UYGUNDUR.</v>
      </c>
      <c r="Q44" s="643"/>
    </row>
    <row r="45" spans="2:17" ht="12.75" customHeight="1">
      <c r="K45" s="897" t="s">
        <v>220</v>
      </c>
      <c r="L45" s="639"/>
      <c r="M45" s="639"/>
      <c r="N45" s="639"/>
      <c r="O45" s="641"/>
      <c r="P45" s="896" t="str">
        <f>'11-Muk. Hesapları'!AQ498</f>
        <v>UYGUNDUR.</v>
      </c>
      <c r="Q45" s="643"/>
    </row>
    <row r="46" spans="2:17" ht="12.75" customHeight="1"/>
    <row r="47" spans="2:17" ht="12.75" customHeight="1">
      <c r="B47" s="901"/>
      <c r="C47" s="639"/>
      <c r="D47" s="639"/>
      <c r="E47" s="639"/>
      <c r="F47" s="639"/>
      <c r="G47" s="639"/>
      <c r="H47" s="639"/>
      <c r="I47" s="639"/>
      <c r="J47" s="639"/>
      <c r="K47" s="639"/>
      <c r="L47" s="639"/>
      <c r="M47" s="639"/>
      <c r="N47" s="639"/>
      <c r="O47" s="639"/>
      <c r="P47" s="639"/>
      <c r="Q47" s="643"/>
    </row>
    <row r="48" spans="2:17" ht="12.75" customHeight="1"/>
    <row r="49" spans="2:17" ht="12.75" customHeight="1">
      <c r="B49" s="289" t="s">
        <v>952</v>
      </c>
      <c r="E49" s="287" t="s">
        <v>308</v>
      </c>
      <c r="F49" s="917"/>
      <c r="G49" s="639"/>
      <c r="H49" s="639"/>
      <c r="I49" s="641"/>
      <c r="J49" s="918"/>
      <c r="K49" s="919"/>
      <c r="L49" s="919"/>
      <c r="M49" s="919"/>
      <c r="N49" s="919"/>
      <c r="O49" s="919"/>
      <c r="P49" s="919"/>
      <c r="Q49" s="920"/>
    </row>
    <row r="50" spans="2:17" ht="12.75" customHeight="1">
      <c r="B50" s="926" t="s">
        <v>953</v>
      </c>
      <c r="C50" s="919"/>
      <c r="D50" s="656"/>
      <c r="E50" s="911" t="s">
        <v>308</v>
      </c>
      <c r="F50" s="924"/>
      <c r="G50" s="919"/>
      <c r="H50" s="919"/>
      <c r="I50" s="656"/>
      <c r="J50" s="921"/>
      <c r="K50" s="581"/>
      <c r="L50" s="581"/>
      <c r="M50" s="581"/>
      <c r="N50" s="581"/>
      <c r="O50" s="581"/>
      <c r="P50" s="581"/>
      <c r="Q50" s="650"/>
    </row>
    <row r="51" spans="2:17" ht="12.75" customHeight="1">
      <c r="B51" s="927"/>
      <c r="C51" s="651"/>
      <c r="D51" s="925"/>
      <c r="E51" s="912"/>
      <c r="F51" s="922"/>
      <c r="G51" s="651"/>
      <c r="H51" s="651"/>
      <c r="I51" s="925"/>
      <c r="J51" s="922"/>
      <c r="K51" s="651"/>
      <c r="L51" s="651"/>
      <c r="M51" s="651"/>
      <c r="N51" s="651"/>
      <c r="O51" s="651"/>
      <c r="P51" s="651"/>
      <c r="Q51" s="652"/>
    </row>
    <row r="52" spans="2:17" ht="12.75" customHeight="1"/>
    <row r="53" spans="2:17" ht="12.75" customHeight="1"/>
    <row r="54" spans="2:17" ht="12.75" customHeight="1"/>
    <row r="55" spans="2:17" ht="12.75" customHeight="1"/>
    <row r="56" spans="2:17" ht="12.75" customHeight="1"/>
    <row r="57" spans="2:17" ht="12.75" customHeight="1"/>
    <row r="58" spans="2:17" ht="12.75" customHeight="1"/>
    <row r="59" spans="2:17" ht="12.75" customHeight="1"/>
    <row r="60" spans="2:17" ht="12.75" customHeight="1"/>
    <row r="61" spans="2:17" ht="12.75" customHeight="1"/>
    <row r="62" spans="2:17" ht="12.75" customHeight="1"/>
    <row r="63" spans="2:17" ht="12.75" customHeight="1"/>
    <row r="64" spans="2:17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46">
    <mergeCell ref="F3:G3"/>
    <mergeCell ref="B18:I18"/>
    <mergeCell ref="B19:G19"/>
    <mergeCell ref="K26:O26"/>
    <mergeCell ref="B34:G34"/>
    <mergeCell ref="B28:G28"/>
    <mergeCell ref="B36:Q36"/>
    <mergeCell ref="P8:Q8"/>
    <mergeCell ref="B9:G9"/>
    <mergeCell ref="P23:Q23"/>
    <mergeCell ref="B20:G20"/>
    <mergeCell ref="H32:I32"/>
    <mergeCell ref="H7:I7"/>
    <mergeCell ref="K35:Q35"/>
    <mergeCell ref="M3:N3"/>
    <mergeCell ref="H27:I27"/>
    <mergeCell ref="P18:Q18"/>
    <mergeCell ref="B3:D3"/>
    <mergeCell ref="B30:I30"/>
    <mergeCell ref="H33:I33"/>
    <mergeCell ref="K28:O28"/>
    <mergeCell ref="H26:I26"/>
    <mergeCell ref="H3:I3"/>
    <mergeCell ref="H12:I12"/>
    <mergeCell ref="F49:I49"/>
    <mergeCell ref="P40:Q40"/>
    <mergeCell ref="B42:I42"/>
    <mergeCell ref="J49:Q51"/>
    <mergeCell ref="K42:O42"/>
    <mergeCell ref="B37:I37"/>
    <mergeCell ref="P42:Q42"/>
    <mergeCell ref="B27:G27"/>
    <mergeCell ref="B38:G38"/>
    <mergeCell ref="F50:I51"/>
    <mergeCell ref="B35:G35"/>
    <mergeCell ref="P28:Q28"/>
    <mergeCell ref="K31:O31"/>
    <mergeCell ref="B33:G33"/>
    <mergeCell ref="B50:D51"/>
    <mergeCell ref="K45:O45"/>
    <mergeCell ref="P34:Q34"/>
    <mergeCell ref="K8:O8"/>
    <mergeCell ref="K29:Q29"/>
    <mergeCell ref="P45:Q45"/>
    <mergeCell ref="H20:I20"/>
    <mergeCell ref="K15:O15"/>
    <mergeCell ref="P38:Q38"/>
    <mergeCell ref="B17:G17"/>
    <mergeCell ref="K24:O24"/>
    <mergeCell ref="P44:Q44"/>
    <mergeCell ref="P31:Q31"/>
    <mergeCell ref="H19:I19"/>
    <mergeCell ref="B23:I23"/>
    <mergeCell ref="B14:I14"/>
    <mergeCell ref="K44:O44"/>
    <mergeCell ref="P14:Q14"/>
    <mergeCell ref="H39:I39"/>
    <mergeCell ref="K37:Q37"/>
    <mergeCell ref="K41:O41"/>
    <mergeCell ref="K43:O43"/>
    <mergeCell ref="K25:O25"/>
    <mergeCell ref="P10:Q10"/>
    <mergeCell ref="K9:O9"/>
    <mergeCell ref="P25:Q25"/>
    <mergeCell ref="B13:G13"/>
    <mergeCell ref="K3:L3"/>
    <mergeCell ref="K18:O18"/>
    <mergeCell ref="H38:I38"/>
    <mergeCell ref="K33:O33"/>
    <mergeCell ref="H43:I43"/>
    <mergeCell ref="K7:Q7"/>
    <mergeCell ref="P41:Q41"/>
    <mergeCell ref="H31:I31"/>
    <mergeCell ref="H40:I40"/>
    <mergeCell ref="H21:I21"/>
    <mergeCell ref="B11:I11"/>
    <mergeCell ref="B40:G40"/>
    <mergeCell ref="P27:Q27"/>
    <mergeCell ref="B15:G15"/>
    <mergeCell ref="P17:Q17"/>
    <mergeCell ref="B29:I29"/>
    <mergeCell ref="H16:I16"/>
    <mergeCell ref="B32:G32"/>
    <mergeCell ref="B26:G26"/>
    <mergeCell ref="K12:O12"/>
    <mergeCell ref="B5:D5"/>
    <mergeCell ref="F5:Q5"/>
    <mergeCell ref="H10:I10"/>
    <mergeCell ref="H9:I9"/>
    <mergeCell ref="B2:Q2"/>
    <mergeCell ref="E50:E51"/>
    <mergeCell ref="H13:I13"/>
    <mergeCell ref="F4:Q4"/>
    <mergeCell ref="K17:O17"/>
    <mergeCell ref="P43:Q43"/>
    <mergeCell ref="B22:G22"/>
    <mergeCell ref="P15:Q15"/>
    <mergeCell ref="B31:G31"/>
    <mergeCell ref="H15:I15"/>
    <mergeCell ref="P24:Q24"/>
    <mergeCell ref="K10:O10"/>
    <mergeCell ref="P33:Q33"/>
    <mergeCell ref="B12:G12"/>
    <mergeCell ref="K19:O19"/>
    <mergeCell ref="B21:G21"/>
    <mergeCell ref="B39:G39"/>
    <mergeCell ref="K14:O14"/>
    <mergeCell ref="H28:I28"/>
    <mergeCell ref="K23:O23"/>
    <mergeCell ref="B25:G25"/>
    <mergeCell ref="B47:Q47"/>
    <mergeCell ref="P19:Q19"/>
    <mergeCell ref="H22:I22"/>
    <mergeCell ref="B6:Q6"/>
    <mergeCell ref="K40:O40"/>
    <mergeCell ref="H17:I17"/>
    <mergeCell ref="B4:D4"/>
    <mergeCell ref="K21:Q21"/>
    <mergeCell ref="P32:Q32"/>
    <mergeCell ref="K27:O27"/>
    <mergeCell ref="P13:Q13"/>
    <mergeCell ref="B7:G7"/>
    <mergeCell ref="K39:O39"/>
    <mergeCell ref="B16:G16"/>
    <mergeCell ref="P12:Q12"/>
    <mergeCell ref="K22:Q22"/>
    <mergeCell ref="B24:I24"/>
    <mergeCell ref="K38:O38"/>
    <mergeCell ref="K13:O13"/>
    <mergeCell ref="K20:O20"/>
    <mergeCell ref="H25:I25"/>
    <mergeCell ref="H34:I34"/>
    <mergeCell ref="B10:G10"/>
    <mergeCell ref="K32:O32"/>
    <mergeCell ref="K30:Q30"/>
    <mergeCell ref="B8:I8"/>
    <mergeCell ref="P39:Q39"/>
    <mergeCell ref="P9:Q9"/>
    <mergeCell ref="K34:O34"/>
    <mergeCell ref="P26:Q26"/>
    <mergeCell ref="H35:I35"/>
    <mergeCell ref="P20:Q20"/>
    <mergeCell ref="B43:G43"/>
    <mergeCell ref="K11:O11"/>
    <mergeCell ref="K16:Q16"/>
    <mergeCell ref="P11:Q11"/>
  </mergeCells>
  <conditionalFormatting sqref="H7">
    <cfRule type="expression" dxfId="28" priority="3">
      <formula>H7="UYGUN DEĞİLDİR."</formula>
    </cfRule>
  </conditionalFormatting>
  <conditionalFormatting sqref="H9:H10">
    <cfRule type="expression" dxfId="27" priority="4">
      <formula>H9="UYGUN DEĞİLDİR."</formula>
    </cfRule>
  </conditionalFormatting>
  <conditionalFormatting sqref="H12:H13">
    <cfRule type="expression" dxfId="26" priority="7">
      <formula>H12="UYGUN DEĞİLDİR."</formula>
    </cfRule>
  </conditionalFormatting>
  <conditionalFormatting sqref="H15:H17">
    <cfRule type="expression" dxfId="25" priority="10">
      <formula>H15="UYGUN DEĞİLDİR."</formula>
    </cfRule>
  </conditionalFormatting>
  <conditionalFormatting sqref="H19">
    <cfRule type="expression" dxfId="24" priority="52">
      <formula>H19="UYGUN DEĞİLDİR."</formula>
    </cfRule>
  </conditionalFormatting>
  <conditionalFormatting sqref="H20:H22">
    <cfRule type="expression" dxfId="23" priority="14">
      <formula>H20="UYGUN DEĞİLDİR."</formula>
    </cfRule>
  </conditionalFormatting>
  <conditionalFormatting sqref="H25:H28">
    <cfRule type="expression" dxfId="22" priority="32">
      <formula>H25="UYGUN DEĞİLDİR."</formula>
    </cfRule>
  </conditionalFormatting>
  <conditionalFormatting sqref="H31:H35">
    <cfRule type="expression" dxfId="21" priority="44">
      <formula>H31="UYGUN DEĞİLDİR."</formula>
    </cfRule>
  </conditionalFormatting>
  <conditionalFormatting sqref="H38:H40">
    <cfRule type="expression" dxfId="20" priority="53">
      <formula>H38="UYGUN DEĞİLDİR."</formula>
    </cfRule>
    <cfRule type="containsText" dxfId="19" priority="54" operator="containsText" text="UYGUNDUR">
      <formula>NOT(ISERROR(SEARCH("UYGUNDUR",H38)))</formula>
    </cfRule>
  </conditionalFormatting>
  <conditionalFormatting sqref="H43">
    <cfRule type="expression" dxfId="18" priority="59">
      <formula>H43="UYGUN DEĞİLDİR."</formula>
    </cfRule>
    <cfRule type="containsText" dxfId="17" priority="60" operator="containsText" text="UYGUNDUR">
      <formula>NOT(ISERROR(SEARCH("UYGUNDUR",H43)))</formula>
    </cfRule>
  </conditionalFormatting>
  <conditionalFormatting sqref="H7:I7">
    <cfRule type="containsText" dxfId="16" priority="2" operator="containsText" text="UYGUNDUR">
      <formula>NOT(ISERROR(SEARCH("UYGUNDUR",H7)))</formula>
    </cfRule>
  </conditionalFormatting>
  <conditionalFormatting sqref="H9:I10">
    <cfRule type="containsText" dxfId="15" priority="6" operator="containsText" text="UYGUNDUR">
      <formula>NOT(ISERROR(SEARCH("UYGUNDUR",H9)))</formula>
    </cfRule>
  </conditionalFormatting>
  <conditionalFormatting sqref="H12:I13">
    <cfRule type="containsText" dxfId="14" priority="9" operator="containsText" text="UYGUNDUR">
      <formula>NOT(ISERROR(SEARCH("UYGUNDUR",H12)))</formula>
    </cfRule>
  </conditionalFormatting>
  <conditionalFormatting sqref="H15:I17">
    <cfRule type="containsText" dxfId="13" priority="13" operator="containsText" text="UYGUNDUR">
      <formula>NOT(ISERROR(SEARCH("UYGUNDUR",H15)))</formula>
    </cfRule>
  </conditionalFormatting>
  <conditionalFormatting sqref="H19:I22">
    <cfRule type="containsText" dxfId="12" priority="17" operator="containsText" text="UYGUNDUR">
      <formula>NOT(ISERROR(SEARCH("UYGUNDUR",H19)))</formula>
    </cfRule>
  </conditionalFormatting>
  <conditionalFormatting sqref="H25:I28">
    <cfRule type="containsText" dxfId="11" priority="36" operator="containsText" text="UYGUNDUR">
      <formula>NOT(ISERROR(SEARCH("UYGUNDUR",H25)))</formula>
    </cfRule>
  </conditionalFormatting>
  <conditionalFormatting sqref="H31:I35">
    <cfRule type="containsText" dxfId="10" priority="49" operator="containsText" text="UYGUNDUR">
      <formula>NOT(ISERROR(SEARCH("UYGUNDUR",H31)))</formula>
    </cfRule>
  </conditionalFormatting>
  <conditionalFormatting sqref="P8:P15">
    <cfRule type="expression" dxfId="9" priority="18">
      <formula>P8="UYGUN DEĞİLDİR."</formula>
    </cfRule>
  </conditionalFormatting>
  <conditionalFormatting sqref="P17:P20">
    <cfRule type="expression" dxfId="8" priority="27">
      <formula>P17="UYGUN DEĞİLDİR."</formula>
    </cfRule>
  </conditionalFormatting>
  <conditionalFormatting sqref="P23:P28">
    <cfRule type="expression" dxfId="7" priority="37">
      <formula>P23="UYGUN DEĞİLDİR."</formula>
    </cfRule>
  </conditionalFormatting>
  <conditionalFormatting sqref="P31:P34">
    <cfRule type="expression" dxfId="6" priority="50">
      <formula>P31="UYGUN DEĞİLDİR."</formula>
    </cfRule>
  </conditionalFormatting>
  <conditionalFormatting sqref="P38:P45">
    <cfRule type="expression" dxfId="5" priority="61">
      <formula>P38="UYGUN DEĞİLDİR."</formula>
    </cfRule>
    <cfRule type="containsText" dxfId="4" priority="62" operator="containsText" text="UYGUNDUR">
      <formula>NOT(ISERROR(SEARCH("UYGUNDUR",P38)))</formula>
    </cfRule>
  </conditionalFormatting>
  <conditionalFormatting sqref="P8:Q15">
    <cfRule type="containsText" dxfId="3" priority="26" operator="containsText" text="UYGUNDUR">
      <formula>NOT(ISERROR(SEARCH("UYGUNDUR",P8)))</formula>
    </cfRule>
  </conditionalFormatting>
  <conditionalFormatting sqref="P17:Q20">
    <cfRule type="containsText" dxfId="2" priority="31" operator="containsText" text="UYGUNDUR">
      <formula>NOT(ISERROR(SEARCH("UYGUNDUR",P17)))</formula>
    </cfRule>
  </conditionalFormatting>
  <conditionalFormatting sqref="P23:Q28">
    <cfRule type="containsText" dxfId="1" priority="43" operator="containsText" text="UYGUNDUR">
      <formula>NOT(ISERROR(SEARCH("UYGUNDUR",P23)))</formula>
    </cfRule>
  </conditionalFormatting>
  <conditionalFormatting sqref="P31:Q32">
    <cfRule type="containsText" dxfId="0" priority="51" operator="containsText" text="UYGUNDUR">
      <formula>NOT(ISERROR(SEARCH("UYGUNDUR",P31)))</formula>
    </cfRule>
  </conditionalFormatting>
  <pageMargins left="0.70833333333333304" right="0.70833333333333304" top="0.15763888888888899" bottom="0.19652777777777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00"/>
  <sheetViews>
    <sheetView zoomScaleNormal="100" workbookViewId="0">
      <selection activeCell="F7" sqref="F7"/>
    </sheetView>
  </sheetViews>
  <sheetFormatPr defaultColWidth="14.42578125" defaultRowHeight="12.75"/>
  <cols>
    <col min="1" max="1" width="12.7109375" style="1" customWidth="1"/>
    <col min="2" max="2" width="4.7109375" style="1" customWidth="1"/>
    <col min="3" max="3" width="10.5703125" style="1" customWidth="1"/>
    <col min="4" max="4" width="12.42578125" style="1" customWidth="1"/>
    <col min="5" max="5" width="9.5703125" style="1" customWidth="1"/>
    <col min="6" max="6" width="11.28515625" style="1" customWidth="1"/>
    <col min="7" max="7" width="9.28515625" style="1" customWidth="1"/>
    <col min="8" max="8" width="7.7109375" style="1" customWidth="1"/>
    <col min="9" max="9" width="17" style="1" customWidth="1"/>
    <col min="10" max="10" width="13.42578125" style="1" customWidth="1"/>
    <col min="11" max="11" width="12.28515625" style="1" customWidth="1"/>
    <col min="12" max="12" width="14" style="1" customWidth="1"/>
    <col min="13" max="13" width="13.42578125" style="1" customWidth="1"/>
    <col min="14" max="14" width="15.7109375" style="1" customWidth="1"/>
    <col min="15" max="16" width="14.42578125" style="290" customWidth="1"/>
  </cols>
  <sheetData>
    <row r="1" spans="1:33" ht="12.75" customHeight="1">
      <c r="A1" s="291" t="s">
        <v>954</v>
      </c>
      <c r="B1" s="291" t="s">
        <v>955</v>
      </c>
      <c r="C1" s="291" t="s">
        <v>956</v>
      </c>
      <c r="D1" s="291" t="s">
        <v>957</v>
      </c>
      <c r="E1" s="291" t="s">
        <v>86</v>
      </c>
      <c r="F1" s="291" t="s">
        <v>958</v>
      </c>
      <c r="G1" s="291" t="s">
        <v>959</v>
      </c>
      <c r="H1" s="292" t="s">
        <v>960</v>
      </c>
      <c r="I1" s="292" t="s">
        <v>961</v>
      </c>
      <c r="J1" s="292" t="s">
        <v>962</v>
      </c>
      <c r="K1" s="292" t="s">
        <v>963</v>
      </c>
      <c r="L1" s="292" t="s">
        <v>964</v>
      </c>
      <c r="M1" s="292" t="s">
        <v>965</v>
      </c>
      <c r="N1" s="291" t="s">
        <v>966</v>
      </c>
      <c r="P1" s="292" t="s">
        <v>967</v>
      </c>
      <c r="Q1" s="292" t="s">
        <v>968</v>
      </c>
      <c r="R1" s="292" t="s">
        <v>969</v>
      </c>
      <c r="S1" s="292" t="s">
        <v>970</v>
      </c>
      <c r="U1" s="292" t="s">
        <v>971</v>
      </c>
      <c r="V1" s="292" t="s">
        <v>972</v>
      </c>
      <c r="W1" s="292" t="s">
        <v>973</v>
      </c>
      <c r="X1" s="292" t="s">
        <v>974</v>
      </c>
      <c r="Y1" s="292" t="s">
        <v>975</v>
      </c>
      <c r="AA1" s="292" t="s">
        <v>976</v>
      </c>
      <c r="AC1" s="292" t="s">
        <v>977</v>
      </c>
      <c r="AD1" s="292" t="s">
        <v>75</v>
      </c>
      <c r="AE1" s="292" t="s">
        <v>76</v>
      </c>
      <c r="AG1" s="292" t="s">
        <v>978</v>
      </c>
    </row>
    <row r="2" spans="1:33" ht="12.75" customHeight="1">
      <c r="A2" s="293">
        <v>180</v>
      </c>
      <c r="B2" s="293">
        <v>2</v>
      </c>
      <c r="C2" s="293">
        <v>350</v>
      </c>
      <c r="D2" s="294">
        <f t="shared" ref="D2:D18" si="0">A2/2+C2</f>
        <v>440</v>
      </c>
      <c r="E2" s="293">
        <v>2005</v>
      </c>
      <c r="F2" s="295">
        <v>0.63</v>
      </c>
      <c r="G2" s="293">
        <v>700</v>
      </c>
      <c r="H2" s="293">
        <v>2000</v>
      </c>
      <c r="I2" s="296" t="s">
        <v>979</v>
      </c>
      <c r="J2" s="293" t="s">
        <v>107</v>
      </c>
      <c r="K2" s="293" t="s">
        <v>102</v>
      </c>
      <c r="L2" s="293">
        <v>205</v>
      </c>
      <c r="M2" s="293">
        <v>165</v>
      </c>
      <c r="N2" s="293" t="s">
        <v>980</v>
      </c>
      <c r="P2" s="293">
        <v>370</v>
      </c>
      <c r="Q2" s="293">
        <v>165</v>
      </c>
      <c r="R2" s="293">
        <v>205</v>
      </c>
      <c r="U2" s="293"/>
      <c r="V2" s="293"/>
      <c r="W2" s="293"/>
      <c r="X2" s="293"/>
      <c r="Y2" s="293"/>
      <c r="AA2" s="293"/>
      <c r="AC2" s="293"/>
      <c r="AD2" s="293"/>
      <c r="AE2" s="293"/>
    </row>
    <row r="3" spans="1:33" ht="12.75" customHeight="1">
      <c r="A3" s="293">
        <v>225</v>
      </c>
      <c r="B3" s="293">
        <v>3</v>
      </c>
      <c r="C3" s="293">
        <v>400</v>
      </c>
      <c r="D3" s="294">
        <f t="shared" si="0"/>
        <v>512.5</v>
      </c>
      <c r="E3" s="293">
        <v>2006</v>
      </c>
      <c r="F3" s="295">
        <v>0.8</v>
      </c>
      <c r="G3" s="293">
        <v>800</v>
      </c>
      <c r="H3" s="293">
        <v>2000</v>
      </c>
      <c r="I3" s="296" t="s">
        <v>981</v>
      </c>
      <c r="J3" s="293" t="s">
        <v>982</v>
      </c>
      <c r="K3" s="293" t="s">
        <v>983</v>
      </c>
      <c r="L3" s="293">
        <v>205</v>
      </c>
      <c r="M3" s="293">
        <v>165</v>
      </c>
      <c r="N3" s="296" t="s">
        <v>984</v>
      </c>
      <c r="P3" s="293">
        <v>440</v>
      </c>
      <c r="Q3" s="293">
        <v>195</v>
      </c>
      <c r="R3" s="293">
        <v>244</v>
      </c>
      <c r="U3" s="293"/>
      <c r="V3" s="293"/>
      <c r="W3" s="293"/>
      <c r="X3" s="293"/>
      <c r="Y3" s="293"/>
      <c r="AA3" s="293"/>
      <c r="AC3" s="293"/>
      <c r="AD3" s="293"/>
      <c r="AE3" s="293"/>
    </row>
    <row r="4" spans="1:33" ht="12.75" customHeight="1">
      <c r="A4" s="293">
        <v>300</v>
      </c>
      <c r="B4" s="293">
        <v>4</v>
      </c>
      <c r="C4" s="293">
        <v>500</v>
      </c>
      <c r="D4" s="294">
        <f t="shared" si="0"/>
        <v>650</v>
      </c>
      <c r="E4" s="293">
        <v>2007</v>
      </c>
      <c r="F4" s="295">
        <v>1</v>
      </c>
      <c r="G4" s="293">
        <v>900</v>
      </c>
      <c r="H4" s="293">
        <v>2000</v>
      </c>
      <c r="I4" s="296" t="s">
        <v>984</v>
      </c>
      <c r="J4" s="293" t="s">
        <v>985</v>
      </c>
      <c r="K4" s="293" t="s">
        <v>101</v>
      </c>
      <c r="L4" s="293">
        <v>205</v>
      </c>
      <c r="M4" s="293">
        <v>165</v>
      </c>
      <c r="N4" s="296" t="s">
        <v>986</v>
      </c>
      <c r="P4" s="293">
        <v>520</v>
      </c>
      <c r="Q4" s="293">
        <v>230</v>
      </c>
      <c r="R4" s="293">
        <v>288</v>
      </c>
      <c r="U4" s="293"/>
      <c r="V4" s="293"/>
      <c r="W4" s="293"/>
      <c r="X4" s="293"/>
      <c r="Y4" s="293"/>
      <c r="AA4" s="293"/>
      <c r="AC4" s="293"/>
      <c r="AD4" s="293"/>
      <c r="AE4" s="293"/>
    </row>
    <row r="5" spans="1:33" ht="12.75" customHeight="1">
      <c r="A5" s="293">
        <v>320</v>
      </c>
      <c r="B5" s="293">
        <v>4</v>
      </c>
      <c r="C5" s="293">
        <v>500</v>
      </c>
      <c r="D5" s="294">
        <f t="shared" si="0"/>
        <v>660</v>
      </c>
      <c r="E5" s="293">
        <v>2008</v>
      </c>
      <c r="F5" s="295">
        <v>1.2</v>
      </c>
      <c r="G5" s="293">
        <v>1000</v>
      </c>
      <c r="H5" s="293">
        <v>2000</v>
      </c>
      <c r="I5" s="296" t="s">
        <v>986</v>
      </c>
      <c r="J5" s="293"/>
      <c r="K5" s="293" t="s">
        <v>987</v>
      </c>
      <c r="L5" s="293">
        <v>205</v>
      </c>
      <c r="M5" s="293">
        <v>165</v>
      </c>
      <c r="N5" s="296" t="s">
        <v>91</v>
      </c>
      <c r="U5" s="293"/>
      <c r="V5" s="293"/>
      <c r="W5" s="293"/>
      <c r="X5" s="293"/>
      <c r="Y5" s="293"/>
      <c r="AA5" s="293"/>
      <c r="AC5" s="293"/>
      <c r="AD5" s="293"/>
      <c r="AE5" s="293"/>
    </row>
    <row r="6" spans="1:33" ht="12.75" customHeight="1">
      <c r="A6" s="293">
        <v>375</v>
      </c>
      <c r="B6" s="293">
        <v>5</v>
      </c>
      <c r="C6" s="293">
        <v>500</v>
      </c>
      <c r="D6" s="294">
        <f t="shared" si="0"/>
        <v>687.5</v>
      </c>
      <c r="E6" s="293">
        <v>2009</v>
      </c>
      <c r="F6" s="295">
        <v>1.6</v>
      </c>
      <c r="G6" s="293">
        <v>1100</v>
      </c>
      <c r="H6" s="293">
        <v>2100</v>
      </c>
      <c r="I6" s="296" t="s">
        <v>91</v>
      </c>
      <c r="J6" s="293"/>
      <c r="K6" s="293" t="s">
        <v>988</v>
      </c>
      <c r="L6" s="293">
        <v>290</v>
      </c>
      <c r="M6" s="293">
        <v>230</v>
      </c>
      <c r="N6" s="297"/>
      <c r="U6" s="293"/>
      <c r="V6" s="293"/>
      <c r="W6" s="293"/>
      <c r="X6" s="293"/>
      <c r="Y6" s="293"/>
      <c r="AA6" s="293"/>
      <c r="AC6" s="293"/>
      <c r="AD6" s="293"/>
      <c r="AE6" s="293"/>
    </row>
    <row r="7" spans="1:33" ht="12.75" customHeight="1">
      <c r="A7" s="293">
        <v>400</v>
      </c>
      <c r="B7" s="293">
        <v>5</v>
      </c>
      <c r="C7" s="293">
        <v>500</v>
      </c>
      <c r="D7" s="294">
        <f t="shared" si="0"/>
        <v>700</v>
      </c>
      <c r="E7" s="293">
        <v>2010</v>
      </c>
      <c r="F7" s="295">
        <v>2</v>
      </c>
      <c r="G7" s="293">
        <v>1200</v>
      </c>
      <c r="H7" s="293">
        <v>2100</v>
      </c>
      <c r="I7" s="293"/>
      <c r="J7" s="293"/>
      <c r="K7" s="293" t="s">
        <v>989</v>
      </c>
      <c r="L7" s="293">
        <v>290</v>
      </c>
      <c r="M7" s="293">
        <v>230</v>
      </c>
      <c r="N7" s="297"/>
      <c r="U7" s="293"/>
      <c r="V7" s="293"/>
      <c r="W7" s="293"/>
      <c r="X7" s="293"/>
      <c r="Y7" s="293"/>
      <c r="AA7" s="293"/>
      <c r="AC7" s="293"/>
      <c r="AD7" s="293"/>
      <c r="AE7" s="293"/>
    </row>
    <row r="8" spans="1:33" ht="12.75" customHeight="1">
      <c r="A8" s="293">
        <v>450</v>
      </c>
      <c r="B8" s="293">
        <v>6</v>
      </c>
      <c r="C8" s="293">
        <v>600</v>
      </c>
      <c r="D8" s="294">
        <f t="shared" si="0"/>
        <v>825</v>
      </c>
      <c r="E8" s="293">
        <v>2011</v>
      </c>
      <c r="F8" s="295">
        <v>2.5</v>
      </c>
      <c r="G8" s="293">
        <v>1300</v>
      </c>
      <c r="H8" s="293">
        <v>2100</v>
      </c>
      <c r="I8" s="293"/>
      <c r="J8" s="293"/>
      <c r="K8" s="293"/>
      <c r="L8" s="297"/>
      <c r="M8" s="297"/>
      <c r="N8" s="297"/>
      <c r="U8" s="293"/>
      <c r="V8" s="293"/>
      <c r="W8" s="293"/>
      <c r="X8" s="293"/>
      <c r="Y8" s="293"/>
      <c r="AA8" s="293"/>
      <c r="AC8" s="293"/>
      <c r="AD8" s="293"/>
      <c r="AE8" s="293"/>
    </row>
    <row r="9" spans="1:33" ht="12.75" customHeight="1">
      <c r="A9" s="293">
        <v>525</v>
      </c>
      <c r="B9" s="293">
        <v>7</v>
      </c>
      <c r="C9" s="293">
        <v>600</v>
      </c>
      <c r="D9" s="294">
        <f t="shared" si="0"/>
        <v>862.5</v>
      </c>
      <c r="E9" s="293">
        <v>2012</v>
      </c>
      <c r="F9" s="295">
        <v>3</v>
      </c>
      <c r="G9" s="293">
        <v>1400</v>
      </c>
      <c r="H9" s="293">
        <v>2100</v>
      </c>
      <c r="I9" s="293"/>
      <c r="J9" s="293"/>
      <c r="K9" s="293"/>
      <c r="L9" s="297"/>
      <c r="M9" s="297"/>
      <c r="N9" s="297"/>
      <c r="U9" s="293"/>
      <c r="V9" s="293"/>
      <c r="W9" s="293"/>
      <c r="X9" s="293"/>
      <c r="Y9" s="293"/>
      <c r="AA9" s="293"/>
      <c r="AC9" s="293"/>
      <c r="AD9" s="293"/>
      <c r="AE9" s="293"/>
    </row>
    <row r="10" spans="1:33" ht="12.75" customHeight="1">
      <c r="A10" s="293">
        <v>600</v>
      </c>
      <c r="B10" s="293">
        <v>8</v>
      </c>
      <c r="C10" s="293">
        <v>650</v>
      </c>
      <c r="D10" s="294">
        <f t="shared" si="0"/>
        <v>950</v>
      </c>
      <c r="E10" s="293">
        <v>2013</v>
      </c>
      <c r="F10" s="295">
        <v>4</v>
      </c>
      <c r="G10" s="297"/>
      <c r="H10" s="297"/>
      <c r="I10" s="293"/>
      <c r="J10" s="293"/>
      <c r="K10" s="293"/>
      <c r="L10" s="297"/>
      <c r="M10" s="297"/>
      <c r="N10" s="297"/>
      <c r="U10" s="293"/>
      <c r="V10" s="293"/>
      <c r="W10" s="293"/>
      <c r="X10" s="293"/>
      <c r="Y10" s="293"/>
      <c r="AA10" s="293"/>
      <c r="AC10" s="293"/>
      <c r="AD10" s="293"/>
      <c r="AE10" s="293"/>
    </row>
    <row r="11" spans="1:33" ht="12.75" customHeight="1">
      <c r="A11" s="293">
        <v>630</v>
      </c>
      <c r="B11" s="293">
        <v>8</v>
      </c>
      <c r="C11" s="293">
        <v>650</v>
      </c>
      <c r="D11" s="294">
        <f t="shared" si="0"/>
        <v>965</v>
      </c>
      <c r="E11" s="293">
        <v>2014</v>
      </c>
      <c r="F11" s="295">
        <v>5</v>
      </c>
      <c r="G11" s="293"/>
      <c r="H11" s="293"/>
      <c r="I11" s="293"/>
      <c r="J11" s="293"/>
      <c r="K11" s="293"/>
      <c r="L11" s="297"/>
      <c r="M11" s="297"/>
      <c r="N11" s="297"/>
      <c r="U11" s="293"/>
      <c r="V11" s="293"/>
      <c r="W11" s="293"/>
      <c r="X11" s="293"/>
      <c r="Y11" s="293"/>
      <c r="AA11" s="293"/>
      <c r="AC11" s="293"/>
      <c r="AD11" s="293"/>
      <c r="AE11" s="293"/>
    </row>
    <row r="12" spans="1:33" ht="12.75" customHeight="1">
      <c r="A12" s="293">
        <v>675</v>
      </c>
      <c r="B12" s="293">
        <v>9</v>
      </c>
      <c r="C12" s="293">
        <v>700</v>
      </c>
      <c r="D12" s="294">
        <f t="shared" si="0"/>
        <v>1037.5</v>
      </c>
      <c r="E12" s="293">
        <v>2015</v>
      </c>
      <c r="F12" s="295">
        <v>6</v>
      </c>
      <c r="G12" s="293"/>
      <c r="H12" s="293"/>
      <c r="I12" s="293"/>
      <c r="J12" s="293"/>
      <c r="K12" s="293"/>
      <c r="L12" s="297"/>
      <c r="M12" s="297"/>
      <c r="N12" s="297"/>
      <c r="U12" s="293"/>
      <c r="V12" s="293"/>
      <c r="W12" s="293"/>
      <c r="X12" s="293"/>
      <c r="Y12" s="293"/>
      <c r="AA12" s="293"/>
      <c r="AC12" s="293"/>
      <c r="AD12" s="293"/>
      <c r="AE12" s="293"/>
    </row>
    <row r="13" spans="1:33" ht="12.75" customHeight="1">
      <c r="A13" s="293">
        <v>750</v>
      </c>
      <c r="B13" s="293">
        <v>10</v>
      </c>
      <c r="C13" s="293">
        <v>700</v>
      </c>
      <c r="D13" s="294">
        <f t="shared" si="0"/>
        <v>1075</v>
      </c>
      <c r="E13" s="293">
        <v>2016</v>
      </c>
      <c r="F13" s="297"/>
      <c r="G13" s="293"/>
      <c r="H13" s="293"/>
      <c r="I13" s="293"/>
      <c r="J13" s="293"/>
      <c r="K13" s="293"/>
      <c r="L13" s="297"/>
      <c r="M13" s="297"/>
      <c r="N13" s="297"/>
      <c r="U13" s="293"/>
      <c r="V13" s="293"/>
      <c r="W13" s="293"/>
      <c r="X13" s="293"/>
      <c r="Y13" s="293"/>
      <c r="AA13" s="293"/>
      <c r="AC13" s="293"/>
      <c r="AD13" s="293"/>
      <c r="AE13" s="293"/>
    </row>
    <row r="14" spans="1:33" ht="12.75" customHeight="1">
      <c r="A14" s="293">
        <v>800</v>
      </c>
      <c r="B14" s="293">
        <v>10</v>
      </c>
      <c r="C14" s="293">
        <v>700</v>
      </c>
      <c r="D14" s="294">
        <f t="shared" si="0"/>
        <v>1100</v>
      </c>
      <c r="E14" s="293">
        <v>2017</v>
      </c>
      <c r="F14" s="295"/>
      <c r="G14" s="293"/>
      <c r="H14" s="293"/>
      <c r="I14" s="293"/>
      <c r="J14" s="293"/>
      <c r="K14" s="293"/>
      <c r="L14" s="297"/>
      <c r="M14" s="297"/>
      <c r="N14" s="297"/>
      <c r="U14" s="293"/>
      <c r="V14" s="293"/>
      <c r="W14" s="293"/>
      <c r="X14" s="293"/>
      <c r="Y14" s="293"/>
      <c r="AA14" s="293"/>
      <c r="AC14" s="293"/>
      <c r="AD14" s="293"/>
      <c r="AE14" s="293"/>
    </row>
    <row r="15" spans="1:33" ht="12.75" customHeight="1">
      <c r="A15" s="293">
        <v>825</v>
      </c>
      <c r="B15" s="293">
        <v>11</v>
      </c>
      <c r="C15" s="293">
        <v>750</v>
      </c>
      <c r="D15" s="294">
        <f t="shared" si="0"/>
        <v>1162.5</v>
      </c>
      <c r="E15" s="293">
        <v>2018</v>
      </c>
      <c r="F15" s="295"/>
      <c r="G15" s="293"/>
      <c r="H15" s="293"/>
      <c r="I15" s="293"/>
      <c r="J15" s="293"/>
      <c r="K15" s="293"/>
      <c r="L15" s="297"/>
      <c r="M15" s="297"/>
      <c r="N15" s="297"/>
      <c r="U15" s="293"/>
      <c r="V15" s="293"/>
      <c r="W15" s="293"/>
      <c r="X15" s="293"/>
      <c r="Y15" s="293"/>
      <c r="AA15" s="293"/>
      <c r="AC15" s="293"/>
      <c r="AD15" s="293"/>
      <c r="AE15" s="293"/>
    </row>
    <row r="16" spans="1:33" ht="12.75" customHeight="1">
      <c r="A16" s="293">
        <v>900</v>
      </c>
      <c r="B16" s="293">
        <v>12</v>
      </c>
      <c r="C16" s="293">
        <v>800</v>
      </c>
      <c r="D16" s="294">
        <f t="shared" si="0"/>
        <v>1250</v>
      </c>
      <c r="E16" s="293">
        <v>2019</v>
      </c>
      <c r="F16" s="295"/>
      <c r="G16" s="293"/>
      <c r="H16" s="293"/>
      <c r="I16" s="293"/>
      <c r="J16" s="293"/>
      <c r="K16" s="293"/>
      <c r="L16" s="297"/>
      <c r="M16" s="297"/>
      <c r="N16" s="297"/>
      <c r="U16" s="293"/>
      <c r="V16" s="293"/>
      <c r="W16" s="293"/>
      <c r="X16" s="293"/>
      <c r="Y16" s="293"/>
      <c r="AA16" s="293"/>
      <c r="AC16" s="293"/>
      <c r="AD16" s="293"/>
      <c r="AE16" s="293"/>
    </row>
    <row r="17" spans="1:31" ht="12.75" customHeight="1">
      <c r="A17" s="293">
        <v>975</v>
      </c>
      <c r="B17" s="293">
        <v>13</v>
      </c>
      <c r="C17" s="293">
        <v>800</v>
      </c>
      <c r="D17" s="294">
        <f t="shared" si="0"/>
        <v>1287.5</v>
      </c>
      <c r="E17" s="293">
        <v>2020</v>
      </c>
      <c r="F17" s="295"/>
      <c r="G17" s="293"/>
      <c r="H17" s="293"/>
      <c r="I17" s="293"/>
      <c r="J17" s="293"/>
      <c r="K17" s="293"/>
      <c r="L17" s="297"/>
      <c r="M17" s="297"/>
      <c r="N17" s="297"/>
      <c r="U17" s="293"/>
      <c r="V17" s="293"/>
      <c r="W17" s="293"/>
      <c r="X17" s="293"/>
      <c r="Y17" s="293"/>
      <c r="AA17" s="293"/>
      <c r="AC17" s="293"/>
      <c r="AD17" s="293"/>
      <c r="AE17" s="293"/>
    </row>
    <row r="18" spans="1:31" ht="12.75" customHeight="1">
      <c r="A18" s="293">
        <v>1000</v>
      </c>
      <c r="B18" s="298">
        <v>13</v>
      </c>
      <c r="C18" s="293">
        <v>850</v>
      </c>
      <c r="D18" s="294">
        <f t="shared" si="0"/>
        <v>1350</v>
      </c>
      <c r="E18" s="293">
        <v>2021</v>
      </c>
      <c r="F18" s="295"/>
      <c r="G18" s="293"/>
      <c r="H18" s="293"/>
      <c r="I18" s="293"/>
      <c r="J18" s="293"/>
      <c r="K18" s="293"/>
      <c r="L18" s="297"/>
      <c r="M18" s="297"/>
      <c r="N18" s="297"/>
      <c r="U18" s="293"/>
      <c r="V18" s="293"/>
      <c r="W18" s="293"/>
      <c r="X18" s="293"/>
      <c r="Y18" s="293"/>
      <c r="AA18" s="293"/>
      <c r="AC18" s="293"/>
      <c r="AD18" s="293"/>
      <c r="AE18" s="293"/>
    </row>
    <row r="19" spans="1:31" ht="12.75" customHeight="1">
      <c r="A19" s="299">
        <v>1125</v>
      </c>
      <c r="B19" s="293">
        <v>15</v>
      </c>
      <c r="C19" s="297"/>
      <c r="D19" s="297"/>
      <c r="E19" s="293">
        <v>2022</v>
      </c>
      <c r="F19" s="297"/>
      <c r="G19" s="297"/>
      <c r="H19" s="297"/>
      <c r="I19" s="297"/>
      <c r="J19" s="297"/>
      <c r="K19" s="297"/>
      <c r="L19" s="297"/>
      <c r="M19" s="297"/>
      <c r="N19" s="297"/>
      <c r="U19" s="293"/>
      <c r="V19" s="293"/>
      <c r="W19" s="293"/>
      <c r="X19" s="293"/>
      <c r="Y19" s="293"/>
      <c r="AA19" s="293"/>
      <c r="AC19" s="293"/>
      <c r="AD19" s="293"/>
      <c r="AE19" s="293"/>
    </row>
    <row r="20" spans="1:31" ht="12.75" customHeight="1">
      <c r="A20" s="299">
        <v>1200</v>
      </c>
      <c r="B20" s="293">
        <v>16</v>
      </c>
      <c r="C20" s="297"/>
      <c r="D20" s="297"/>
      <c r="E20" s="293">
        <v>2023</v>
      </c>
      <c r="F20" s="297"/>
      <c r="G20" s="297"/>
      <c r="H20" s="297"/>
      <c r="I20" s="297"/>
      <c r="J20" s="297"/>
      <c r="K20" s="297"/>
      <c r="L20" s="297"/>
      <c r="M20" s="297"/>
      <c r="N20" s="297"/>
      <c r="U20" s="293"/>
      <c r="V20" s="293"/>
      <c r="W20" s="293"/>
      <c r="X20" s="293"/>
      <c r="Y20" s="293"/>
      <c r="AA20" s="293"/>
      <c r="AC20" s="293"/>
      <c r="AD20" s="293"/>
      <c r="AE20" s="293"/>
    </row>
    <row r="21" spans="1:31" ht="12.75" customHeight="1">
      <c r="A21" s="300">
        <v>1275</v>
      </c>
      <c r="B21" s="293">
        <v>17</v>
      </c>
      <c r="C21" s="297"/>
      <c r="D21" s="297"/>
      <c r="E21" s="293">
        <v>2024</v>
      </c>
      <c r="F21" s="297"/>
      <c r="G21" s="297"/>
      <c r="H21" s="297"/>
      <c r="I21" s="297"/>
      <c r="J21" s="297"/>
      <c r="K21" s="297"/>
      <c r="L21" s="297"/>
      <c r="M21" s="297"/>
      <c r="N21" s="297"/>
      <c r="U21" s="293"/>
      <c r="V21" s="293"/>
      <c r="W21" s="293"/>
      <c r="X21" s="293"/>
      <c r="Y21" s="293"/>
      <c r="AA21" s="293"/>
      <c r="AC21" s="293"/>
      <c r="AD21" s="293"/>
      <c r="AE21" s="293"/>
    </row>
    <row r="22" spans="1:31" ht="12.75" customHeight="1">
      <c r="A22" s="299">
        <v>1600</v>
      </c>
      <c r="B22" s="293">
        <v>21</v>
      </c>
      <c r="C22" s="297"/>
      <c r="D22" s="297"/>
      <c r="E22" s="293">
        <v>2025</v>
      </c>
      <c r="F22" s="297"/>
      <c r="G22" s="297"/>
      <c r="H22" s="297"/>
      <c r="I22" s="297"/>
      <c r="J22" s="297"/>
      <c r="K22" s="297"/>
      <c r="L22" s="297"/>
      <c r="M22" s="297"/>
      <c r="N22" s="297"/>
    </row>
    <row r="23" spans="1:31" ht="12.75" customHeight="1">
      <c r="A23" s="299">
        <v>2000</v>
      </c>
      <c r="B23" s="293">
        <v>27</v>
      </c>
      <c r="C23" s="297"/>
      <c r="D23" s="297"/>
      <c r="E23" s="293">
        <v>2026</v>
      </c>
      <c r="F23" s="297"/>
      <c r="G23" s="297"/>
      <c r="H23" s="297"/>
      <c r="I23" s="297"/>
      <c r="J23" s="297"/>
      <c r="K23" s="297"/>
      <c r="L23" s="297"/>
      <c r="M23" s="297"/>
      <c r="N23" s="297"/>
    </row>
    <row r="24" spans="1:31" ht="12.75" customHeight="1">
      <c r="A24" s="297"/>
      <c r="B24" s="297"/>
      <c r="C24" s="297"/>
      <c r="D24" s="297"/>
      <c r="E24" s="293">
        <v>2027</v>
      </c>
      <c r="F24" s="297"/>
      <c r="G24" s="297"/>
      <c r="H24" s="297"/>
      <c r="I24" s="297"/>
      <c r="J24" s="297"/>
      <c r="K24" s="297"/>
      <c r="L24" s="297"/>
      <c r="M24" s="297"/>
      <c r="N24" s="297"/>
    </row>
    <row r="25" spans="1:31" ht="12.75" customHeight="1">
      <c r="A25" s="297"/>
      <c r="B25" s="297"/>
      <c r="C25" s="297"/>
      <c r="D25" s="297"/>
      <c r="E25" s="293">
        <v>2028</v>
      </c>
      <c r="F25" s="297"/>
      <c r="G25" s="297"/>
      <c r="H25" s="297"/>
      <c r="I25" s="297"/>
      <c r="J25" s="297"/>
      <c r="K25" s="297"/>
      <c r="L25" s="297"/>
      <c r="M25" s="297"/>
      <c r="N25" s="297"/>
    </row>
    <row r="26" spans="1:31" ht="12.75" customHeight="1">
      <c r="A26" s="297"/>
      <c r="B26" s="297"/>
      <c r="C26" s="297"/>
      <c r="D26" s="297"/>
      <c r="E26" s="293">
        <v>2029</v>
      </c>
      <c r="F26" s="297"/>
      <c r="G26" s="297"/>
      <c r="H26" s="297"/>
      <c r="I26" s="297"/>
      <c r="J26" s="297"/>
      <c r="K26" s="297"/>
      <c r="L26" s="297"/>
      <c r="M26" s="297"/>
      <c r="N26" s="297"/>
    </row>
    <row r="27" spans="1:31" ht="12.75" customHeight="1">
      <c r="A27" s="297"/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</row>
    <row r="28" spans="1:31" ht="12.75" customHeight="1">
      <c r="A28" s="297"/>
      <c r="B28" s="297"/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</row>
    <row r="29" spans="1:31" ht="12.75" customHeight="1">
      <c r="A29" s="297"/>
      <c r="B29" s="297"/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</row>
    <row r="30" spans="1:31" ht="12.75" customHeight="1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</row>
    <row r="31" spans="1:31" ht="12.75" customHeight="1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</row>
    <row r="32" spans="1:31" ht="12.75" customHeight="1">
      <c r="A32" s="297"/>
      <c r="B32" s="297"/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</row>
    <row r="33" spans="1:14" ht="12.75" customHeight="1">
      <c r="A33" s="297"/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</row>
    <row r="34" spans="1:14" ht="12.75" customHeight="1">
      <c r="A34" s="297"/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</row>
    <row r="35" spans="1:14" ht="12.75" customHeight="1">
      <c r="A35" s="297"/>
      <c r="B35" s="297"/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</row>
    <row r="36" spans="1:14" ht="12.75" customHeight="1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</row>
    <row r="37" spans="1:14" ht="12.75" customHeight="1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</row>
    <row r="38" spans="1:14" ht="12.75" customHeight="1">
      <c r="A38" s="297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</row>
    <row r="39" spans="1:14" ht="12.75" customHeight="1">
      <c r="A39" s="297"/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</row>
    <row r="40" spans="1:14" ht="12.75" customHeight="1">
      <c r="A40" s="297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</row>
    <row r="41" spans="1:14" ht="12.75" customHeight="1">
      <c r="A41" s="297"/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</row>
    <row r="42" spans="1:14" ht="12.75" customHeight="1">
      <c r="A42" s="297"/>
      <c r="B42" s="297"/>
      <c r="C42" s="297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</row>
    <row r="43" spans="1:14" ht="12.75" customHeight="1">
      <c r="A43" s="297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</row>
    <row r="44" spans="1:14" ht="12.75" customHeight="1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</row>
    <row r="45" spans="1:14" ht="12.75" customHeight="1">
      <c r="A45" s="297"/>
      <c r="B45" s="297"/>
      <c r="C45" s="297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</row>
    <row r="46" spans="1:14" ht="12.75" customHeight="1">
      <c r="A46" s="297"/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</row>
    <row r="47" spans="1:14" ht="12.75" customHeight="1">
      <c r="A47" s="297"/>
      <c r="B47" s="297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</row>
    <row r="48" spans="1:14" ht="12.75" customHeight="1">
      <c r="A48" s="297"/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</row>
    <row r="49" spans="1:14" ht="12.75" customHeight="1">
      <c r="A49" s="297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</row>
    <row r="50" spans="1:14" ht="12.75" customHeight="1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</row>
    <row r="51" spans="1:14" ht="12.75" customHeight="1">
      <c r="A51" s="297"/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</row>
    <row r="52" spans="1:14" ht="12.75" customHeight="1">
      <c r="A52" s="297"/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</row>
    <row r="53" spans="1:14" ht="12.75" customHeight="1">
      <c r="A53" s="297"/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</row>
    <row r="54" spans="1:14" ht="12.75" customHeight="1">
      <c r="A54" s="297"/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</row>
    <row r="55" spans="1:14" ht="12.75" customHeight="1">
      <c r="A55" s="297"/>
      <c r="B55" s="297"/>
      <c r="C55" s="297"/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</row>
    <row r="56" spans="1:14" ht="12.75" customHeight="1">
      <c r="A56" s="297"/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</row>
    <row r="57" spans="1:14" ht="12.75" customHeight="1">
      <c r="A57" s="297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</row>
    <row r="58" spans="1:14" ht="12.75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</row>
    <row r="59" spans="1:14" ht="12.75" customHeight="1">
      <c r="A59" s="297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</row>
    <row r="60" spans="1:14" ht="12.75" customHeight="1">
      <c r="A60" s="297"/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</row>
    <row r="61" spans="1:14" ht="12.75" customHeight="1">
      <c r="A61" s="297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</row>
    <row r="62" spans="1:14" ht="12.75" customHeight="1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</row>
    <row r="63" spans="1:14" ht="12.75" customHeight="1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</row>
    <row r="64" spans="1:14" ht="12.75" customHeight="1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</row>
    <row r="65" spans="1:14" ht="12.75" customHeight="1">
      <c r="A65" s="297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</row>
    <row r="66" spans="1:14" ht="12.75" customHeight="1">
      <c r="A66" s="297"/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</row>
    <row r="67" spans="1:14" ht="12.75" customHeight="1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</row>
    <row r="68" spans="1:14" ht="12.75" customHeight="1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</row>
    <row r="69" spans="1:14" ht="12.75" customHeight="1">
      <c r="A69" s="297"/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</row>
    <row r="70" spans="1:14" ht="12.75" customHeight="1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</row>
    <row r="71" spans="1:14" ht="12.75" customHeight="1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</row>
    <row r="72" spans="1:14" ht="12.75" customHeight="1">
      <c r="A72" s="297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</row>
    <row r="73" spans="1:14" ht="12.75" customHeight="1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</row>
    <row r="74" spans="1:14" ht="12.75" customHeight="1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</row>
    <row r="75" spans="1:14" ht="12.75" customHeight="1">
      <c r="A75" s="297"/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</row>
    <row r="76" spans="1:14" ht="12.75" customHeight="1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</row>
    <row r="77" spans="1:14" ht="12.75" customHeight="1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</row>
    <row r="78" spans="1:14" ht="12.75" customHeight="1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</row>
    <row r="79" spans="1:14" ht="12.75" customHeight="1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</row>
    <row r="80" spans="1:14" ht="12.75" customHeight="1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</row>
    <row r="81" spans="1:14" ht="12.75" customHeight="1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</row>
    <row r="82" spans="1:14" ht="12.75" customHeight="1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</row>
    <row r="83" spans="1:14" ht="12.75" customHeight="1">
      <c r="A83" s="297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</row>
    <row r="84" spans="1:14" ht="12.75" customHeight="1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</row>
    <row r="85" spans="1:14" ht="12.75" customHeight="1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</row>
    <row r="86" spans="1:14" ht="12.75" customHeight="1">
      <c r="A86" s="297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</row>
    <row r="87" spans="1:14" ht="12.75" customHeight="1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</row>
    <row r="88" spans="1:14" ht="12.75" customHeight="1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</row>
    <row r="89" spans="1:14" ht="12.75" customHeight="1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</row>
    <row r="90" spans="1:14" ht="12.75" customHeight="1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</row>
    <row r="91" spans="1:14" ht="12.75" customHeight="1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</row>
    <row r="92" spans="1:14" ht="12.75" customHeight="1">
      <c r="A92" s="297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</row>
    <row r="93" spans="1:14" ht="12.75" customHeight="1">
      <c r="A93" s="297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</row>
    <row r="94" spans="1:14" ht="12.75" customHeight="1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</row>
    <row r="95" spans="1:14" ht="12.75" customHeight="1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</row>
    <row r="96" spans="1:14" ht="12.75" customHeight="1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</row>
    <row r="97" spans="1:14" ht="12.75" customHeight="1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</row>
    <row r="98" spans="1:14" ht="12.75" customHeight="1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</row>
    <row r="99" spans="1:14" ht="12.75" customHeight="1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</row>
    <row r="100" spans="1:14" ht="12.75" customHeight="1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38"/>
  <sheetViews>
    <sheetView topLeftCell="A111" zoomScaleNormal="100" workbookViewId="0">
      <selection activeCell="F20" sqref="F20"/>
    </sheetView>
  </sheetViews>
  <sheetFormatPr defaultColWidth="14.42578125" defaultRowHeight="12.75"/>
  <cols>
    <col min="1" max="18" width="9.28515625" style="1" customWidth="1"/>
    <col min="19" max="19" width="14.42578125" style="1" customWidth="1"/>
  </cols>
  <sheetData>
    <row r="1" spans="1:18" ht="12.75" customHeight="1">
      <c r="A1" s="300"/>
      <c r="B1" s="301"/>
      <c r="C1" s="301"/>
      <c r="D1" s="301"/>
      <c r="E1" s="301"/>
      <c r="F1" s="301"/>
      <c r="G1" s="301"/>
      <c r="H1" s="301"/>
      <c r="I1" s="302"/>
      <c r="J1" s="300"/>
      <c r="K1" s="301"/>
      <c r="L1" s="301"/>
      <c r="M1" s="301"/>
      <c r="N1" s="301"/>
      <c r="O1" s="301"/>
      <c r="P1" s="301"/>
      <c r="Q1" s="301"/>
      <c r="R1" s="302"/>
    </row>
    <row r="2" spans="1:18" ht="12.75" customHeight="1">
      <c r="A2" s="303"/>
      <c r="B2" s="297"/>
      <c r="C2" s="297"/>
      <c r="D2" s="297"/>
      <c r="E2" s="297"/>
      <c r="F2" s="297"/>
      <c r="G2" s="297"/>
      <c r="H2" s="297"/>
      <c r="I2" s="304"/>
      <c r="J2" s="303"/>
      <c r="K2" s="297"/>
      <c r="L2" s="297"/>
      <c r="M2" s="297"/>
      <c r="N2" s="297"/>
      <c r="O2" s="297"/>
      <c r="P2" s="297"/>
      <c r="Q2" s="297"/>
      <c r="R2" s="304"/>
    </row>
    <row r="3" spans="1:18" ht="12.75" customHeight="1">
      <c r="A3" s="303"/>
      <c r="B3" s="297"/>
      <c r="C3" s="297"/>
      <c r="D3" s="297"/>
      <c r="E3" s="297"/>
      <c r="F3" s="297"/>
      <c r="G3" s="297"/>
      <c r="H3" s="297"/>
      <c r="I3" s="304"/>
      <c r="J3" s="303"/>
      <c r="K3" s="297"/>
      <c r="L3" s="297"/>
      <c r="M3" s="297"/>
      <c r="N3" s="297"/>
      <c r="O3" s="297"/>
      <c r="P3" s="297"/>
      <c r="Q3" s="297"/>
      <c r="R3" s="304"/>
    </row>
    <row r="4" spans="1:18" ht="12.75" customHeight="1">
      <c r="A4" s="303"/>
      <c r="B4" s="297"/>
      <c r="C4" s="297"/>
      <c r="D4" s="297"/>
      <c r="E4" s="297"/>
      <c r="F4" s="297"/>
      <c r="G4" s="297"/>
      <c r="H4" s="297"/>
      <c r="I4" s="304"/>
      <c r="J4" s="303"/>
      <c r="K4" s="297"/>
      <c r="L4" s="297"/>
      <c r="M4" s="297"/>
      <c r="N4" s="297"/>
      <c r="O4" s="297"/>
      <c r="P4" s="297"/>
      <c r="Q4" s="297"/>
      <c r="R4" s="304"/>
    </row>
    <row r="5" spans="1:18" ht="12.75" customHeight="1">
      <c r="A5" s="303"/>
      <c r="B5" s="297"/>
      <c r="C5" s="297"/>
      <c r="D5" s="297"/>
      <c r="E5" s="297"/>
      <c r="F5" s="297"/>
      <c r="G5" s="297"/>
      <c r="H5" s="297"/>
      <c r="I5" s="304"/>
      <c r="J5" s="303"/>
      <c r="K5" s="297"/>
      <c r="L5" s="297"/>
      <c r="M5" s="297"/>
      <c r="N5" s="297"/>
      <c r="O5" s="297"/>
      <c r="P5" s="297"/>
      <c r="Q5" s="297"/>
      <c r="R5" s="304"/>
    </row>
    <row r="6" spans="1:18" ht="12.75" customHeight="1">
      <c r="A6" s="303"/>
      <c r="B6" s="297"/>
      <c r="C6" s="297"/>
      <c r="D6" s="297"/>
      <c r="E6" s="297"/>
      <c r="F6" s="297"/>
      <c r="G6" s="297"/>
      <c r="H6" s="297"/>
      <c r="I6" s="304"/>
      <c r="J6" s="303"/>
      <c r="K6" s="297"/>
      <c r="L6" s="297"/>
      <c r="M6" s="297"/>
      <c r="N6" s="297"/>
      <c r="O6" s="297"/>
      <c r="P6" s="297"/>
      <c r="Q6" s="297"/>
      <c r="R6" s="304"/>
    </row>
    <row r="7" spans="1:18" ht="12.75" customHeight="1">
      <c r="A7" s="303"/>
      <c r="B7" s="297"/>
      <c r="C7" s="297"/>
      <c r="D7" s="297"/>
      <c r="E7" s="297"/>
      <c r="F7" s="297"/>
      <c r="G7" s="297"/>
      <c r="H7" s="297"/>
      <c r="I7" s="304"/>
      <c r="J7" s="303"/>
      <c r="K7" s="297"/>
      <c r="L7" s="297"/>
      <c r="M7" s="297"/>
      <c r="N7" s="297"/>
      <c r="O7" s="297"/>
      <c r="P7" s="297"/>
      <c r="Q7" s="297"/>
      <c r="R7" s="304"/>
    </row>
    <row r="8" spans="1:18" ht="12.75" customHeight="1">
      <c r="A8" s="303"/>
      <c r="B8" s="297"/>
      <c r="C8" s="297"/>
      <c r="D8" s="297"/>
      <c r="E8" s="297"/>
      <c r="F8" s="297"/>
      <c r="G8" s="297"/>
      <c r="H8" s="297"/>
      <c r="I8" s="304"/>
      <c r="J8" s="303"/>
      <c r="K8" s="297"/>
      <c r="L8" s="297"/>
      <c r="M8" s="297"/>
      <c r="N8" s="297"/>
      <c r="O8" s="297"/>
      <c r="P8" s="297"/>
      <c r="Q8" s="297"/>
      <c r="R8" s="304"/>
    </row>
    <row r="9" spans="1:18" ht="12.75" customHeight="1">
      <c r="A9" s="303"/>
      <c r="B9" s="297"/>
      <c r="C9" s="297"/>
      <c r="D9" s="297"/>
      <c r="E9" s="297"/>
      <c r="F9" s="297"/>
      <c r="G9" s="297"/>
      <c r="H9" s="297"/>
      <c r="I9" s="304"/>
      <c r="J9" s="303"/>
      <c r="K9" s="297"/>
      <c r="L9" s="297"/>
      <c r="M9" s="297"/>
      <c r="N9" s="297"/>
      <c r="O9" s="297"/>
      <c r="P9" s="297"/>
      <c r="Q9" s="297"/>
      <c r="R9" s="304"/>
    </row>
    <row r="10" spans="1:18" ht="12.75" customHeight="1">
      <c r="A10" s="303"/>
      <c r="B10" s="297"/>
      <c r="C10" s="297"/>
      <c r="D10" s="297"/>
      <c r="E10" s="297"/>
      <c r="F10" s="297"/>
      <c r="G10" s="297"/>
      <c r="H10" s="297"/>
      <c r="I10" s="304"/>
      <c r="J10" s="303"/>
      <c r="K10" s="297"/>
      <c r="L10" s="297"/>
      <c r="M10" s="297"/>
      <c r="N10" s="297"/>
      <c r="O10" s="297"/>
      <c r="P10" s="297"/>
      <c r="Q10" s="297"/>
      <c r="R10" s="304"/>
    </row>
    <row r="11" spans="1:18" ht="12.75" customHeight="1">
      <c r="A11" s="303"/>
      <c r="B11" s="297"/>
      <c r="C11" s="297"/>
      <c r="D11" s="297"/>
      <c r="E11" s="297"/>
      <c r="F11" s="297"/>
      <c r="G11" s="297"/>
      <c r="H11" s="297"/>
      <c r="I11" s="304"/>
      <c r="J11" s="303"/>
      <c r="K11" s="297"/>
      <c r="L11" s="297"/>
      <c r="M11" s="297"/>
      <c r="N11" s="297"/>
      <c r="O11" s="297"/>
      <c r="P11" s="297"/>
      <c r="Q11" s="297"/>
      <c r="R11" s="304"/>
    </row>
    <row r="12" spans="1:18" ht="12.75" customHeight="1">
      <c r="A12" s="303"/>
      <c r="B12" s="297"/>
      <c r="C12" s="297"/>
      <c r="D12" s="297"/>
      <c r="E12" s="297"/>
      <c r="F12" s="297"/>
      <c r="G12" s="297"/>
      <c r="H12" s="297"/>
      <c r="I12" s="304"/>
      <c r="J12" s="303"/>
      <c r="K12" s="297"/>
      <c r="L12" s="297"/>
      <c r="M12" s="297"/>
      <c r="N12" s="297"/>
      <c r="O12" s="297"/>
      <c r="P12" s="297"/>
      <c r="Q12" s="297"/>
      <c r="R12" s="304"/>
    </row>
    <row r="13" spans="1:18" ht="12.75" customHeight="1">
      <c r="A13" s="303"/>
      <c r="B13" s="297"/>
      <c r="C13" s="297"/>
      <c r="D13" s="297"/>
      <c r="E13" s="297"/>
      <c r="F13" s="297"/>
      <c r="G13" s="297"/>
      <c r="H13" s="297"/>
      <c r="I13" s="304"/>
      <c r="J13" s="303"/>
      <c r="K13" s="297"/>
      <c r="L13" s="297"/>
      <c r="M13" s="297"/>
      <c r="N13" s="297"/>
      <c r="O13" s="297"/>
      <c r="P13" s="297"/>
      <c r="Q13" s="297"/>
      <c r="R13" s="304"/>
    </row>
    <row r="14" spans="1:18" ht="12.75" customHeight="1">
      <c r="A14" s="303"/>
      <c r="B14" s="297"/>
      <c r="C14" s="297"/>
      <c r="D14" s="297"/>
      <c r="E14" s="297"/>
      <c r="F14" s="297"/>
      <c r="G14" s="297"/>
      <c r="H14" s="297"/>
      <c r="I14" s="304"/>
      <c r="J14" s="303"/>
      <c r="K14" s="297"/>
      <c r="L14" s="297"/>
      <c r="M14" s="297"/>
      <c r="N14" s="297"/>
      <c r="O14" s="297"/>
      <c r="P14" s="297"/>
      <c r="Q14" s="297"/>
      <c r="R14" s="304"/>
    </row>
    <row r="15" spans="1:18" ht="12.75" customHeight="1">
      <c r="A15" s="303"/>
      <c r="B15" s="297"/>
      <c r="C15" s="297"/>
      <c r="D15" s="297"/>
      <c r="E15" s="297"/>
      <c r="F15" s="297"/>
      <c r="G15" s="297"/>
      <c r="H15" s="297"/>
      <c r="I15" s="304"/>
      <c r="J15" s="303"/>
      <c r="K15" s="297"/>
      <c r="L15" s="297"/>
      <c r="M15" s="297"/>
      <c r="N15" s="297"/>
      <c r="O15" s="297"/>
      <c r="P15" s="297"/>
      <c r="Q15" s="297"/>
      <c r="R15" s="304"/>
    </row>
    <row r="16" spans="1:18" ht="12.75" customHeight="1">
      <c r="A16" s="305"/>
      <c r="B16" s="306"/>
      <c r="C16" s="306"/>
      <c r="D16" s="306"/>
      <c r="E16" s="297"/>
      <c r="F16" s="297"/>
      <c r="G16" s="297"/>
      <c r="H16" s="297"/>
      <c r="I16" s="304"/>
      <c r="J16" s="303"/>
      <c r="K16" s="297"/>
      <c r="L16" s="297"/>
      <c r="M16" s="297"/>
      <c r="N16" s="297"/>
      <c r="O16" s="297"/>
      <c r="P16" s="306"/>
      <c r="Q16" s="306"/>
      <c r="R16" s="307"/>
    </row>
    <row r="17" spans="1:18" ht="12.75" customHeight="1">
      <c r="A17" s="297"/>
      <c r="B17" s="297"/>
      <c r="C17" s="297"/>
      <c r="D17" s="297"/>
      <c r="E17" s="300"/>
      <c r="F17" s="301"/>
      <c r="G17" s="301"/>
      <c r="H17" s="301"/>
      <c r="I17" s="301"/>
      <c r="J17" s="301"/>
      <c r="K17" s="301"/>
      <c r="L17" s="301"/>
      <c r="M17" s="301"/>
      <c r="N17" s="301"/>
      <c r="O17" s="302"/>
      <c r="P17" s="297"/>
      <c r="Q17" s="297"/>
      <c r="R17" s="297"/>
    </row>
    <row r="18" spans="1:18" ht="12.75" customHeight="1">
      <c r="A18" s="297"/>
      <c r="B18" s="297"/>
      <c r="C18" s="297"/>
      <c r="D18" s="297"/>
      <c r="E18" s="303"/>
      <c r="F18" s="297"/>
      <c r="G18" s="297"/>
      <c r="H18" s="297"/>
      <c r="I18" s="297"/>
      <c r="J18" s="297"/>
      <c r="K18" s="297"/>
      <c r="L18" s="297"/>
      <c r="M18" s="297"/>
      <c r="N18" s="297"/>
      <c r="O18" s="304"/>
      <c r="P18" s="297"/>
      <c r="Q18" s="297"/>
      <c r="R18" s="297"/>
    </row>
    <row r="19" spans="1:18" ht="12.75" customHeight="1">
      <c r="A19" s="297"/>
      <c r="B19" s="297"/>
      <c r="C19" s="297"/>
      <c r="D19" s="297"/>
      <c r="E19" s="303"/>
      <c r="F19" s="297"/>
      <c r="G19" s="297"/>
      <c r="H19" s="297"/>
      <c r="I19" s="297"/>
      <c r="J19" s="297"/>
      <c r="K19" s="297"/>
      <c r="L19" s="297"/>
      <c r="M19" s="297"/>
      <c r="N19" s="297"/>
      <c r="O19" s="304"/>
      <c r="P19" s="297"/>
      <c r="Q19" s="297"/>
      <c r="R19" s="297"/>
    </row>
    <row r="20" spans="1:18" ht="12.75" customHeight="1">
      <c r="A20" s="297"/>
      <c r="B20" s="297"/>
      <c r="C20" s="297"/>
      <c r="D20" s="297"/>
      <c r="E20" s="303"/>
      <c r="F20" s="297"/>
      <c r="G20" s="297"/>
      <c r="H20" s="297"/>
      <c r="I20" s="297"/>
      <c r="J20" s="297"/>
      <c r="K20" s="297"/>
      <c r="L20" s="297"/>
      <c r="M20" s="297"/>
      <c r="N20" s="297"/>
      <c r="O20" s="304"/>
      <c r="P20" s="297"/>
      <c r="Q20" s="297"/>
      <c r="R20" s="297"/>
    </row>
    <row r="21" spans="1:18" ht="12.75" customHeight="1">
      <c r="A21" s="297"/>
      <c r="B21" s="297"/>
      <c r="C21" s="297"/>
      <c r="D21" s="297"/>
      <c r="E21" s="303"/>
      <c r="F21" s="297"/>
      <c r="G21" s="297"/>
      <c r="H21" s="297"/>
      <c r="I21" s="297"/>
      <c r="J21" s="297"/>
      <c r="K21" s="297"/>
      <c r="L21" s="297"/>
      <c r="M21" s="297"/>
      <c r="N21" s="297"/>
      <c r="O21" s="304"/>
      <c r="P21" s="297"/>
      <c r="Q21" s="297"/>
      <c r="R21" s="297"/>
    </row>
    <row r="22" spans="1:18" ht="12.75" customHeight="1">
      <c r="A22" s="297"/>
      <c r="B22" s="297"/>
      <c r="C22" s="297"/>
      <c r="D22" s="297"/>
      <c r="E22" s="303"/>
      <c r="F22" s="297"/>
      <c r="G22" s="297"/>
      <c r="H22" s="297"/>
      <c r="I22" s="297"/>
      <c r="J22" s="297"/>
      <c r="K22" s="297"/>
      <c r="L22" s="297"/>
      <c r="M22" s="297"/>
      <c r="N22" s="297"/>
      <c r="O22" s="304"/>
      <c r="P22" s="297"/>
      <c r="Q22" s="297"/>
      <c r="R22" s="297"/>
    </row>
    <row r="23" spans="1:18" ht="12.75" customHeight="1">
      <c r="A23" s="297"/>
      <c r="B23" s="297"/>
      <c r="C23" s="297"/>
      <c r="D23" s="297"/>
      <c r="E23" s="303"/>
      <c r="F23" s="297"/>
      <c r="G23" s="297"/>
      <c r="H23" s="297"/>
      <c r="I23" s="297"/>
      <c r="J23" s="297"/>
      <c r="K23" s="297"/>
      <c r="L23" s="297"/>
      <c r="M23" s="297"/>
      <c r="N23" s="297"/>
      <c r="O23" s="304"/>
      <c r="P23" s="297"/>
      <c r="Q23" s="297"/>
      <c r="R23" s="297"/>
    </row>
    <row r="24" spans="1:18" ht="12.75" customHeight="1">
      <c r="A24" s="297"/>
      <c r="B24" s="297"/>
      <c r="C24" s="297"/>
      <c r="D24" s="297"/>
      <c r="E24" s="303"/>
      <c r="F24" s="297"/>
      <c r="G24" s="297"/>
      <c r="H24" s="297"/>
      <c r="I24" s="297"/>
      <c r="J24" s="297"/>
      <c r="K24" s="297"/>
      <c r="L24" s="297"/>
      <c r="M24" s="297"/>
      <c r="N24" s="297"/>
      <c r="O24" s="304"/>
      <c r="P24" s="297"/>
      <c r="Q24" s="297"/>
      <c r="R24" s="297"/>
    </row>
    <row r="25" spans="1:18" ht="12.75" customHeight="1">
      <c r="A25" s="297"/>
      <c r="B25" s="297"/>
      <c r="C25" s="297"/>
      <c r="D25" s="297"/>
      <c r="E25" s="303"/>
      <c r="F25" s="297"/>
      <c r="G25" s="297"/>
      <c r="H25" s="297"/>
      <c r="I25" s="297"/>
      <c r="J25" s="297"/>
      <c r="K25" s="297"/>
      <c r="L25" s="297"/>
      <c r="M25" s="297"/>
      <c r="N25" s="297"/>
      <c r="O25" s="304"/>
      <c r="P25" s="297"/>
      <c r="Q25" s="297"/>
      <c r="R25" s="297"/>
    </row>
    <row r="26" spans="1:18" ht="12.75" customHeight="1">
      <c r="A26" s="297"/>
      <c r="B26" s="297"/>
      <c r="C26" s="297"/>
      <c r="D26" s="297"/>
      <c r="E26" s="303"/>
      <c r="F26" s="297"/>
      <c r="G26" s="297"/>
      <c r="H26" s="297"/>
      <c r="I26" s="297"/>
      <c r="J26" s="297"/>
      <c r="K26" s="297"/>
      <c r="L26" s="297"/>
      <c r="M26" s="297"/>
      <c r="N26" s="297"/>
      <c r="O26" s="304"/>
      <c r="P26" s="297"/>
      <c r="Q26" s="297"/>
      <c r="R26" s="297"/>
    </row>
    <row r="27" spans="1:18" ht="12.75" customHeight="1">
      <c r="A27" s="297"/>
      <c r="B27" s="297"/>
      <c r="C27" s="297"/>
      <c r="D27" s="297"/>
      <c r="E27" s="303"/>
      <c r="F27" s="297"/>
      <c r="G27" s="297"/>
      <c r="H27" s="297"/>
      <c r="I27" s="297"/>
      <c r="J27" s="297"/>
      <c r="K27" s="297"/>
      <c r="L27" s="297"/>
      <c r="M27" s="297"/>
      <c r="N27" s="297"/>
      <c r="O27" s="304"/>
      <c r="P27" s="297"/>
      <c r="Q27" s="297"/>
      <c r="R27" s="297"/>
    </row>
    <row r="28" spans="1:18" ht="12.75" customHeight="1">
      <c r="A28" s="297"/>
      <c r="B28" s="297"/>
      <c r="C28" s="297"/>
      <c r="D28" s="297"/>
      <c r="E28" s="303"/>
      <c r="F28" s="297"/>
      <c r="G28" s="297"/>
      <c r="H28" s="297"/>
      <c r="I28" s="297"/>
      <c r="J28" s="297"/>
      <c r="K28" s="297"/>
      <c r="L28" s="297"/>
      <c r="M28" s="297"/>
      <c r="N28" s="297"/>
      <c r="O28" s="304"/>
      <c r="P28" s="297"/>
      <c r="Q28" s="297"/>
      <c r="R28" s="297"/>
    </row>
    <row r="29" spans="1:18" ht="12.75" customHeight="1">
      <c r="A29" s="297"/>
      <c r="B29" s="297"/>
      <c r="C29" s="297"/>
      <c r="D29" s="297"/>
      <c r="E29" s="303"/>
      <c r="F29" s="297"/>
      <c r="G29" s="297"/>
      <c r="H29" s="297"/>
      <c r="I29" s="297"/>
      <c r="J29" s="297"/>
      <c r="K29" s="297"/>
      <c r="L29" s="297"/>
      <c r="M29" s="297"/>
      <c r="N29" s="297"/>
      <c r="O29" s="304"/>
      <c r="P29" s="297"/>
      <c r="Q29" s="297"/>
      <c r="R29" s="297"/>
    </row>
    <row r="30" spans="1:18" ht="12.75" customHeight="1">
      <c r="A30" s="297"/>
      <c r="B30" s="297"/>
      <c r="C30" s="297"/>
      <c r="D30" s="297"/>
      <c r="E30" s="303"/>
      <c r="F30" s="297"/>
      <c r="G30" s="297"/>
      <c r="H30" s="297"/>
      <c r="I30" s="297"/>
      <c r="J30" s="297"/>
      <c r="K30" s="297"/>
      <c r="L30" s="297"/>
      <c r="M30" s="297"/>
      <c r="N30" s="297"/>
      <c r="O30" s="304"/>
      <c r="P30" s="297"/>
      <c r="Q30" s="297"/>
      <c r="R30" s="297"/>
    </row>
    <row r="31" spans="1:18" ht="12.75" customHeight="1">
      <c r="A31" s="297"/>
      <c r="B31" s="297"/>
      <c r="C31" s="297"/>
      <c r="D31" s="297"/>
      <c r="E31" s="303"/>
      <c r="F31" s="297"/>
      <c r="G31" s="297"/>
      <c r="H31" s="297"/>
      <c r="I31" s="297"/>
      <c r="J31" s="297"/>
      <c r="K31" s="297"/>
      <c r="L31" s="297"/>
      <c r="M31" s="297"/>
      <c r="N31" s="297"/>
      <c r="O31" s="304"/>
      <c r="P31" s="297"/>
      <c r="Q31" s="297"/>
      <c r="R31" s="297"/>
    </row>
    <row r="32" spans="1:18" ht="12.75" customHeight="1">
      <c r="A32" s="297"/>
      <c r="B32" s="297"/>
      <c r="C32" s="297"/>
      <c r="D32" s="297"/>
      <c r="E32" s="305"/>
      <c r="F32" s="306"/>
      <c r="G32" s="306"/>
      <c r="H32" s="306"/>
      <c r="I32" s="306"/>
      <c r="J32" s="306"/>
      <c r="K32" s="306"/>
      <c r="L32" s="306"/>
      <c r="M32" s="306"/>
      <c r="N32" s="306"/>
      <c r="O32" s="307"/>
      <c r="P32" s="297"/>
      <c r="Q32" s="297"/>
      <c r="R32" s="297"/>
    </row>
    <row r="33" spans="1:18" ht="12.75" customHeight="1">
      <c r="A33" s="297"/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</row>
    <row r="34" spans="1:18" ht="12.75" customHeight="1">
      <c r="A34" s="297"/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</row>
    <row r="35" spans="1:18" ht="12.75" customHeight="1">
      <c r="A35" s="297"/>
      <c r="B35" s="297"/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</row>
    <row r="36" spans="1:18" ht="12.75" customHeight="1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</row>
    <row r="37" spans="1:18" ht="12.75" customHeight="1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</row>
    <row r="38" spans="1:18" ht="12.75" customHeight="1">
      <c r="A38" s="297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</row>
    <row r="39" spans="1:18" ht="12.75" customHeight="1">
      <c r="A39" s="297"/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</row>
    <row r="40" spans="1:18" ht="12.75" customHeight="1">
      <c r="A40" s="297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</row>
    <row r="41" spans="1:18" ht="12.75" customHeight="1">
      <c r="A41" s="297"/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</row>
    <row r="42" spans="1:18" ht="12.75" customHeight="1">
      <c r="A42" s="297"/>
      <c r="B42" s="297"/>
      <c r="C42" s="297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</row>
    <row r="43" spans="1:18" ht="12.75" customHeight="1">
      <c r="A43" s="297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</row>
    <row r="44" spans="1:18" ht="12.75" customHeight="1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</row>
    <row r="45" spans="1:18" ht="12.75" customHeight="1">
      <c r="A45" s="297"/>
      <c r="B45" s="297"/>
      <c r="C45" s="297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</row>
    <row r="46" spans="1:18" ht="12.75" customHeight="1">
      <c r="A46" s="297"/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</row>
    <row r="47" spans="1:18" ht="12.75" customHeight="1">
      <c r="A47" s="297"/>
      <c r="B47" s="297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</row>
    <row r="48" spans="1:18" ht="12.75" customHeight="1">
      <c r="A48" s="297"/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</row>
    <row r="49" spans="1:18" ht="12.75" customHeight="1">
      <c r="A49" s="297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</row>
    <row r="50" spans="1:18" ht="12.75" customHeight="1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</row>
    <row r="51" spans="1:18" ht="12.75" customHeight="1">
      <c r="A51" s="297"/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</row>
    <row r="52" spans="1:18" ht="12.75" customHeight="1">
      <c r="A52" s="297"/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</row>
    <row r="53" spans="1:18" ht="12.75" customHeight="1">
      <c r="A53" s="297"/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</row>
    <row r="54" spans="1:18" ht="12.75" customHeight="1">
      <c r="A54" s="297"/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</row>
    <row r="55" spans="1:18" ht="12.75" customHeight="1">
      <c r="A55" s="297"/>
      <c r="B55" s="297"/>
      <c r="C55" s="297"/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</row>
    <row r="56" spans="1:18" ht="12.75" customHeight="1">
      <c r="A56" s="297"/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</row>
    <row r="57" spans="1:18" ht="12.75" customHeight="1">
      <c r="A57" s="297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</row>
    <row r="58" spans="1:18" ht="12.75" customHeight="1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</row>
    <row r="59" spans="1:18" ht="12.75" customHeight="1">
      <c r="A59" s="297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</row>
    <row r="60" spans="1:18" ht="12.75" customHeight="1">
      <c r="A60" s="297"/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</row>
    <row r="61" spans="1:18" ht="12.75" customHeight="1">
      <c r="A61" s="297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</row>
    <row r="62" spans="1:18" ht="12.75" customHeight="1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</row>
    <row r="63" spans="1:18" ht="15.75" customHeight="1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</row>
    <row r="64" spans="1:18" ht="12.75" customHeight="1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</row>
    <row r="65" spans="1:18" ht="12.75" customHeight="1">
      <c r="A65" s="297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</row>
    <row r="66" spans="1:18" ht="12.75" customHeight="1">
      <c r="A66" s="297"/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</row>
    <row r="67" spans="1:18" ht="15.75" customHeight="1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</row>
    <row r="68" spans="1:18" ht="12.75" customHeight="1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</row>
    <row r="69" spans="1:18" ht="12.75" customHeight="1">
      <c r="A69" s="297"/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</row>
    <row r="70" spans="1:18" ht="12.75" customHeight="1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</row>
    <row r="71" spans="1:18" ht="12.75" customHeight="1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</row>
    <row r="72" spans="1:18" ht="12.75" customHeight="1">
      <c r="A72" s="297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</row>
    <row r="73" spans="1:18" ht="12.75" customHeight="1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</row>
    <row r="74" spans="1:18" ht="12.75" customHeight="1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</row>
    <row r="75" spans="1:18" ht="12.75" customHeight="1">
      <c r="A75" s="297"/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</row>
    <row r="76" spans="1:18" ht="12.75" customHeight="1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</row>
    <row r="77" spans="1:18" ht="12.75" customHeight="1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</row>
    <row r="78" spans="1:18" ht="12.75" customHeight="1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</row>
    <row r="79" spans="1:18" ht="12.75" customHeight="1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</row>
    <row r="80" spans="1:18" ht="12.75" customHeight="1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</row>
    <row r="81" spans="1:18" ht="12.75" customHeight="1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</row>
    <row r="82" spans="1:18" ht="12.75" customHeight="1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</row>
    <row r="83" spans="1:18" ht="12.75" customHeight="1">
      <c r="A83" s="297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</row>
    <row r="84" spans="1:18" ht="12.75" customHeight="1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</row>
    <row r="85" spans="1:18" ht="12.75" customHeight="1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</row>
    <row r="86" spans="1:18" ht="12.75" customHeight="1">
      <c r="A86" s="297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</row>
    <row r="87" spans="1:18" ht="12.75" customHeight="1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</row>
    <row r="88" spans="1:18" ht="12.75" customHeight="1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</row>
    <row r="89" spans="1:18" ht="12.75" customHeight="1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</row>
    <row r="90" spans="1:18" ht="12.75" customHeight="1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</row>
    <row r="91" spans="1:18" ht="12.75" customHeight="1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</row>
    <row r="92" spans="1:18" ht="12.75" customHeight="1">
      <c r="A92" s="297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</row>
    <row r="93" spans="1:18" ht="12.75" customHeight="1">
      <c r="A93" s="297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</row>
    <row r="94" spans="1:18" ht="12.75" customHeight="1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</row>
    <row r="95" spans="1:18" ht="12.75" customHeight="1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</row>
    <row r="96" spans="1:18" ht="12.75" customHeight="1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</row>
    <row r="97" spans="1:18" ht="12.75" customHeight="1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</row>
    <row r="98" spans="1:18" ht="12.75" customHeight="1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</row>
    <row r="99" spans="1:18" ht="12.75" customHeight="1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</row>
    <row r="100" spans="1:18" ht="12.75" customHeight="1">
      <c r="A100" s="297" t="s">
        <v>990</v>
      </c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308"/>
      <c r="M100" s="308" t="s">
        <v>65</v>
      </c>
      <c r="N100" s="932" t="s">
        <v>991</v>
      </c>
      <c r="O100" s="930"/>
      <c r="P100" s="932" t="s">
        <v>992</v>
      </c>
      <c r="Q100" s="930"/>
      <c r="R100" s="297"/>
    </row>
    <row r="101" spans="1:18" ht="12.75" customHeight="1">
      <c r="A101" s="297" t="s">
        <v>852</v>
      </c>
      <c r="B101" s="297" t="s">
        <v>993</v>
      </c>
      <c r="C101" s="297"/>
      <c r="D101" s="297"/>
      <c r="E101" s="297"/>
      <c r="F101" s="297"/>
      <c r="G101" s="297"/>
      <c r="H101" s="297"/>
      <c r="I101" s="297"/>
      <c r="J101" s="297"/>
      <c r="K101" s="297"/>
      <c r="L101" s="309" t="s">
        <v>994</v>
      </c>
      <c r="M101" s="935" t="s">
        <v>995</v>
      </c>
      <c r="N101" s="935" t="s">
        <v>996</v>
      </c>
      <c r="O101" s="935" t="s">
        <v>997</v>
      </c>
      <c r="P101" s="935" t="s">
        <v>998</v>
      </c>
      <c r="Q101" s="935" t="s">
        <v>999</v>
      </c>
      <c r="R101" s="297"/>
    </row>
    <row r="102" spans="1:18" ht="12.75" customHeight="1">
      <c r="A102" s="297" t="s">
        <v>1000</v>
      </c>
      <c r="B102" s="297" t="s">
        <v>1001</v>
      </c>
      <c r="C102" s="297"/>
      <c r="D102" s="297"/>
      <c r="E102" s="297"/>
      <c r="F102" s="297"/>
      <c r="G102" s="297"/>
      <c r="H102" s="297"/>
      <c r="I102" s="297"/>
      <c r="J102" s="297"/>
      <c r="K102" s="297"/>
      <c r="L102" s="311"/>
      <c r="M102" s="936"/>
      <c r="N102" s="936"/>
      <c r="O102" s="936"/>
      <c r="P102" s="936"/>
      <c r="Q102" s="936"/>
      <c r="R102" s="297"/>
    </row>
    <row r="103" spans="1:18" ht="12.75" customHeight="1">
      <c r="A103" s="297" t="s">
        <v>1002</v>
      </c>
      <c r="B103" s="297" t="s">
        <v>1003</v>
      </c>
      <c r="C103" s="297"/>
      <c r="D103" s="297"/>
      <c r="E103" s="297"/>
      <c r="F103" s="297"/>
      <c r="G103" s="297"/>
      <c r="H103" s="297"/>
      <c r="I103" s="297"/>
      <c r="J103" s="297"/>
      <c r="K103" s="297"/>
      <c r="L103" s="311"/>
      <c r="M103" s="936"/>
      <c r="N103" s="936"/>
      <c r="O103" s="936"/>
      <c r="P103" s="936"/>
      <c r="Q103" s="936"/>
      <c r="R103" s="297"/>
    </row>
    <row r="104" spans="1:18" ht="12.75" customHeight="1">
      <c r="A104" s="297" t="s">
        <v>1004</v>
      </c>
      <c r="B104" s="297" t="s">
        <v>1005</v>
      </c>
      <c r="C104" s="297"/>
      <c r="D104" s="297"/>
      <c r="E104" s="297"/>
      <c r="F104" s="297"/>
      <c r="G104" s="297"/>
      <c r="H104" s="297"/>
      <c r="I104" s="297"/>
      <c r="J104" s="297"/>
      <c r="K104" s="297"/>
      <c r="L104" s="311"/>
      <c r="M104" s="936"/>
      <c r="N104" s="936"/>
      <c r="O104" s="936"/>
      <c r="P104" s="936"/>
      <c r="Q104" s="936"/>
      <c r="R104" s="297"/>
    </row>
    <row r="105" spans="1:18" ht="12.75" customHeight="1">
      <c r="A105" s="297" t="s">
        <v>821</v>
      </c>
      <c r="B105" s="297" t="s">
        <v>1006</v>
      </c>
      <c r="C105" s="297"/>
      <c r="D105" s="297"/>
      <c r="E105" s="297"/>
      <c r="F105" s="297"/>
      <c r="G105" s="297"/>
      <c r="H105" s="297"/>
      <c r="I105" s="297"/>
      <c r="J105" s="297"/>
      <c r="K105" s="297"/>
      <c r="L105" s="311"/>
      <c r="M105" s="936"/>
      <c r="N105" s="936"/>
      <c r="O105" s="936"/>
      <c r="P105" s="936"/>
      <c r="Q105" s="936"/>
      <c r="R105" s="297"/>
    </row>
    <row r="106" spans="1:18" ht="12.75" customHeight="1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312"/>
      <c r="M106" s="654"/>
      <c r="N106" s="654"/>
      <c r="O106" s="654"/>
      <c r="P106" s="654"/>
      <c r="Q106" s="654"/>
      <c r="R106" s="297"/>
    </row>
    <row r="107" spans="1:18" ht="12.75" customHeight="1">
      <c r="A107" s="293" t="s">
        <v>1007</v>
      </c>
      <c r="B107" s="299" t="s">
        <v>1008</v>
      </c>
      <c r="C107" s="313"/>
      <c r="D107" s="313"/>
      <c r="E107" s="313"/>
      <c r="F107" s="313"/>
      <c r="G107" s="313"/>
      <c r="H107" s="313"/>
      <c r="I107" s="313"/>
      <c r="J107" s="313"/>
      <c r="K107" s="314"/>
      <c r="L107" s="294">
        <v>0</v>
      </c>
      <c r="M107" s="294">
        <v>0</v>
      </c>
      <c r="N107" s="294">
        <v>0</v>
      </c>
      <c r="O107" s="294">
        <v>0</v>
      </c>
      <c r="P107" s="294">
        <v>0</v>
      </c>
      <c r="Q107" s="294">
        <v>0</v>
      </c>
      <c r="R107" s="297"/>
    </row>
    <row r="108" spans="1:18" ht="12.75" customHeight="1">
      <c r="A108" s="293" t="s">
        <v>1009</v>
      </c>
      <c r="B108" s="297" t="s">
        <v>1010</v>
      </c>
      <c r="C108" s="297"/>
      <c r="D108" s="297"/>
      <c r="E108" s="297"/>
      <c r="F108" s="297"/>
      <c r="G108" s="297"/>
      <c r="H108" s="297"/>
      <c r="I108" s="297"/>
      <c r="J108" s="297"/>
      <c r="K108" s="297"/>
      <c r="L108" s="294">
        <v>0</v>
      </c>
      <c r="M108" s="294">
        <v>0</v>
      </c>
      <c r="N108" s="294">
        <v>0</v>
      </c>
      <c r="O108" s="294">
        <v>0</v>
      </c>
      <c r="P108" s="294">
        <v>0</v>
      </c>
      <c r="Q108" s="294">
        <v>0</v>
      </c>
      <c r="R108" s="297"/>
    </row>
    <row r="109" spans="1:18" ht="12.75" customHeight="1">
      <c r="A109" s="293" t="s">
        <v>1011</v>
      </c>
      <c r="B109" s="299" t="s">
        <v>1012</v>
      </c>
      <c r="C109" s="313"/>
      <c r="D109" s="313"/>
      <c r="E109" s="313"/>
      <c r="F109" s="313"/>
      <c r="G109" s="313"/>
      <c r="H109" s="313"/>
      <c r="I109" s="313"/>
      <c r="J109" s="313"/>
      <c r="K109" s="314"/>
      <c r="L109" s="294">
        <v>0</v>
      </c>
      <c r="M109" s="294">
        <v>0</v>
      </c>
      <c r="N109" s="294">
        <v>0</v>
      </c>
      <c r="O109" s="294">
        <v>0</v>
      </c>
      <c r="P109" s="294">
        <v>0</v>
      </c>
      <c r="Q109" s="294">
        <v>0</v>
      </c>
      <c r="R109" s="297"/>
    </row>
    <row r="110" spans="1:18" ht="12.75" customHeight="1">
      <c r="A110" s="293" t="s">
        <v>1013</v>
      </c>
      <c r="B110" s="297" t="s">
        <v>1014</v>
      </c>
      <c r="C110" s="297"/>
      <c r="D110" s="297"/>
      <c r="E110" s="297"/>
      <c r="F110" s="297"/>
      <c r="G110" s="297"/>
      <c r="H110" s="297"/>
      <c r="I110" s="297"/>
      <c r="J110" s="297"/>
      <c r="K110" s="297"/>
      <c r="L110" s="294">
        <v>0</v>
      </c>
      <c r="M110" s="294">
        <v>0</v>
      </c>
      <c r="N110" s="294">
        <v>0</v>
      </c>
      <c r="O110" s="294">
        <v>0</v>
      </c>
      <c r="P110" s="294">
        <v>0</v>
      </c>
      <c r="Q110" s="294">
        <v>0</v>
      </c>
      <c r="R110" s="297"/>
    </row>
    <row r="111" spans="1:18" ht="12.75" customHeight="1">
      <c r="A111" s="293" t="s">
        <v>1015</v>
      </c>
      <c r="B111" s="299" t="s">
        <v>1016</v>
      </c>
      <c r="C111" s="313"/>
      <c r="D111" s="313"/>
      <c r="E111" s="313"/>
      <c r="F111" s="313"/>
      <c r="G111" s="313"/>
      <c r="H111" s="313"/>
      <c r="I111" s="313"/>
      <c r="J111" s="313"/>
      <c r="K111" s="314"/>
      <c r="L111" s="294">
        <f>'Veri Girişi'!$B$98</f>
        <v>7</v>
      </c>
      <c r="M111" s="294">
        <f>'Veri Girişi'!$B$98</f>
        <v>7</v>
      </c>
      <c r="N111" s="294">
        <f>'Veri Girişi'!$B$98</f>
        <v>7</v>
      </c>
      <c r="O111" s="294">
        <f>'Veri Girişi'!$B$98</f>
        <v>7</v>
      </c>
      <c r="P111" s="294">
        <f>'Veri Girişi'!$B$98</f>
        <v>7</v>
      </c>
      <c r="Q111" s="294">
        <f>'Veri Girişi'!$B$98</f>
        <v>7</v>
      </c>
      <c r="R111" s="297"/>
    </row>
    <row r="112" spans="1:18" ht="12.75" customHeight="1">
      <c r="A112" s="293" t="s">
        <v>1017</v>
      </c>
      <c r="B112" s="297" t="s">
        <v>1018</v>
      </c>
      <c r="C112" s="297"/>
      <c r="D112" s="297"/>
      <c r="E112" s="297"/>
      <c r="F112" s="297"/>
      <c r="G112" s="297"/>
      <c r="H112" s="297"/>
      <c r="I112" s="297"/>
      <c r="J112" s="297"/>
      <c r="K112" s="297"/>
      <c r="L112" s="294">
        <v>0</v>
      </c>
      <c r="M112" s="294">
        <v>0</v>
      </c>
      <c r="N112" s="294">
        <v>0</v>
      </c>
      <c r="O112" s="294">
        <v>0</v>
      </c>
      <c r="P112" s="294">
        <v>0</v>
      </c>
      <c r="Q112" s="294">
        <v>0</v>
      </c>
      <c r="R112" s="297"/>
    </row>
    <row r="113" spans="1:18" ht="12.75" customHeight="1">
      <c r="A113" s="293" t="s">
        <v>1019</v>
      </c>
      <c r="B113" s="299" t="s">
        <v>1020</v>
      </c>
      <c r="C113" s="313"/>
      <c r="D113" s="313"/>
      <c r="E113" s="313"/>
      <c r="F113" s="313"/>
      <c r="G113" s="313"/>
      <c r="H113" s="313"/>
      <c r="I113" s="313"/>
      <c r="J113" s="313"/>
      <c r="K113" s="314"/>
      <c r="L113" s="294">
        <v>1</v>
      </c>
      <c r="M113" s="294">
        <v>1</v>
      </c>
      <c r="N113" s="294">
        <v>1</v>
      </c>
      <c r="O113" s="294">
        <v>1</v>
      </c>
      <c r="P113" s="294">
        <v>1</v>
      </c>
      <c r="Q113" s="294">
        <v>1</v>
      </c>
      <c r="R113" s="297"/>
    </row>
    <row r="114" spans="1:18" ht="12.75" customHeight="1">
      <c r="A114" s="937" t="s">
        <v>291</v>
      </c>
      <c r="B114" s="300" t="s">
        <v>1021</v>
      </c>
      <c r="C114" s="301"/>
      <c r="D114" s="301"/>
      <c r="E114" s="301"/>
      <c r="F114" s="301"/>
      <c r="G114" s="301"/>
      <c r="H114" s="301"/>
      <c r="I114" s="301"/>
      <c r="J114" s="301"/>
      <c r="K114" s="302"/>
      <c r="L114" s="933">
        <f>'Veri Girişi'!$C$75</f>
        <v>700</v>
      </c>
      <c r="M114" s="933">
        <f>'Veri Girişi'!$C$75</f>
        <v>700</v>
      </c>
      <c r="N114" s="933">
        <v>0</v>
      </c>
      <c r="O114" s="933">
        <f>'Veri Girişi'!$C$75</f>
        <v>700</v>
      </c>
      <c r="P114" s="933">
        <f>'Veri Girişi'!$C$75</f>
        <v>700</v>
      </c>
      <c r="Q114" s="933">
        <f>'Veri Girişi'!$C$75</f>
        <v>700</v>
      </c>
      <c r="R114" s="297"/>
    </row>
    <row r="115" spans="1:18" ht="12.75" customHeight="1">
      <c r="A115" s="654"/>
      <c r="B115" s="305" t="s">
        <v>1022</v>
      </c>
      <c r="C115" s="306"/>
      <c r="D115" s="306"/>
      <c r="E115" s="306"/>
      <c r="F115" s="306"/>
      <c r="G115" s="306"/>
      <c r="H115" s="306"/>
      <c r="I115" s="306"/>
      <c r="J115" s="306"/>
      <c r="K115" s="307"/>
      <c r="L115" s="654"/>
      <c r="M115" s="654"/>
      <c r="N115" s="654"/>
      <c r="O115" s="654"/>
      <c r="P115" s="654"/>
      <c r="Q115" s="654"/>
      <c r="R115" s="297"/>
    </row>
    <row r="116" spans="1:18" ht="12.75" customHeight="1">
      <c r="A116" s="293" t="s">
        <v>349</v>
      </c>
      <c r="B116" s="297" t="s">
        <v>1023</v>
      </c>
      <c r="C116" s="297"/>
      <c r="D116" s="297"/>
      <c r="E116" s="297"/>
      <c r="F116" s="297"/>
      <c r="G116" s="297"/>
      <c r="H116" s="297"/>
      <c r="I116" s="297"/>
      <c r="J116" s="297"/>
      <c r="K116" s="297"/>
      <c r="L116" s="294">
        <f>'Veri Girişi'!$C$59</f>
        <v>800</v>
      </c>
      <c r="M116" s="294">
        <f>L116*1.25</f>
        <v>1000</v>
      </c>
      <c r="N116" s="294">
        <v>0</v>
      </c>
      <c r="O116" s="294">
        <v>0</v>
      </c>
      <c r="P116" s="294">
        <f>'Veri Girişi'!$C$59</f>
        <v>800</v>
      </c>
      <c r="Q116" s="294">
        <v>0</v>
      </c>
      <c r="R116" s="297"/>
    </row>
    <row r="117" spans="1:18" ht="12.75" customHeight="1">
      <c r="A117" s="293" t="s">
        <v>1024</v>
      </c>
      <c r="B117" s="299" t="s">
        <v>1025</v>
      </c>
      <c r="C117" s="313"/>
      <c r="D117" s="313"/>
      <c r="E117" s="313"/>
      <c r="F117" s="313"/>
      <c r="G117" s="313"/>
      <c r="H117" s="313"/>
      <c r="I117" s="313"/>
      <c r="J117" s="313"/>
      <c r="K117" s="314"/>
      <c r="L117" s="294">
        <f>'Veri Girişi'!$C$80</f>
        <v>1100</v>
      </c>
      <c r="M117" s="294">
        <f>'Veri Girişi'!$C$80</f>
        <v>1100</v>
      </c>
      <c r="N117" s="294">
        <f>'Veri Girişi'!$C$80</f>
        <v>1100</v>
      </c>
      <c r="O117" s="294">
        <v>0</v>
      </c>
      <c r="P117" s="294">
        <f>'Veri Girişi'!$C$80</f>
        <v>1100</v>
      </c>
      <c r="Q117" s="294">
        <f>'Veri Girişi'!$C$80</f>
        <v>1100</v>
      </c>
      <c r="R117" s="297"/>
    </row>
    <row r="118" spans="1:18" ht="12.75" customHeight="1">
      <c r="A118" s="293" t="s">
        <v>1026</v>
      </c>
      <c r="B118" s="297" t="s">
        <v>1027</v>
      </c>
      <c r="C118" s="297"/>
      <c r="D118" s="297"/>
      <c r="E118" s="297"/>
      <c r="F118" s="297"/>
      <c r="G118" s="297"/>
      <c r="H118" s="297"/>
      <c r="I118" s="297"/>
      <c r="J118" s="297"/>
      <c r="K118" s="297"/>
      <c r="L118" s="295">
        <f>(0.5*L130+L131)*'Veri Girişi'!$B$98*'11-Muk. Hesapları'!$AQ$18</f>
        <v>11.172000000000001</v>
      </c>
      <c r="M118" s="295">
        <f>(0.5*M130+M131)*'Veri Girişi'!$B$98*'11-Muk. Hesapları'!$AQ$18</f>
        <v>22.344000000000001</v>
      </c>
      <c r="N118" s="295">
        <f>(0.5*N130+N131)*'Veri Girişi'!$B$98*'11-Muk. Hesapları'!$AQ$18</f>
        <v>22.344000000000001</v>
      </c>
      <c r="O118" s="295">
        <f>(0.5*O130+O131)*'Veri Girişi'!$B$98*'11-Muk. Hesapları'!$AQ$18</f>
        <v>22.344000000000001</v>
      </c>
      <c r="P118" s="295">
        <f>(0.5*P130+P131)*'Veri Girişi'!$B$98*'11-Muk. Hesapları'!$AQ$18</f>
        <v>22.344000000000001</v>
      </c>
      <c r="Q118" s="295">
        <f>(0.5*Q130+Q131)*'Veri Girişi'!$B$98*'11-Muk. Hesapları'!$AQ$18</f>
        <v>22.344000000000001</v>
      </c>
      <c r="R118" s="297"/>
    </row>
    <row r="119" spans="1:18" ht="12.75" customHeight="1">
      <c r="A119" s="293" t="s">
        <v>1028</v>
      </c>
      <c r="B119" s="299" t="s">
        <v>1029</v>
      </c>
      <c r="C119" s="313"/>
      <c r="D119" s="313"/>
      <c r="E119" s="313"/>
      <c r="F119" s="313"/>
      <c r="G119" s="313"/>
      <c r="H119" s="313"/>
      <c r="I119" s="313"/>
      <c r="J119" s="313"/>
      <c r="K119" s="314"/>
      <c r="L119" s="295"/>
      <c r="M119" s="295">
        <f>(0.5*M130-M131)*'Veri Girişi'!$B$98*'11-Muk. Hesapları'!$AQ$18</f>
        <v>0</v>
      </c>
      <c r="N119" s="295">
        <f>(0.5*N130-N131)*'Veri Girişi'!$B$98*'11-Muk. Hesapları'!$AQ$18</f>
        <v>0</v>
      </c>
      <c r="O119" s="295">
        <f>(0.5*O130-O131)*'Veri Girişi'!$B$98*'11-Muk. Hesapları'!$AQ$18</f>
        <v>0</v>
      </c>
      <c r="P119" s="295">
        <f>(0.5*P130-P131)*'Veri Girişi'!$B$98*'11-Muk. Hesapları'!$AQ$18</f>
        <v>0</v>
      </c>
      <c r="Q119" s="295">
        <f>(0.5*Q130+Q131)*'Veri Girişi'!$B$98*'11-Muk. Hesapları'!$AQ$18</f>
        <v>22.344000000000001</v>
      </c>
      <c r="R119" s="297"/>
    </row>
    <row r="120" spans="1:18" ht="12" customHeight="1">
      <c r="A120" s="293" t="s">
        <v>1030</v>
      </c>
      <c r="B120" s="297" t="s">
        <v>1031</v>
      </c>
      <c r="C120" s="297"/>
      <c r="D120" s="297"/>
      <c r="E120" s="297"/>
      <c r="F120" s="297"/>
      <c r="G120" s="297"/>
      <c r="H120" s="297"/>
      <c r="I120" s="297"/>
      <c r="J120" s="297"/>
      <c r="K120" s="297"/>
      <c r="L120" s="295"/>
      <c r="M120" s="295">
        <f>(0.5*M130+M132)*'Veri Girişi'!$B$98*'11-Muk. Hesapları'!$AQ$18</f>
        <v>22.344000000000001</v>
      </c>
      <c r="N120" s="295">
        <f>(0.5*N130+N132)*'Veri Girişi'!$B$98*'11-Muk. Hesapları'!$AQ$18</f>
        <v>22.344000000000001</v>
      </c>
      <c r="O120" s="295">
        <f>('Veri Girişi'!B98)*('Veri Girişi'!C63)*(VLOOKUP('Veri Girişi'!B99,TABLOLAR!A32:C43,2,0))</f>
        <v>22.344000000000001</v>
      </c>
      <c r="P120" s="295">
        <f>(0.5*P130+P132)*'Veri Girişi'!$B$98*'11-Muk. Hesapları'!$AQ$18</f>
        <v>22.344000000000001</v>
      </c>
      <c r="Q120" s="295">
        <f>(0.5*Q130-Q132)*'Veri Girişi'!$B$98*'11-Muk. Hesapları'!$AQ$18</f>
        <v>0</v>
      </c>
      <c r="R120" s="297"/>
    </row>
    <row r="121" spans="1:18" ht="12.75" customHeight="1">
      <c r="A121" s="937" t="s">
        <v>1032</v>
      </c>
      <c r="B121" s="300" t="s">
        <v>1033</v>
      </c>
      <c r="C121" s="301"/>
      <c r="D121" s="301"/>
      <c r="E121" s="301"/>
      <c r="F121" s="301"/>
      <c r="G121" s="301"/>
      <c r="H121" s="301"/>
      <c r="I121" s="301"/>
      <c r="J121" s="301"/>
      <c r="K121" s="302"/>
      <c r="L121" s="933">
        <v>0</v>
      </c>
      <c r="M121" s="933">
        <v>0</v>
      </c>
      <c r="N121" s="933">
        <v>0</v>
      </c>
      <c r="O121" s="933">
        <v>0</v>
      </c>
      <c r="P121" s="933">
        <v>0</v>
      </c>
      <c r="Q121" s="933">
        <v>0</v>
      </c>
      <c r="R121" s="297"/>
    </row>
    <row r="122" spans="1:18" ht="12.75" customHeight="1">
      <c r="A122" s="654"/>
      <c r="B122" s="305" t="s">
        <v>1034</v>
      </c>
      <c r="C122" s="306"/>
      <c r="D122" s="306"/>
      <c r="E122" s="306"/>
      <c r="F122" s="306"/>
      <c r="G122" s="306"/>
      <c r="H122" s="306"/>
      <c r="I122" s="306"/>
      <c r="J122" s="306"/>
      <c r="K122" s="307"/>
      <c r="L122" s="654"/>
      <c r="M122" s="654"/>
      <c r="N122" s="654"/>
      <c r="O122" s="654"/>
      <c r="P122" s="654"/>
      <c r="Q122" s="654"/>
      <c r="R122" s="297"/>
    </row>
    <row r="123" spans="1:18" ht="12.75" customHeight="1">
      <c r="A123" s="293" t="s">
        <v>1035</v>
      </c>
      <c r="B123" s="297" t="s">
        <v>1036</v>
      </c>
      <c r="C123" s="297"/>
      <c r="D123" s="297"/>
      <c r="E123" s="297"/>
      <c r="F123" s="297"/>
      <c r="G123" s="297"/>
      <c r="H123" s="297"/>
      <c r="I123" s="297"/>
      <c r="J123" s="297"/>
      <c r="K123" s="297"/>
      <c r="L123" s="294">
        <v>0</v>
      </c>
      <c r="M123" s="294">
        <v>0</v>
      </c>
      <c r="N123" s="294">
        <v>0</v>
      </c>
      <c r="O123" s="294">
        <v>0</v>
      </c>
      <c r="P123" s="294">
        <v>0</v>
      </c>
      <c r="Q123" s="294">
        <v>0</v>
      </c>
      <c r="R123" s="297"/>
    </row>
    <row r="124" spans="1:18" ht="12.75" customHeight="1">
      <c r="A124" s="293" t="s">
        <v>1037</v>
      </c>
      <c r="B124" s="299" t="s">
        <v>1038</v>
      </c>
      <c r="C124" s="313"/>
      <c r="D124" s="313"/>
      <c r="E124" s="313"/>
      <c r="F124" s="313"/>
      <c r="G124" s="313"/>
      <c r="H124" s="313"/>
      <c r="I124" s="313"/>
      <c r="J124" s="313"/>
      <c r="K124" s="314"/>
      <c r="L124" s="294">
        <v>0</v>
      </c>
      <c r="M124" s="294">
        <v>0</v>
      </c>
      <c r="N124" s="294">
        <v>0</v>
      </c>
      <c r="O124" s="294">
        <v>0</v>
      </c>
      <c r="P124" s="294">
        <v>0</v>
      </c>
      <c r="Q124" s="294">
        <v>0</v>
      </c>
      <c r="R124" s="297"/>
    </row>
    <row r="125" spans="1:18" ht="12.75" customHeight="1">
      <c r="A125" s="937" t="s">
        <v>1039</v>
      </c>
      <c r="B125" s="297" t="s">
        <v>1040</v>
      </c>
      <c r="C125" s="297"/>
      <c r="D125" s="297"/>
      <c r="E125" s="297"/>
      <c r="F125" s="297"/>
      <c r="G125" s="297"/>
      <c r="H125" s="297"/>
      <c r="I125" s="297"/>
      <c r="J125" s="297"/>
      <c r="K125" s="297"/>
      <c r="L125" s="934">
        <f>(0.25*$L$130+L131)*VLOOKUP('Veri Girişi'!$B$108,TABLOLAR!$D$61:$G$64,4,0)+((0.25*$L$130+L131)*TABLOLAR!$G$62)</f>
        <v>6.7410000000000005</v>
      </c>
      <c r="M125" s="933">
        <v>0</v>
      </c>
      <c r="N125" s="933">
        <v>0</v>
      </c>
      <c r="O125" s="934">
        <f>(0.25*$L$130+0.5*O131)*VLOOKUP('Veri Girişi'!$B$108,TABLOLAR!$D$61:$G$64,4,0)+((0.25*$L$130+0.5*O131)*TABLOLAR!$G$62)</f>
        <v>13.482000000000001</v>
      </c>
      <c r="P125" s="933">
        <v>0</v>
      </c>
      <c r="Q125" s="934">
        <f>(0.25*$L$130+0.5*Q131)*VLOOKUP('Veri Girişi'!$B$108,TABLOLAR!$D$61:$G$64,4,0)+((0.25*$L$130+0.5*Q131)*TABLOLAR!$G$62)</f>
        <v>13.482000000000001</v>
      </c>
      <c r="R125" s="297"/>
    </row>
    <row r="126" spans="1:18" ht="12.75" customHeight="1">
      <c r="A126" s="654"/>
      <c r="B126" s="297" t="s">
        <v>1034</v>
      </c>
      <c r="C126" s="297"/>
      <c r="D126" s="297"/>
      <c r="E126" s="297"/>
      <c r="F126" s="297"/>
      <c r="G126" s="297"/>
      <c r="H126" s="297"/>
      <c r="I126" s="297"/>
      <c r="J126" s="297"/>
      <c r="K126" s="297"/>
      <c r="L126" s="654"/>
      <c r="M126" s="654"/>
      <c r="N126" s="654"/>
      <c r="O126" s="654"/>
      <c r="P126" s="654"/>
      <c r="Q126" s="654"/>
      <c r="R126" s="297"/>
    </row>
    <row r="127" spans="1:18" ht="12.75" customHeight="1">
      <c r="A127" s="293" t="s">
        <v>574</v>
      </c>
      <c r="B127" s="299" t="s">
        <v>1041</v>
      </c>
      <c r="C127" s="313"/>
      <c r="D127" s="313"/>
      <c r="E127" s="313"/>
      <c r="F127" s="313"/>
      <c r="G127" s="313"/>
      <c r="H127" s="313"/>
      <c r="I127" s="313"/>
      <c r="J127" s="313"/>
      <c r="K127" s="314"/>
      <c r="L127" s="294">
        <v>0</v>
      </c>
      <c r="M127" s="294">
        <v>0</v>
      </c>
      <c r="N127" s="294">
        <v>0</v>
      </c>
      <c r="O127" s="294">
        <v>0</v>
      </c>
      <c r="P127" s="294">
        <v>0</v>
      </c>
      <c r="Q127" s="294">
        <v>0</v>
      </c>
      <c r="R127" s="297"/>
    </row>
    <row r="128" spans="1:18" ht="12.75" customHeight="1">
      <c r="A128" s="293" t="s">
        <v>587</v>
      </c>
      <c r="B128" s="297" t="s">
        <v>1042</v>
      </c>
      <c r="C128" s="297"/>
      <c r="D128" s="297"/>
      <c r="E128" s="297"/>
      <c r="F128" s="297"/>
      <c r="G128" s="297"/>
      <c r="H128" s="297"/>
      <c r="I128" s="297"/>
      <c r="J128" s="297"/>
      <c r="K128" s="297"/>
      <c r="L128" s="294"/>
      <c r="M128" s="294">
        <v>0</v>
      </c>
      <c r="N128" s="294">
        <v>0</v>
      </c>
      <c r="O128" s="294">
        <v>0</v>
      </c>
      <c r="P128" s="294">
        <f>0.02*('11-Muk. Hesapları'!D250+'11-Muk. Hesapları'!I250+'11-Muk. Hesapları'!L250)</f>
        <v>135.15</v>
      </c>
      <c r="Q128" s="294">
        <f>0.02*('11-Muk. Hesapları'!D264+'11-Muk. Hesapları'!I264+'11-Muk. Hesapları'!L264-'11-Muk. Hesapları'!P264+'11-Muk. Hesapları'!S264+'11-Muk. Hesapları'!V264)</f>
        <v>80.799341000000013</v>
      </c>
      <c r="R128" s="297"/>
    </row>
    <row r="129" spans="1:18" ht="12.75" customHeight="1">
      <c r="A129" s="293" t="s">
        <v>595</v>
      </c>
      <c r="B129" s="299" t="s">
        <v>1043</v>
      </c>
      <c r="C129" s="313"/>
      <c r="D129" s="313"/>
      <c r="E129" s="313"/>
      <c r="F129" s="313"/>
      <c r="G129" s="313"/>
      <c r="H129" s="313"/>
      <c r="I129" s="313"/>
      <c r="J129" s="313"/>
      <c r="K129" s="314"/>
      <c r="L129" s="294"/>
      <c r="M129" s="294">
        <v>0</v>
      </c>
      <c r="N129" s="294">
        <v>0</v>
      </c>
      <c r="O129" s="294">
        <v>0</v>
      </c>
      <c r="P129" s="294">
        <f>0.015*('11-Muk. Hesapları'!D255+'11-Muk. Hesapları'!I255-'11-Muk. Hesapları'!L255)</f>
        <v>83.708324400000024</v>
      </c>
      <c r="Q129" s="294">
        <f>0.015*('11-Muk. Hesapları'!D269+'11-Muk. Hesapları'!I269+'11-Muk. Hesapları'!L269+'11-Muk. Hesapları'!P269+'11-Muk. Hesapları'!S269+'11-Muk. Hesapları'!V269)</f>
        <v>74.332499999999996</v>
      </c>
      <c r="R129" s="297"/>
    </row>
    <row r="130" spans="1:18" ht="12.75" customHeight="1">
      <c r="A130" s="293" t="s">
        <v>281</v>
      </c>
      <c r="B130" s="297" t="s">
        <v>1044</v>
      </c>
      <c r="C130" s="297"/>
      <c r="D130" s="297"/>
      <c r="E130" s="297"/>
      <c r="F130" s="297"/>
      <c r="G130" s="297"/>
      <c r="H130" s="297"/>
      <c r="I130" s="297"/>
      <c r="J130" s="297"/>
      <c r="K130" s="297"/>
      <c r="L130" s="295">
        <f>'Veri Girişi'!$C$63</f>
        <v>21</v>
      </c>
      <c r="M130" s="295">
        <f>'Veri Girişi'!$C$63</f>
        <v>21</v>
      </c>
      <c r="N130" s="295">
        <f>'Veri Girişi'!$C$63</f>
        <v>21</v>
      </c>
      <c r="O130" s="295">
        <f>'Veri Girişi'!$C$63</f>
        <v>21</v>
      </c>
      <c r="P130" s="295">
        <f>'Veri Girişi'!$C$63</f>
        <v>21</v>
      </c>
      <c r="Q130" s="295">
        <f>'Veri Girişi'!$C$63</f>
        <v>21</v>
      </c>
      <c r="R130" s="297"/>
    </row>
    <row r="131" spans="1:18" ht="12.75" customHeight="1">
      <c r="A131" s="293" t="s">
        <v>1045</v>
      </c>
      <c r="B131" s="299" t="s">
        <v>1046</v>
      </c>
      <c r="C131" s="313"/>
      <c r="D131" s="313"/>
      <c r="E131" s="313"/>
      <c r="F131" s="313"/>
      <c r="G131" s="313"/>
      <c r="H131" s="313"/>
      <c r="I131" s="313"/>
      <c r="J131" s="313"/>
      <c r="K131" s="314"/>
      <c r="L131" s="295">
        <v>0</v>
      </c>
      <c r="M131" s="295">
        <f>M130/2</f>
        <v>10.5</v>
      </c>
      <c r="N131" s="295">
        <f>N130/2</f>
        <v>10.5</v>
      </c>
      <c r="O131" s="295">
        <f>O130/2</f>
        <v>10.5</v>
      </c>
      <c r="P131" s="295">
        <f>P130/2</f>
        <v>10.5</v>
      </c>
      <c r="Q131" s="295">
        <f>(Q130/2)</f>
        <v>10.5</v>
      </c>
      <c r="R131" s="297"/>
    </row>
    <row r="132" spans="1:18" ht="12.75" customHeight="1">
      <c r="A132" s="293" t="s">
        <v>1047</v>
      </c>
      <c r="B132" s="299" t="s">
        <v>1048</v>
      </c>
      <c r="C132" s="313"/>
      <c r="D132" s="313"/>
      <c r="E132" s="313"/>
      <c r="F132" s="313"/>
      <c r="G132" s="313"/>
      <c r="H132" s="313"/>
      <c r="I132" s="313"/>
      <c r="J132" s="313"/>
      <c r="K132" s="314"/>
      <c r="L132" s="295">
        <v>0</v>
      </c>
      <c r="M132" s="295">
        <f>M130/2</f>
        <v>10.5</v>
      </c>
      <c r="N132" s="295">
        <f>N130/2</f>
        <v>10.5</v>
      </c>
      <c r="O132" s="295">
        <f>O130/2</f>
        <v>10.5</v>
      </c>
      <c r="P132" s="295">
        <f>P130/2</f>
        <v>10.5</v>
      </c>
      <c r="Q132" s="295">
        <f>Q130/2</f>
        <v>10.5</v>
      </c>
      <c r="R132" s="297"/>
    </row>
    <row r="133" spans="1:18" ht="12.75" customHeight="1">
      <c r="A133" s="293" t="s">
        <v>468</v>
      </c>
      <c r="B133" s="297" t="s">
        <v>1049</v>
      </c>
      <c r="C133" s="297"/>
      <c r="D133" s="297"/>
      <c r="E133" s="297"/>
      <c r="F133" s="297"/>
      <c r="G133" s="297"/>
      <c r="H133" s="297"/>
      <c r="I133" s="297"/>
      <c r="J133" s="297"/>
      <c r="K133" s="297"/>
      <c r="L133" s="315">
        <f>'Veri Girişi'!$B$100</f>
        <v>2</v>
      </c>
      <c r="M133" s="315">
        <f>'Veri Girişi'!$B$100</f>
        <v>2</v>
      </c>
      <c r="N133" s="315">
        <f>'Veri Girişi'!$B$100</f>
        <v>2</v>
      </c>
      <c r="O133" s="315">
        <f>'Veri Girişi'!$B$100</f>
        <v>2</v>
      </c>
      <c r="P133" s="315">
        <f>'Veri Girişi'!$B$100</f>
        <v>2</v>
      </c>
      <c r="Q133" s="315">
        <f>'Veri Girişi'!$B$100</f>
        <v>2</v>
      </c>
      <c r="R133" s="297"/>
    </row>
    <row r="134" spans="1:18" ht="12.75" customHeight="1">
      <c r="A134" s="293" t="s">
        <v>1050</v>
      </c>
      <c r="B134" s="299" t="s">
        <v>1051</v>
      </c>
      <c r="C134" s="313"/>
      <c r="D134" s="313"/>
      <c r="E134" s="313"/>
      <c r="F134" s="313"/>
      <c r="G134" s="313"/>
      <c r="H134" s="313"/>
      <c r="I134" s="313"/>
      <c r="J134" s="313"/>
      <c r="K134" s="314"/>
      <c r="L134" s="294">
        <v>0</v>
      </c>
      <c r="M134" s="294">
        <v>0</v>
      </c>
      <c r="N134" s="294">
        <v>0</v>
      </c>
      <c r="O134" s="294">
        <v>0</v>
      </c>
      <c r="P134" s="295">
        <f>'Veri Girişi'!$B$133</f>
        <v>0.8</v>
      </c>
      <c r="Q134" s="295">
        <f>'Veri Girişi'!$B$133</f>
        <v>0.8</v>
      </c>
      <c r="R134" s="297"/>
    </row>
    <row r="135" spans="1:18" ht="12.75" customHeight="1">
      <c r="A135" s="293" t="s">
        <v>1052</v>
      </c>
      <c r="B135" s="297" t="s">
        <v>1053</v>
      </c>
      <c r="C135" s="297"/>
      <c r="D135" s="297"/>
      <c r="E135" s="297"/>
      <c r="F135" s="297"/>
      <c r="G135" s="297"/>
      <c r="H135" s="297"/>
      <c r="I135" s="297"/>
      <c r="J135" s="297"/>
      <c r="K135" s="297"/>
      <c r="L135" s="295">
        <v>9.81</v>
      </c>
      <c r="M135" s="295">
        <v>9.81</v>
      </c>
      <c r="N135" s="295">
        <v>9.81</v>
      </c>
      <c r="O135" s="295">
        <v>9.81</v>
      </c>
      <c r="P135" s="295">
        <v>9.81</v>
      </c>
      <c r="Q135" s="295">
        <v>9.81</v>
      </c>
      <c r="R135" s="297"/>
    </row>
    <row r="136" spans="1:18" ht="12.75" customHeight="1">
      <c r="A136" s="293" t="s">
        <v>1054</v>
      </c>
      <c r="B136" s="299" t="s">
        <v>1055</v>
      </c>
      <c r="C136" s="313"/>
      <c r="D136" s="313"/>
      <c r="E136" s="313"/>
      <c r="F136" s="313"/>
      <c r="G136" s="313"/>
      <c r="H136" s="313"/>
      <c r="I136" s="313"/>
      <c r="J136" s="313"/>
      <c r="K136" s="314"/>
      <c r="L136" s="294">
        <v>0</v>
      </c>
      <c r="M136" s="294">
        <v>0</v>
      </c>
      <c r="N136" s="294">
        <v>0</v>
      </c>
      <c r="O136" s="294">
        <v>0</v>
      </c>
      <c r="P136" s="294">
        <v>0</v>
      </c>
      <c r="Q136" s="294">
        <v>0</v>
      </c>
      <c r="R136" s="297"/>
    </row>
    <row r="137" spans="1:18" ht="12.75" customHeight="1">
      <c r="A137" s="293" t="s">
        <v>1056</v>
      </c>
      <c r="B137" s="299" t="s">
        <v>1057</v>
      </c>
      <c r="C137" s="313"/>
      <c r="D137" s="313"/>
      <c r="E137" s="313"/>
      <c r="F137" s="313"/>
      <c r="G137" s="313"/>
      <c r="H137" s="313"/>
      <c r="I137" s="313"/>
      <c r="J137" s="313"/>
      <c r="K137" s="314"/>
      <c r="L137" s="294">
        <v>1</v>
      </c>
      <c r="M137" s="294">
        <v>1</v>
      </c>
      <c r="N137" s="294">
        <v>1</v>
      </c>
      <c r="O137" s="294">
        <v>1</v>
      </c>
      <c r="P137" s="294">
        <v>1</v>
      </c>
      <c r="Q137" s="294">
        <v>1</v>
      </c>
      <c r="R137" s="297"/>
    </row>
    <row r="138" spans="1:18" ht="12.75" customHeight="1">
      <c r="A138" s="293" t="s">
        <v>1058</v>
      </c>
      <c r="B138" s="299" t="s">
        <v>1059</v>
      </c>
      <c r="C138" s="313"/>
      <c r="D138" s="313"/>
      <c r="E138" s="313"/>
      <c r="F138" s="313"/>
      <c r="G138" s="313"/>
      <c r="H138" s="313"/>
      <c r="I138" s="313"/>
      <c r="J138" s="313"/>
      <c r="K138" s="314"/>
      <c r="L138" s="294">
        <v>0</v>
      </c>
      <c r="M138" s="294">
        <v>0</v>
      </c>
      <c r="N138" s="294">
        <v>0</v>
      </c>
      <c r="O138" s="294">
        <v>0</v>
      </c>
      <c r="P138" s="294">
        <v>0</v>
      </c>
      <c r="Q138" s="294">
        <v>0</v>
      </c>
      <c r="R138" s="297"/>
    </row>
  </sheetData>
  <mergeCells count="28">
    <mergeCell ref="A125:A126"/>
    <mergeCell ref="P101:P106"/>
    <mergeCell ref="A121:A122"/>
    <mergeCell ref="Q125:Q126"/>
    <mergeCell ref="M125:M126"/>
    <mergeCell ref="N114:N115"/>
    <mergeCell ref="P114:P115"/>
    <mergeCell ref="M121:M122"/>
    <mergeCell ref="O121:O122"/>
    <mergeCell ref="Q121:Q122"/>
    <mergeCell ref="Q101:Q106"/>
    <mergeCell ref="L125:L126"/>
    <mergeCell ref="A114:A115"/>
    <mergeCell ref="N125:N126"/>
    <mergeCell ref="M114:M115"/>
    <mergeCell ref="P100:Q100"/>
    <mergeCell ref="N100:O100"/>
    <mergeCell ref="L121:L122"/>
    <mergeCell ref="N121:N122"/>
    <mergeCell ref="O125:O126"/>
    <mergeCell ref="N101:N106"/>
    <mergeCell ref="O101:O106"/>
    <mergeCell ref="L114:L115"/>
    <mergeCell ref="P125:P126"/>
    <mergeCell ref="O114:O115"/>
    <mergeCell ref="Q114:Q115"/>
    <mergeCell ref="M101:M106"/>
    <mergeCell ref="P121:P12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277"/>
  <sheetViews>
    <sheetView topLeftCell="A178" zoomScaleNormal="100" workbookViewId="0">
      <selection activeCell="D259" sqref="D259"/>
    </sheetView>
  </sheetViews>
  <sheetFormatPr defaultColWidth="14.42578125" defaultRowHeight="12.75"/>
  <cols>
    <col min="1" max="3" width="13.28515625" style="1" customWidth="1"/>
    <col min="4" max="4" width="7.28515625" style="1" customWidth="1"/>
    <col min="5" max="5" width="12" style="1" customWidth="1"/>
    <col min="6" max="6" width="9.7109375" style="1" customWidth="1"/>
    <col min="7" max="7" width="8.7109375" style="1" customWidth="1"/>
    <col min="8" max="8" width="7.5703125" style="1" customWidth="1"/>
    <col min="9" max="9" width="20.28515625" style="1" customWidth="1"/>
    <col min="10" max="10" width="9.28515625" style="1" customWidth="1"/>
    <col min="11" max="11" width="8.7109375" style="1" customWidth="1"/>
    <col min="12" max="12" width="8" style="1" customWidth="1"/>
    <col min="13" max="13" width="9.28515625" style="1" customWidth="1"/>
    <col min="14" max="15" width="8.28515625" style="1" customWidth="1"/>
    <col min="16" max="20" width="7.5703125" style="1" customWidth="1"/>
    <col min="21" max="21" width="10.7109375" style="1" customWidth="1"/>
    <col min="22" max="22" width="9" style="1" customWidth="1"/>
    <col min="23" max="23" width="9.28515625" style="1" customWidth="1"/>
    <col min="24" max="24" width="11.28515625" style="1" customWidth="1"/>
    <col min="25" max="25" width="9.28515625" style="1" customWidth="1"/>
    <col min="26" max="27" width="7.5703125" style="1" customWidth="1"/>
    <col min="28" max="28" width="8.7109375" style="1" customWidth="1"/>
    <col min="29" max="35" width="7.5703125" style="1" customWidth="1"/>
    <col min="36" max="36" width="8.28515625" style="1" customWidth="1"/>
    <col min="37" max="38" width="7.5703125" style="1" customWidth="1"/>
    <col min="39" max="39" width="8.7109375" style="1" customWidth="1"/>
    <col min="40" max="40" width="7.5703125" style="1" customWidth="1"/>
    <col min="41" max="41" width="9.28515625" style="1" customWidth="1"/>
    <col min="42" max="42" width="7.42578125" style="1" customWidth="1"/>
    <col min="43" max="43" width="13.5703125" style="1" customWidth="1"/>
    <col min="44" max="44" width="11.7109375" style="1" customWidth="1"/>
    <col min="45" max="45" width="11.28515625" style="1" customWidth="1"/>
    <col min="46" max="46" width="17" style="1" customWidth="1"/>
    <col min="47" max="47" width="15" style="1" customWidth="1"/>
    <col min="48" max="48" width="14.42578125" style="1" customWidth="1"/>
    <col min="49" max="49" width="6.5703125" style="1" customWidth="1"/>
    <col min="50" max="58" width="9.28515625" style="1" customWidth="1"/>
    <col min="59" max="59" width="14.42578125" style="1" customWidth="1"/>
  </cols>
  <sheetData>
    <row r="1" spans="1:58" ht="24" customHeight="1">
      <c r="A1" s="316" t="s">
        <v>1060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7"/>
      <c r="AO1" s="297"/>
      <c r="AP1" s="297"/>
      <c r="AQ1" s="297"/>
      <c r="AR1" s="297"/>
      <c r="AS1" s="297"/>
      <c r="AT1" s="297"/>
      <c r="AU1" s="297"/>
      <c r="AV1" s="297"/>
      <c r="AW1" s="297"/>
      <c r="AX1" s="297"/>
      <c r="AY1" s="297"/>
      <c r="AZ1" s="297"/>
      <c r="BA1" s="297"/>
      <c r="BB1" s="297"/>
      <c r="BC1" s="297"/>
      <c r="BD1" s="297"/>
      <c r="BE1" s="297"/>
      <c r="BF1" s="297"/>
    </row>
    <row r="2" spans="1:58" ht="15.75" customHeight="1">
      <c r="A2" s="939" t="s">
        <v>1061</v>
      </c>
      <c r="B2" s="639"/>
      <c r="C2" s="641"/>
      <c r="D2" s="297"/>
      <c r="E2" s="940" t="s">
        <v>1062</v>
      </c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39"/>
      <c r="U2" s="639"/>
      <c r="V2" s="641"/>
      <c r="W2" s="297"/>
      <c r="X2" s="940" t="s">
        <v>1063</v>
      </c>
      <c r="Y2" s="639"/>
      <c r="Z2" s="639"/>
      <c r="AA2" s="639"/>
      <c r="AB2" s="639"/>
      <c r="AC2" s="639"/>
      <c r="AD2" s="639"/>
      <c r="AE2" s="639"/>
      <c r="AF2" s="639"/>
      <c r="AG2" s="639"/>
      <c r="AH2" s="639"/>
      <c r="AI2" s="639"/>
      <c r="AJ2" s="639"/>
      <c r="AK2" s="639"/>
      <c r="AL2" s="639"/>
      <c r="AM2" s="639"/>
      <c r="AN2" s="639"/>
      <c r="AO2" s="641"/>
      <c r="AP2" s="297"/>
      <c r="AQ2" s="939" t="s">
        <v>1064</v>
      </c>
      <c r="AR2" s="639"/>
      <c r="AS2" s="639"/>
      <c r="AT2" s="639"/>
      <c r="AU2" s="639"/>
      <c r="AV2" s="641"/>
      <c r="AW2" s="297"/>
      <c r="AX2" s="939" t="s">
        <v>1065</v>
      </c>
      <c r="AY2" s="641"/>
      <c r="AZ2" s="297"/>
      <c r="BA2" s="297"/>
      <c r="BB2" s="297"/>
      <c r="BC2" s="297"/>
      <c r="BD2" s="297"/>
      <c r="BE2" s="297"/>
      <c r="BF2" s="297"/>
    </row>
    <row r="3" spans="1:58" ht="15.75" customHeight="1">
      <c r="A3" s="300" t="s">
        <v>1066</v>
      </c>
      <c r="B3" s="313"/>
      <c r="C3" s="318" t="s">
        <v>266</v>
      </c>
      <c r="D3" s="297"/>
      <c r="E3" s="941" t="s">
        <v>1067</v>
      </c>
      <c r="F3" s="319" t="s">
        <v>1068</v>
      </c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4"/>
      <c r="W3" s="297"/>
      <c r="X3" s="941" t="s">
        <v>1067</v>
      </c>
      <c r="Y3" s="319" t="s">
        <v>1068</v>
      </c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13"/>
      <c r="AK3" s="313"/>
      <c r="AL3" s="313"/>
      <c r="AM3" s="313"/>
      <c r="AN3" s="313"/>
      <c r="AO3" s="314"/>
      <c r="AP3" s="297"/>
      <c r="AQ3" s="298"/>
      <c r="AR3" s="942" t="s">
        <v>1069</v>
      </c>
      <c r="AS3" s="639"/>
      <c r="AT3" s="639"/>
      <c r="AU3" s="639"/>
      <c r="AV3" s="641"/>
      <c r="AW3" s="297"/>
      <c r="AX3" s="320" t="s">
        <v>1070</v>
      </c>
      <c r="AY3" s="291" t="s">
        <v>1071</v>
      </c>
      <c r="AZ3" s="297"/>
      <c r="BA3" s="297"/>
      <c r="BB3" s="297"/>
      <c r="BC3" s="297"/>
      <c r="BD3" s="297"/>
      <c r="BE3" s="297"/>
      <c r="BF3" s="297"/>
    </row>
    <row r="4" spans="1:58" ht="15.75" customHeight="1">
      <c r="A4" s="293"/>
      <c r="B4" s="293" t="s">
        <v>1072</v>
      </c>
      <c r="C4" s="318">
        <v>1</v>
      </c>
      <c r="D4" s="297"/>
      <c r="E4" s="936"/>
      <c r="F4" s="318">
        <v>180</v>
      </c>
      <c r="G4" s="318">
        <v>225</v>
      </c>
      <c r="H4" s="318">
        <v>300</v>
      </c>
      <c r="I4" s="318">
        <v>320</v>
      </c>
      <c r="J4" s="318">
        <v>375</v>
      </c>
      <c r="K4" s="318">
        <v>400</v>
      </c>
      <c r="L4" s="318">
        <v>450</v>
      </c>
      <c r="M4" s="318">
        <v>525</v>
      </c>
      <c r="N4" s="318">
        <v>600</v>
      </c>
      <c r="O4" s="318">
        <v>630</v>
      </c>
      <c r="P4" s="318">
        <v>675</v>
      </c>
      <c r="Q4" s="318">
        <v>750</v>
      </c>
      <c r="R4" s="318">
        <v>800</v>
      </c>
      <c r="S4" s="318">
        <v>825</v>
      </c>
      <c r="T4" s="318">
        <v>900</v>
      </c>
      <c r="U4" s="318">
        <v>975</v>
      </c>
      <c r="V4" s="318">
        <v>1000</v>
      </c>
      <c r="W4" s="297"/>
      <c r="X4" s="936"/>
      <c r="Y4" s="318">
        <v>180</v>
      </c>
      <c r="Z4" s="318">
        <v>225</v>
      </c>
      <c r="AA4" s="318">
        <v>300</v>
      </c>
      <c r="AB4" s="318">
        <v>320</v>
      </c>
      <c r="AC4" s="318">
        <v>375</v>
      </c>
      <c r="AD4" s="318">
        <v>400</v>
      </c>
      <c r="AE4" s="318">
        <v>450</v>
      </c>
      <c r="AF4" s="318">
        <v>525</v>
      </c>
      <c r="AG4" s="318">
        <v>600</v>
      </c>
      <c r="AH4" s="318">
        <v>630</v>
      </c>
      <c r="AI4" s="318">
        <v>675</v>
      </c>
      <c r="AJ4" s="318">
        <v>750</v>
      </c>
      <c r="AK4" s="318">
        <v>800</v>
      </c>
      <c r="AL4" s="318">
        <v>825</v>
      </c>
      <c r="AM4" s="318">
        <v>900</v>
      </c>
      <c r="AN4" s="318">
        <v>975</v>
      </c>
      <c r="AO4" s="318">
        <v>1000</v>
      </c>
      <c r="AP4" s="297"/>
      <c r="AQ4" s="321"/>
      <c r="AR4" s="322" t="s">
        <v>979</v>
      </c>
      <c r="AS4" s="323" t="s">
        <v>981</v>
      </c>
      <c r="AT4" s="291" t="s">
        <v>984</v>
      </c>
      <c r="AU4" s="291" t="s">
        <v>986</v>
      </c>
      <c r="AV4" s="291" t="s">
        <v>91</v>
      </c>
      <c r="AW4" s="297"/>
      <c r="AX4" s="293" t="s">
        <v>1073</v>
      </c>
      <c r="AY4" s="293">
        <v>10</v>
      </c>
      <c r="AZ4" s="297"/>
      <c r="BA4" s="297"/>
      <c r="BB4" s="297"/>
      <c r="BC4" s="297"/>
      <c r="BD4" s="297"/>
      <c r="BE4" s="297"/>
      <c r="BF4" s="297"/>
    </row>
    <row r="5" spans="1:58" ht="15.75" customHeight="1">
      <c r="A5" s="293" t="s">
        <v>118</v>
      </c>
      <c r="B5" s="293" t="s">
        <v>1074</v>
      </c>
      <c r="C5" s="318">
        <v>2</v>
      </c>
      <c r="D5" s="297"/>
      <c r="E5" s="654"/>
      <c r="F5" s="318" t="b">
        <f>IF('Veri Girişi'!$C$59=TABLOLAR!F4,VLOOKUP('Veri Girişi'!$B$129,TABLOLAR!$E$6:$V$28,2,0))</f>
        <v>0</v>
      </c>
      <c r="G5" s="318" t="b">
        <f>IF('Veri Girişi'!$C$59=TABLOLAR!G4,VLOOKUP('Veri Girişi'!$B$129,TABLOLAR!$E$6:$V$28,3,0))</f>
        <v>0</v>
      </c>
      <c r="H5" s="318" t="b">
        <f>IF('Veri Girişi'!$C$59=TABLOLAR!H4,VLOOKUP('Veri Girişi'!$B$129,TABLOLAR!$E$6:$V$28,4,0))</f>
        <v>0</v>
      </c>
      <c r="I5" s="318" t="b">
        <f>IF('Veri Girişi'!$C$59=TABLOLAR!I4,VLOOKUP('Veri Girişi'!$B$129,TABLOLAR!$E$6:$V$28,5,0))</f>
        <v>0</v>
      </c>
      <c r="J5" s="318" t="b">
        <f>IF('Veri Girişi'!$C$59=TABLOLAR!J4,VLOOKUP('Veri Girişi'!$B$129,TABLOLAR!$E$6:$V$28,6,0))</f>
        <v>0</v>
      </c>
      <c r="K5" s="318" t="b">
        <f>IF('Veri Girişi'!$C$59=TABLOLAR!K4,VLOOKUP('Veri Girişi'!$B$129,TABLOLAR!$E$6:$V$28,7,0))</f>
        <v>0</v>
      </c>
      <c r="L5" s="318" t="b">
        <f>IF('Veri Girişi'!$C$59=TABLOLAR!L4,VLOOKUP('Veri Girişi'!$B$129,TABLOLAR!$E$6:$V$28,8,0))</f>
        <v>0</v>
      </c>
      <c r="M5" s="318" t="b">
        <f>IF('Veri Girişi'!$C$59=TABLOLAR!M4,VLOOKUP('Veri Girişi'!$B$129,TABLOLAR!$E$6:$V$28,9,0))</f>
        <v>0</v>
      </c>
      <c r="N5" s="318" t="b">
        <f>IF('Veri Girişi'!$C$59=TABLOLAR!N4,VLOOKUP('Veri Girişi'!$B$129,TABLOLAR!$E$6:$V$28,10,0))</f>
        <v>0</v>
      </c>
      <c r="O5" s="318" t="b">
        <f>IF('Veri Girişi'!$C$59=TABLOLAR!O4,VLOOKUP('Veri Girişi'!$B$129,TABLOLAR!$E$6:$V$28,11,0))</f>
        <v>0</v>
      </c>
      <c r="P5" s="318" t="b">
        <f>IF('Veri Girişi'!$C$59=TABLOLAR!P4,VLOOKUP('Veri Girişi'!$B$129,TABLOLAR!$E$6:$V$28,12,0))</f>
        <v>0</v>
      </c>
      <c r="Q5" s="318" t="b">
        <f>IF('Veri Girişi'!$C$59=TABLOLAR!Q4,VLOOKUP('Veri Girişi'!$B$129,TABLOLAR!$E$6:$V$28,13,0))</f>
        <v>0</v>
      </c>
      <c r="R5" s="324">
        <f>IF('Veri Girişi'!$C$59=TABLOLAR!R4,VLOOKUP('Veri Girişi'!$B$129,TABLOLAR!$E$6:$V$28,14,0))</f>
        <v>5.7</v>
      </c>
      <c r="S5" s="318" t="b">
        <f>IF('Veri Girişi'!$C$59=TABLOLAR!S4,VLOOKUP('Veri Girişi'!$B$129,TABLOLAR!$E$6:$V$28,15,0))</f>
        <v>0</v>
      </c>
      <c r="T5" s="318" t="b">
        <f>IF('Veri Girişi'!$C$59=TABLOLAR!T4,VLOOKUP('Veri Girişi'!$B$129,TABLOLAR!$E$6:$V$28,16,0))</f>
        <v>0</v>
      </c>
      <c r="U5" s="318" t="b">
        <f>IF('Veri Girişi'!$C$59=TABLOLAR!U4,VLOOKUP('Veri Girişi'!$B$129,TABLOLAR!$E$6:$V$28,17,0))</f>
        <v>0</v>
      </c>
      <c r="V5" s="318" t="b">
        <f>IF('Veri Girişi'!$C$59=TABLOLAR!V4,VLOOKUP('Veri Girişi'!$B$129,TABLOLAR!$E$6:$V$28,18,0))</f>
        <v>0</v>
      </c>
      <c r="W5" s="297"/>
      <c r="X5" s="654"/>
      <c r="Y5" s="318" t="b">
        <f>IF('Veri Girişi'!$C$59=TABLOLAR!Y4,VLOOKUP('Veri Girişi'!$B$129,TABLOLAR!$X$6:$AO$28,2,0))</f>
        <v>0</v>
      </c>
      <c r="Z5" s="318" t="b">
        <f>IF('Veri Girişi'!$C$59=TABLOLAR!Z4,VLOOKUP('Veri Girişi'!$B$129,TABLOLAR!$X$6:$AO$28,3,0))</f>
        <v>0</v>
      </c>
      <c r="AA5" s="318" t="b">
        <f>IF('Veri Girişi'!$C$59=TABLOLAR!AA4,VLOOKUP('Veri Girişi'!$B$129,TABLOLAR!$X$6:$AO$28,4,0))</f>
        <v>0</v>
      </c>
      <c r="AB5" s="318" t="b">
        <f>IF('Veri Girişi'!$C$59=TABLOLAR!AB4,VLOOKUP('Veri Girişi'!$B$129,TABLOLAR!$X$6:$AO$28,5,0))</f>
        <v>0</v>
      </c>
      <c r="AC5" s="318" t="b">
        <f>IF('Veri Girişi'!$C$59=TABLOLAR!AC4,VLOOKUP('Veri Girişi'!$B$129,TABLOLAR!$X$6:$AO$28,6,0))</f>
        <v>0</v>
      </c>
      <c r="AD5" s="318" t="b">
        <f>IF('Veri Girişi'!$C$59=TABLOLAR!AD4,VLOOKUP('Veri Girişi'!$B$129,TABLOLAR!$X$6:$AO$28,7,0))</f>
        <v>0</v>
      </c>
      <c r="AE5" s="318" t="b">
        <f>IF('Veri Girişi'!$C$59=TABLOLAR!AE4,VLOOKUP('Veri Girişi'!$B$129,TABLOLAR!$X$6:$AO$28,8,0))</f>
        <v>0</v>
      </c>
      <c r="AF5" s="318" t="b">
        <f>IF('Veri Girişi'!$C$59=TABLOLAR!AF4,VLOOKUP('Veri Girişi'!$B$129,TABLOLAR!$X$6:$AO$28,9,0))</f>
        <v>0</v>
      </c>
      <c r="AG5" s="318" t="b">
        <f>IF('Veri Girişi'!$C$59=TABLOLAR!AG4,VLOOKUP('Veri Girişi'!$B$129,TABLOLAR!$X$6:$AO$28,10,0))</f>
        <v>0</v>
      </c>
      <c r="AH5" s="318" t="b">
        <f>IF('Veri Girişi'!$C$59=TABLOLAR!AH4,VLOOKUP('Veri Girişi'!$B$129,TABLOLAR!$X$6:$AO$28,11,0))</f>
        <v>0</v>
      </c>
      <c r="AI5" s="318" t="b">
        <f>IF('Veri Girişi'!$C$59=TABLOLAR!AI4,VLOOKUP('Veri Girişi'!$B$129,TABLOLAR!$X$6:$AO$28,12,0))</f>
        <v>0</v>
      </c>
      <c r="AJ5" s="318" t="b">
        <f>IF('Veri Girişi'!$C$59=TABLOLAR!AJ4,VLOOKUP('Veri Girişi'!$B$129,TABLOLAR!$X$6:$AO$28,13,0))</f>
        <v>0</v>
      </c>
      <c r="AK5" s="324">
        <f>IF('Veri Girişi'!$C$59=TABLOLAR!AK4,VLOOKUP('Veri Girişi'!$B$129,TABLOLAR!$X$6:$AO$28,14,0))</f>
        <v>4.5999999999999996</v>
      </c>
      <c r="AL5" s="318" t="b">
        <f>IF('Veri Girişi'!$C$59=TABLOLAR!AL4,VLOOKUP('Veri Girişi'!$B$129,TABLOLAR!$X$6:$AO$28,15,0))</f>
        <v>0</v>
      </c>
      <c r="AM5" s="318" t="b">
        <f>IF('Veri Girişi'!$C$59=TABLOLAR!AM4,VLOOKUP('Veri Girişi'!$B$129,TABLOLAR!$X$6:$AO$28,16,0))</f>
        <v>0</v>
      </c>
      <c r="AN5" s="318" t="b">
        <f>IF('Veri Girişi'!$C$59=TABLOLAR!AN4,VLOOKUP('Veri Girişi'!$B$129,TABLOLAR!$X$6:$AO$28,17,0))</f>
        <v>0</v>
      </c>
      <c r="AO5" s="318" t="b">
        <f>IF('Veri Girişi'!$C$59=TABLOLAR!AO4,VLOOKUP('Veri Girişi'!$B$129,TABLOLAR!$X$6:$AO$28,18,0))</f>
        <v>0</v>
      </c>
      <c r="AP5" s="297"/>
      <c r="AQ5" s="325" t="s">
        <v>1075</v>
      </c>
      <c r="AR5" s="293" t="b">
        <f>IF('Veri Girişi'!$C$66=TABLOLAR!AR4,VLOOKUP('Veri Girişi'!$C$71,$AQ$6:$AV$13,2,0))</f>
        <v>0</v>
      </c>
      <c r="AS5" s="293" t="b">
        <f>IF('Veri Girişi'!$C$66=TABLOLAR!AS4,VLOOKUP('Veri Girişi'!$C$71,$AQ$6:$AV$13,3,0))</f>
        <v>0</v>
      </c>
      <c r="AT5" s="293" t="b">
        <f>IF('Veri Girişi'!$C$66=TABLOLAR!AT4,VLOOKUP('Veri Girişi'!$C$71,$AQ$6:$AV$13,4,0))</f>
        <v>0</v>
      </c>
      <c r="AU5" s="293" t="b">
        <f>IF('Veri Girişi'!$C$66=TABLOLAR!AU4,VLOOKUP('Veri Girişi'!$C$71,$AQ$6:$AV$13,5,0))</f>
        <v>0</v>
      </c>
      <c r="AV5" s="293">
        <f>IF('Veri Girişi'!$C$66=TABLOLAR!AV4,VLOOKUP('Veri Girişi'!$C$71,$AQ$6:$AV$13,6,0))</f>
        <v>2.5</v>
      </c>
      <c r="AW5" s="297"/>
      <c r="AX5" s="293">
        <v>1</v>
      </c>
      <c r="AY5" s="293">
        <v>7</v>
      </c>
      <c r="AZ5" s="297"/>
      <c r="BA5" s="297"/>
      <c r="BB5" s="297"/>
      <c r="BC5" s="297"/>
      <c r="BD5" s="297"/>
      <c r="BE5" s="297"/>
      <c r="BF5" s="297"/>
    </row>
    <row r="6" spans="1:58" ht="12.75" customHeight="1">
      <c r="A6" s="293" t="s">
        <v>1076</v>
      </c>
      <c r="B6" s="293" t="s">
        <v>1077</v>
      </c>
      <c r="C6" s="318">
        <v>1</v>
      </c>
      <c r="D6" s="297"/>
      <c r="E6" s="326">
        <v>2</v>
      </c>
      <c r="F6" s="324">
        <v>1.9</v>
      </c>
      <c r="G6" s="324">
        <v>1.9</v>
      </c>
      <c r="H6" s="324">
        <v>2</v>
      </c>
      <c r="I6" s="324">
        <v>2</v>
      </c>
      <c r="J6" s="324">
        <v>2.1</v>
      </c>
      <c r="K6" s="324">
        <v>2.1</v>
      </c>
      <c r="L6" s="324">
        <v>2.2000000000000002</v>
      </c>
      <c r="M6" s="324">
        <v>2.2000000000000002</v>
      </c>
      <c r="N6" s="324">
        <v>2.2999999999999998</v>
      </c>
      <c r="O6" s="324">
        <v>2.2999999999999998</v>
      </c>
      <c r="P6" s="324">
        <v>2.2999999999999998</v>
      </c>
      <c r="Q6" s="324">
        <v>2.4</v>
      </c>
      <c r="R6" s="324">
        <v>2.4</v>
      </c>
      <c r="S6" s="324">
        <v>2.4</v>
      </c>
      <c r="T6" s="324">
        <v>2.5</v>
      </c>
      <c r="U6" s="324">
        <v>2.5</v>
      </c>
      <c r="V6" s="324">
        <v>2.5</v>
      </c>
      <c r="W6" s="297"/>
      <c r="X6" s="326">
        <v>2</v>
      </c>
      <c r="Y6" s="324">
        <v>1.8</v>
      </c>
      <c r="Z6" s="324">
        <v>1.9</v>
      </c>
      <c r="AA6" s="324">
        <v>2.1</v>
      </c>
      <c r="AB6" s="324">
        <v>2.1</v>
      </c>
      <c r="AC6" s="324">
        <v>2.2999999999999998</v>
      </c>
      <c r="AD6" s="324">
        <v>2.2999999999999998</v>
      </c>
      <c r="AE6" s="324">
        <v>2.5</v>
      </c>
      <c r="AF6" s="324">
        <v>2.7</v>
      </c>
      <c r="AG6" s="324">
        <v>2.8</v>
      </c>
      <c r="AH6" s="324">
        <v>2.9</v>
      </c>
      <c r="AI6" s="324">
        <v>3</v>
      </c>
      <c r="AJ6" s="324">
        <v>3.2</v>
      </c>
      <c r="AK6" s="324">
        <v>3.2</v>
      </c>
      <c r="AL6" s="324">
        <v>3.3</v>
      </c>
      <c r="AM6" s="324">
        <v>3.2</v>
      </c>
      <c r="AN6" s="324">
        <v>3.3</v>
      </c>
      <c r="AO6" s="324">
        <v>3.4</v>
      </c>
      <c r="AP6" s="297"/>
      <c r="AQ6" s="327">
        <v>700</v>
      </c>
      <c r="AR6" s="328">
        <v>5</v>
      </c>
      <c r="AS6" s="328">
        <v>5</v>
      </c>
      <c r="AT6" s="293">
        <v>2</v>
      </c>
      <c r="AU6" s="293">
        <v>2.4</v>
      </c>
      <c r="AV6" s="293">
        <v>2.4</v>
      </c>
      <c r="AW6" s="297"/>
      <c r="AX6" s="293">
        <v>1.2</v>
      </c>
      <c r="AY6" s="293">
        <v>6.5</v>
      </c>
      <c r="AZ6" s="297"/>
      <c r="BA6" s="297"/>
      <c r="BB6" s="297"/>
      <c r="BC6" s="297"/>
      <c r="BD6" s="297"/>
      <c r="BE6" s="297"/>
      <c r="BF6" s="297"/>
    </row>
    <row r="7" spans="1:58" ht="12.75" customHeight="1">
      <c r="A7" s="293" t="s">
        <v>1078</v>
      </c>
      <c r="B7" s="293" t="s">
        <v>1079</v>
      </c>
      <c r="C7" s="318">
        <v>1</v>
      </c>
      <c r="D7" s="297"/>
      <c r="E7" s="326">
        <v>3</v>
      </c>
      <c r="F7" s="324">
        <v>2.7</v>
      </c>
      <c r="G7" s="324">
        <v>2.7</v>
      </c>
      <c r="H7" s="324">
        <v>2.8</v>
      </c>
      <c r="I7" s="324">
        <v>2.8</v>
      </c>
      <c r="J7" s="324">
        <v>2.9</v>
      </c>
      <c r="K7" s="324">
        <v>2.9</v>
      </c>
      <c r="L7" s="324">
        <v>3</v>
      </c>
      <c r="M7" s="324">
        <v>3</v>
      </c>
      <c r="N7" s="324">
        <v>3.1</v>
      </c>
      <c r="O7" s="324">
        <v>3.1</v>
      </c>
      <c r="P7" s="324">
        <v>3.1</v>
      </c>
      <c r="Q7" s="324">
        <v>3.2</v>
      </c>
      <c r="R7" s="324">
        <v>3.2</v>
      </c>
      <c r="S7" s="324">
        <v>3.2</v>
      </c>
      <c r="T7" s="324">
        <v>3.3</v>
      </c>
      <c r="U7" s="324">
        <v>3.3</v>
      </c>
      <c r="V7" s="324">
        <v>3.3</v>
      </c>
      <c r="W7" s="297"/>
      <c r="X7" s="326">
        <v>3</v>
      </c>
      <c r="Y7" s="324">
        <v>2</v>
      </c>
      <c r="Z7" s="324">
        <v>2.1</v>
      </c>
      <c r="AA7" s="324">
        <v>2.2999999999999998</v>
      </c>
      <c r="AB7" s="324">
        <v>2.2999999999999998</v>
      </c>
      <c r="AC7" s="324">
        <v>2.5</v>
      </c>
      <c r="AD7" s="324">
        <v>2.5</v>
      </c>
      <c r="AE7" s="324">
        <v>2.7</v>
      </c>
      <c r="AF7" s="324">
        <v>2.9</v>
      </c>
      <c r="AG7" s="324">
        <v>3.2</v>
      </c>
      <c r="AH7" s="324">
        <v>3.3</v>
      </c>
      <c r="AI7" s="324">
        <v>3.4</v>
      </c>
      <c r="AJ7" s="324">
        <v>3.6</v>
      </c>
      <c r="AK7" s="324">
        <v>3.6</v>
      </c>
      <c r="AL7" s="324">
        <v>3.7</v>
      </c>
      <c r="AM7" s="324">
        <v>3.6</v>
      </c>
      <c r="AN7" s="324">
        <v>3.7</v>
      </c>
      <c r="AO7" s="324">
        <v>3.8</v>
      </c>
      <c r="AP7" s="297"/>
      <c r="AQ7" s="327">
        <v>800</v>
      </c>
      <c r="AR7" s="328">
        <v>5</v>
      </c>
      <c r="AS7" s="328">
        <v>5</v>
      </c>
      <c r="AT7" s="293">
        <v>2</v>
      </c>
      <c r="AU7" s="293">
        <v>2.5</v>
      </c>
      <c r="AV7" s="293">
        <v>2.5</v>
      </c>
      <c r="AW7" s="297"/>
      <c r="AX7" s="293">
        <v>1.6</v>
      </c>
      <c r="AY7" s="293">
        <v>6</v>
      </c>
      <c r="AZ7" s="297"/>
      <c r="BA7" s="297"/>
      <c r="BB7" s="297"/>
      <c r="BC7" s="297"/>
      <c r="BD7" s="297"/>
      <c r="BE7" s="297"/>
      <c r="BF7" s="297"/>
    </row>
    <row r="8" spans="1:58" ht="12.75" customHeight="1">
      <c r="A8" s="293" t="s">
        <v>1080</v>
      </c>
      <c r="B8" s="293" t="s">
        <v>1081</v>
      </c>
      <c r="C8" s="318">
        <v>8</v>
      </c>
      <c r="D8" s="297"/>
      <c r="E8" s="326">
        <v>4</v>
      </c>
      <c r="F8" s="324">
        <v>3.5</v>
      </c>
      <c r="G8" s="324">
        <v>3.5</v>
      </c>
      <c r="H8" s="324">
        <v>3.6</v>
      </c>
      <c r="I8" s="324">
        <v>3.6</v>
      </c>
      <c r="J8" s="324">
        <v>3.7</v>
      </c>
      <c r="K8" s="324">
        <v>3.7</v>
      </c>
      <c r="L8" s="324">
        <v>3.8</v>
      </c>
      <c r="M8" s="324">
        <v>3.8</v>
      </c>
      <c r="N8" s="324">
        <v>3.9</v>
      </c>
      <c r="O8" s="324">
        <v>3.9</v>
      </c>
      <c r="P8" s="324">
        <v>3.9</v>
      </c>
      <c r="Q8" s="324">
        <v>4</v>
      </c>
      <c r="R8" s="324">
        <v>4</v>
      </c>
      <c r="S8" s="324">
        <v>4</v>
      </c>
      <c r="T8" s="324">
        <v>4.0999999999999996</v>
      </c>
      <c r="U8" s="324">
        <v>4.0999999999999996</v>
      </c>
      <c r="V8" s="324">
        <v>4.0999999999999996</v>
      </c>
      <c r="W8" s="297"/>
      <c r="X8" s="326">
        <v>4</v>
      </c>
      <c r="Y8" s="324">
        <v>2.2000000000000002</v>
      </c>
      <c r="Z8" s="324">
        <v>2.2999999999999998</v>
      </c>
      <c r="AA8" s="324">
        <v>2.5</v>
      </c>
      <c r="AB8" s="324">
        <v>2.5</v>
      </c>
      <c r="AC8" s="324">
        <v>2.7</v>
      </c>
      <c r="AD8" s="324">
        <v>2.7</v>
      </c>
      <c r="AE8" s="324">
        <v>2.9</v>
      </c>
      <c r="AF8" s="324">
        <v>3.1</v>
      </c>
      <c r="AG8" s="324">
        <v>3.4</v>
      </c>
      <c r="AH8" s="324">
        <v>3.5</v>
      </c>
      <c r="AI8" s="324">
        <v>3.6</v>
      </c>
      <c r="AJ8" s="324">
        <v>3.8</v>
      </c>
      <c r="AK8" s="324">
        <v>3.8</v>
      </c>
      <c r="AL8" s="324">
        <v>3.9</v>
      </c>
      <c r="AM8" s="324">
        <v>4</v>
      </c>
      <c r="AN8" s="324">
        <v>4.0999999999999996</v>
      </c>
      <c r="AO8" s="324">
        <v>4.2</v>
      </c>
      <c r="AP8" s="297"/>
      <c r="AQ8" s="327">
        <v>900</v>
      </c>
      <c r="AR8" s="328">
        <v>5</v>
      </c>
      <c r="AS8" s="328">
        <v>5</v>
      </c>
      <c r="AT8" s="293">
        <v>2.2999999999999998</v>
      </c>
      <c r="AU8" s="293">
        <v>2.5</v>
      </c>
      <c r="AV8" s="293">
        <v>2.5</v>
      </c>
      <c r="AW8" s="297"/>
      <c r="AX8" s="293">
        <v>2.5</v>
      </c>
      <c r="AY8" s="293">
        <v>5.5</v>
      </c>
      <c r="AZ8" s="297"/>
      <c r="BA8" s="297"/>
      <c r="BB8" s="297"/>
      <c r="BC8" s="297"/>
      <c r="BD8" s="297"/>
      <c r="BE8" s="297"/>
      <c r="BF8" s="297"/>
    </row>
    <row r="9" spans="1:58" ht="12.75" customHeight="1">
      <c r="A9" s="293" t="s">
        <v>1082</v>
      </c>
      <c r="B9" s="293" t="s">
        <v>1077</v>
      </c>
      <c r="C9" s="318">
        <v>3</v>
      </c>
      <c r="D9" s="297"/>
      <c r="E9" s="326">
        <v>5</v>
      </c>
      <c r="F9" s="324">
        <v>4.3</v>
      </c>
      <c r="G9" s="324">
        <v>4.3</v>
      </c>
      <c r="H9" s="324">
        <v>4.4000000000000004</v>
      </c>
      <c r="I9" s="324">
        <v>4.4000000000000004</v>
      </c>
      <c r="J9" s="324">
        <v>4.5</v>
      </c>
      <c r="K9" s="324">
        <v>4.5</v>
      </c>
      <c r="L9" s="329">
        <v>4.5999999999999996</v>
      </c>
      <c r="M9" s="324">
        <v>4.5999999999999996</v>
      </c>
      <c r="N9" s="324">
        <v>4.7</v>
      </c>
      <c r="O9" s="324">
        <v>4.7</v>
      </c>
      <c r="P9" s="324">
        <v>4.7</v>
      </c>
      <c r="Q9" s="324">
        <v>4.8</v>
      </c>
      <c r="R9" s="324">
        <v>4.8</v>
      </c>
      <c r="S9" s="324">
        <v>4.8</v>
      </c>
      <c r="T9" s="324">
        <v>4.9000000000000004</v>
      </c>
      <c r="U9" s="324">
        <v>4.9000000000000004</v>
      </c>
      <c r="V9" s="324">
        <v>4.9000000000000004</v>
      </c>
      <c r="W9" s="297"/>
      <c r="X9" s="326">
        <v>5</v>
      </c>
      <c r="Y9" s="324">
        <v>2.6</v>
      </c>
      <c r="Z9" s="324">
        <v>2.7</v>
      </c>
      <c r="AA9" s="324">
        <v>2.9</v>
      </c>
      <c r="AB9" s="324">
        <v>2.9</v>
      </c>
      <c r="AC9" s="324">
        <v>3.1</v>
      </c>
      <c r="AD9" s="324">
        <v>3.1</v>
      </c>
      <c r="AE9" s="329">
        <v>3.3</v>
      </c>
      <c r="AF9" s="324">
        <v>3.5</v>
      </c>
      <c r="AG9" s="324">
        <v>3.8</v>
      </c>
      <c r="AH9" s="324">
        <v>3.9</v>
      </c>
      <c r="AI9" s="324">
        <v>4</v>
      </c>
      <c r="AJ9" s="324">
        <v>4.2</v>
      </c>
      <c r="AK9" s="324">
        <v>4.2</v>
      </c>
      <c r="AL9" s="324">
        <v>4.3</v>
      </c>
      <c r="AM9" s="324">
        <v>4.4000000000000004</v>
      </c>
      <c r="AN9" s="324">
        <v>4.5</v>
      </c>
      <c r="AO9" s="324">
        <v>4.5999999999999996</v>
      </c>
      <c r="AP9" s="297"/>
      <c r="AQ9" s="327">
        <v>1000</v>
      </c>
      <c r="AR9" s="328">
        <v>6</v>
      </c>
      <c r="AS9" s="328">
        <v>6</v>
      </c>
      <c r="AT9" s="293">
        <v>2.5</v>
      </c>
      <c r="AU9" s="293">
        <v>2.9</v>
      </c>
      <c r="AV9" s="293">
        <v>2.9</v>
      </c>
      <c r="AW9" s="297"/>
      <c r="AX9" s="293">
        <v>3.5</v>
      </c>
      <c r="AY9" s="293">
        <v>5</v>
      </c>
      <c r="AZ9" s="297"/>
      <c r="BA9" s="297"/>
      <c r="BB9" s="297"/>
      <c r="BC9" s="297"/>
      <c r="BD9" s="297"/>
      <c r="BE9" s="297"/>
      <c r="BF9" s="297"/>
    </row>
    <row r="10" spans="1:58" ht="12.75" customHeight="1">
      <c r="A10" s="293" t="s">
        <v>1083</v>
      </c>
      <c r="B10" s="293" t="s">
        <v>1084</v>
      </c>
      <c r="C10" s="318">
        <v>1</v>
      </c>
      <c r="D10" s="297"/>
      <c r="E10" s="326">
        <v>6</v>
      </c>
      <c r="F10" s="324">
        <v>5</v>
      </c>
      <c r="G10" s="324">
        <v>5.0999999999999996</v>
      </c>
      <c r="H10" s="324">
        <v>5.2</v>
      </c>
      <c r="I10" s="324">
        <v>5.2</v>
      </c>
      <c r="J10" s="324">
        <v>5.3</v>
      </c>
      <c r="K10" s="324">
        <v>5.3</v>
      </c>
      <c r="L10" s="324">
        <v>5.4</v>
      </c>
      <c r="M10" s="324">
        <v>5.5</v>
      </c>
      <c r="N10" s="324">
        <v>5.6</v>
      </c>
      <c r="O10" s="324">
        <v>5.6</v>
      </c>
      <c r="P10" s="324">
        <v>5.6</v>
      </c>
      <c r="Q10" s="324">
        <v>5.7</v>
      </c>
      <c r="R10" s="324">
        <v>5.7</v>
      </c>
      <c r="S10" s="324">
        <v>5.7</v>
      </c>
      <c r="T10" s="324">
        <v>5.8</v>
      </c>
      <c r="U10" s="324">
        <v>5.8</v>
      </c>
      <c r="V10" s="324">
        <v>5.8</v>
      </c>
      <c r="W10" s="297"/>
      <c r="X10" s="326">
        <v>6</v>
      </c>
      <c r="Y10" s="324">
        <v>2.8</v>
      </c>
      <c r="Z10" s="324">
        <v>2.9</v>
      </c>
      <c r="AA10" s="324">
        <v>3.1</v>
      </c>
      <c r="AB10" s="324">
        <v>3.1</v>
      </c>
      <c r="AC10" s="324">
        <v>3.3</v>
      </c>
      <c r="AD10" s="324">
        <v>3.3</v>
      </c>
      <c r="AE10" s="324">
        <v>3.5</v>
      </c>
      <c r="AF10" s="324">
        <v>3.7</v>
      </c>
      <c r="AG10" s="324">
        <v>4.0999999999999996</v>
      </c>
      <c r="AH10" s="324">
        <v>4.2</v>
      </c>
      <c r="AI10" s="324">
        <v>4.3</v>
      </c>
      <c r="AJ10" s="324">
        <v>4.5999999999999996</v>
      </c>
      <c r="AK10" s="324">
        <v>4.5999999999999996</v>
      </c>
      <c r="AL10" s="324">
        <v>4.8</v>
      </c>
      <c r="AM10" s="324">
        <v>5</v>
      </c>
      <c r="AN10" s="324">
        <v>5.2</v>
      </c>
      <c r="AO10" s="324">
        <v>5.4</v>
      </c>
      <c r="AP10" s="297"/>
      <c r="AQ10" s="327">
        <v>1100</v>
      </c>
      <c r="AR10" s="328">
        <v>6</v>
      </c>
      <c r="AS10" s="328">
        <v>6</v>
      </c>
      <c r="AT10" s="293">
        <v>2.5</v>
      </c>
      <c r="AU10" s="293">
        <v>3</v>
      </c>
      <c r="AV10" s="293">
        <v>3</v>
      </c>
      <c r="AW10" s="297"/>
      <c r="AX10" s="293">
        <v>5</v>
      </c>
      <c r="AY10" s="293">
        <v>4.5</v>
      </c>
      <c r="AZ10" s="297"/>
      <c r="BA10" s="297"/>
      <c r="BB10" s="297"/>
      <c r="BC10" s="297"/>
      <c r="BD10" s="297"/>
      <c r="BE10" s="297"/>
      <c r="BF10" s="297"/>
    </row>
    <row r="11" spans="1:58" ht="12.75" customHeight="1">
      <c r="A11" s="293" t="s">
        <v>1085</v>
      </c>
      <c r="B11" s="293" t="s">
        <v>1086</v>
      </c>
      <c r="C11" s="318">
        <v>1.5</v>
      </c>
      <c r="D11" s="297"/>
      <c r="E11" s="326">
        <v>7</v>
      </c>
      <c r="F11" s="324">
        <v>5.9</v>
      </c>
      <c r="G11" s="324">
        <v>6</v>
      </c>
      <c r="H11" s="324">
        <v>6.1</v>
      </c>
      <c r="I11" s="324">
        <v>6.1</v>
      </c>
      <c r="J11" s="324">
        <v>6.1</v>
      </c>
      <c r="K11" s="324">
        <v>6.1</v>
      </c>
      <c r="L11" s="324">
        <v>6.2</v>
      </c>
      <c r="M11" s="324">
        <v>6.3</v>
      </c>
      <c r="N11" s="324">
        <v>6.5</v>
      </c>
      <c r="O11" s="324">
        <v>6.5</v>
      </c>
      <c r="P11" s="324">
        <v>6.5</v>
      </c>
      <c r="Q11" s="324">
        <v>6.6</v>
      </c>
      <c r="R11" s="324">
        <v>6.6</v>
      </c>
      <c r="S11" s="324">
        <v>6.6</v>
      </c>
      <c r="T11" s="324">
        <v>6.7</v>
      </c>
      <c r="U11" s="324">
        <v>6.7</v>
      </c>
      <c r="V11" s="324">
        <v>6.7</v>
      </c>
      <c r="W11" s="297"/>
      <c r="X11" s="326">
        <v>7</v>
      </c>
      <c r="Y11" s="324">
        <v>2.9</v>
      </c>
      <c r="Z11" s="324">
        <v>3</v>
      </c>
      <c r="AA11" s="324">
        <v>3.2</v>
      </c>
      <c r="AB11" s="324">
        <v>3.2</v>
      </c>
      <c r="AC11" s="324">
        <v>3.5</v>
      </c>
      <c r="AD11" s="324">
        <v>3.5</v>
      </c>
      <c r="AE11" s="324">
        <v>3.7</v>
      </c>
      <c r="AF11" s="324">
        <v>4</v>
      </c>
      <c r="AG11" s="324">
        <v>4.4000000000000004</v>
      </c>
      <c r="AH11" s="324">
        <v>4.5</v>
      </c>
      <c r="AI11" s="324">
        <v>4.7</v>
      </c>
      <c r="AJ11" s="324">
        <v>5</v>
      </c>
      <c r="AK11" s="324">
        <v>5</v>
      </c>
      <c r="AL11" s="324">
        <v>5.2</v>
      </c>
      <c r="AM11" s="324">
        <v>5.4</v>
      </c>
      <c r="AN11" s="324">
        <v>5.6</v>
      </c>
      <c r="AO11" s="324">
        <v>5.8</v>
      </c>
      <c r="AP11" s="297"/>
      <c r="AQ11" s="327">
        <v>1200</v>
      </c>
      <c r="AR11" s="328">
        <v>6</v>
      </c>
      <c r="AS11" s="328">
        <v>6</v>
      </c>
      <c r="AT11" s="293">
        <v>2.6</v>
      </c>
      <c r="AU11" s="293">
        <v>3.2</v>
      </c>
      <c r="AV11" s="293">
        <v>3.2</v>
      </c>
      <c r="AW11" s="297"/>
      <c r="AX11" s="293">
        <v>6</v>
      </c>
      <c r="AY11" s="293">
        <v>4.3</v>
      </c>
      <c r="AZ11" s="297"/>
      <c r="BA11" s="297"/>
      <c r="BB11" s="297"/>
      <c r="BC11" s="297"/>
      <c r="BD11" s="297"/>
      <c r="BE11" s="297"/>
      <c r="BF11" s="297"/>
    </row>
    <row r="12" spans="1:58" ht="12.75" customHeight="1">
      <c r="A12" s="293" t="s">
        <v>1087</v>
      </c>
      <c r="B12" s="293" t="s">
        <v>1088</v>
      </c>
      <c r="C12" s="318">
        <v>1</v>
      </c>
      <c r="D12" s="297"/>
      <c r="E12" s="326">
        <v>8</v>
      </c>
      <c r="F12" s="324">
        <v>6.7</v>
      </c>
      <c r="G12" s="324">
        <v>6.8</v>
      </c>
      <c r="H12" s="324">
        <v>6.9</v>
      </c>
      <c r="I12" s="324">
        <v>6.9</v>
      </c>
      <c r="J12" s="324">
        <v>7</v>
      </c>
      <c r="K12" s="324">
        <v>7</v>
      </c>
      <c r="L12" s="324">
        <v>7.1</v>
      </c>
      <c r="M12" s="324">
        <v>7.2</v>
      </c>
      <c r="N12" s="324">
        <v>7.4</v>
      </c>
      <c r="O12" s="324">
        <v>7.4</v>
      </c>
      <c r="P12" s="324">
        <v>7.4</v>
      </c>
      <c r="Q12" s="324">
        <v>7.5</v>
      </c>
      <c r="R12" s="324">
        <v>7.5</v>
      </c>
      <c r="S12" s="324">
        <v>7.5</v>
      </c>
      <c r="T12" s="324">
        <v>7.6</v>
      </c>
      <c r="U12" s="324">
        <v>7.6</v>
      </c>
      <c r="V12" s="324">
        <v>7.6</v>
      </c>
      <c r="W12" s="297"/>
      <c r="X12" s="326">
        <v>8</v>
      </c>
      <c r="Y12" s="324">
        <v>3</v>
      </c>
      <c r="Z12" s="324">
        <v>3.1</v>
      </c>
      <c r="AA12" s="324">
        <v>3.3</v>
      </c>
      <c r="AB12" s="324">
        <v>3.3</v>
      </c>
      <c r="AC12" s="324">
        <v>3.5</v>
      </c>
      <c r="AD12" s="324">
        <v>3.5</v>
      </c>
      <c r="AE12" s="324">
        <v>3.8</v>
      </c>
      <c r="AF12" s="324">
        <v>4.2</v>
      </c>
      <c r="AG12" s="324">
        <v>4.5999999999999996</v>
      </c>
      <c r="AH12" s="324">
        <v>4.7</v>
      </c>
      <c r="AI12" s="324">
        <v>4.9000000000000004</v>
      </c>
      <c r="AJ12" s="324">
        <v>5.3</v>
      </c>
      <c r="AK12" s="324">
        <v>5.3</v>
      </c>
      <c r="AL12" s="324">
        <v>5.5</v>
      </c>
      <c r="AM12" s="324">
        <v>5.8</v>
      </c>
      <c r="AN12" s="324">
        <v>6.1</v>
      </c>
      <c r="AO12" s="324">
        <v>6.4</v>
      </c>
      <c r="AP12" s="297"/>
      <c r="AQ12" s="327">
        <v>1300</v>
      </c>
      <c r="AR12" s="328">
        <v>6</v>
      </c>
      <c r="AS12" s="328">
        <v>6</v>
      </c>
      <c r="AT12" s="293">
        <v>2.6</v>
      </c>
      <c r="AU12" s="293">
        <v>3.5</v>
      </c>
      <c r="AV12" s="293">
        <v>3.5</v>
      </c>
      <c r="AW12" s="297"/>
      <c r="AX12" s="297"/>
      <c r="AY12" s="297"/>
      <c r="AZ12" s="297"/>
      <c r="BA12" s="297"/>
      <c r="BB12" s="297"/>
      <c r="BC12" s="297"/>
      <c r="BD12" s="297"/>
      <c r="BE12" s="297"/>
      <c r="BF12" s="297"/>
    </row>
    <row r="13" spans="1:58" ht="12.75" customHeight="1">
      <c r="A13" s="297"/>
      <c r="B13" s="297"/>
      <c r="C13" s="329"/>
      <c r="D13" s="297"/>
      <c r="E13" s="326">
        <v>9</v>
      </c>
      <c r="F13" s="324">
        <v>7.5</v>
      </c>
      <c r="G13" s="324">
        <v>7.6</v>
      </c>
      <c r="H13" s="324">
        <v>7.7</v>
      </c>
      <c r="I13" s="324">
        <v>7.7</v>
      </c>
      <c r="J13" s="324">
        <v>7.8</v>
      </c>
      <c r="K13" s="324">
        <v>7.8</v>
      </c>
      <c r="L13" s="324">
        <v>7.9</v>
      </c>
      <c r="M13" s="324">
        <v>8</v>
      </c>
      <c r="N13" s="324">
        <v>8.1999999999999993</v>
      </c>
      <c r="O13" s="324">
        <v>8.1999999999999993</v>
      </c>
      <c r="P13" s="324">
        <v>8.3000000000000007</v>
      </c>
      <c r="Q13" s="324">
        <v>8.4</v>
      </c>
      <c r="R13" s="324">
        <v>8.4</v>
      </c>
      <c r="S13" s="324">
        <v>8.5</v>
      </c>
      <c r="T13" s="324">
        <v>8.6</v>
      </c>
      <c r="U13" s="324">
        <v>8.6</v>
      </c>
      <c r="V13" s="324">
        <v>8.6</v>
      </c>
      <c r="W13" s="297"/>
      <c r="X13" s="326">
        <v>9</v>
      </c>
      <c r="Y13" s="324">
        <v>3</v>
      </c>
      <c r="Z13" s="324">
        <v>3.1</v>
      </c>
      <c r="AA13" s="324">
        <v>3.4</v>
      </c>
      <c r="AB13" s="324">
        <v>3.4</v>
      </c>
      <c r="AC13" s="324">
        <v>3.6</v>
      </c>
      <c r="AD13" s="324">
        <v>3.6</v>
      </c>
      <c r="AE13" s="324">
        <v>3.9</v>
      </c>
      <c r="AF13" s="324">
        <v>4.3</v>
      </c>
      <c r="AG13" s="324">
        <v>4.8</v>
      </c>
      <c r="AH13" s="324">
        <v>4.9000000000000004</v>
      </c>
      <c r="AI13" s="324">
        <v>5.0999999999999996</v>
      </c>
      <c r="AJ13" s="324">
        <v>5.5</v>
      </c>
      <c r="AK13" s="324">
        <v>5.5</v>
      </c>
      <c r="AL13" s="324">
        <v>5.8</v>
      </c>
      <c r="AM13" s="324">
        <v>6.1</v>
      </c>
      <c r="AN13" s="324">
        <v>6.4</v>
      </c>
      <c r="AO13" s="324">
        <v>6.8</v>
      </c>
      <c r="AP13" s="297"/>
      <c r="AQ13" s="327">
        <v>1400</v>
      </c>
      <c r="AR13" s="328">
        <v>6</v>
      </c>
      <c r="AS13" s="328">
        <v>6</v>
      </c>
      <c r="AT13" s="293">
        <v>2.7</v>
      </c>
      <c r="AU13" s="293">
        <v>3.7</v>
      </c>
      <c r="AV13" s="293">
        <v>3.7</v>
      </c>
      <c r="AW13" s="297"/>
      <c r="AX13" s="939" t="s">
        <v>1089</v>
      </c>
      <c r="AY13" s="639"/>
      <c r="AZ13" s="639"/>
      <c r="BA13" s="641"/>
      <c r="BB13" s="297"/>
      <c r="BC13" s="297"/>
      <c r="BD13" s="297"/>
      <c r="BE13" s="297"/>
      <c r="BF13" s="297"/>
    </row>
    <row r="14" spans="1:58" ht="12.75" customHeight="1">
      <c r="A14" s="939" t="s">
        <v>1090</v>
      </c>
      <c r="B14" s="639"/>
      <c r="C14" s="641"/>
      <c r="D14" s="297"/>
      <c r="E14" s="326">
        <v>10</v>
      </c>
      <c r="F14" s="324">
        <v>8.3000000000000007</v>
      </c>
      <c r="G14" s="324">
        <v>8.4</v>
      </c>
      <c r="H14" s="324">
        <v>8.5</v>
      </c>
      <c r="I14" s="324">
        <v>8.5</v>
      </c>
      <c r="J14" s="324">
        <v>8.6</v>
      </c>
      <c r="K14" s="324">
        <v>8.6</v>
      </c>
      <c r="L14" s="324">
        <v>8.6999999999999993</v>
      </c>
      <c r="M14" s="324">
        <v>8.9</v>
      </c>
      <c r="N14" s="324">
        <v>9.1</v>
      </c>
      <c r="O14" s="324">
        <v>9.1</v>
      </c>
      <c r="P14" s="324">
        <v>9.1999999999999993</v>
      </c>
      <c r="Q14" s="324">
        <v>9.3000000000000007</v>
      </c>
      <c r="R14" s="324">
        <v>9.3000000000000007</v>
      </c>
      <c r="S14" s="324">
        <v>9.4</v>
      </c>
      <c r="T14" s="324">
        <v>9.5</v>
      </c>
      <c r="U14" s="324">
        <v>9.5</v>
      </c>
      <c r="V14" s="324">
        <v>9.5</v>
      </c>
      <c r="W14" s="297"/>
      <c r="X14" s="326">
        <v>10</v>
      </c>
      <c r="Y14" s="324">
        <v>3</v>
      </c>
      <c r="Z14" s="324">
        <v>3.1</v>
      </c>
      <c r="AA14" s="324">
        <v>3.4</v>
      </c>
      <c r="AB14" s="324">
        <v>3.4</v>
      </c>
      <c r="AC14" s="324">
        <v>3.7</v>
      </c>
      <c r="AD14" s="324">
        <v>3.7</v>
      </c>
      <c r="AE14" s="324">
        <v>4</v>
      </c>
      <c r="AF14" s="324">
        <v>4.4000000000000004</v>
      </c>
      <c r="AG14" s="324">
        <v>4.9000000000000004</v>
      </c>
      <c r="AH14" s="324">
        <v>5</v>
      </c>
      <c r="AI14" s="324">
        <v>5.3</v>
      </c>
      <c r="AJ14" s="324">
        <v>5.7</v>
      </c>
      <c r="AK14" s="324">
        <v>5.7</v>
      </c>
      <c r="AL14" s="324">
        <v>6</v>
      </c>
      <c r="AM14" s="324">
        <v>6.4</v>
      </c>
      <c r="AN14" s="324">
        <v>6.8</v>
      </c>
      <c r="AO14" s="324">
        <v>7.2</v>
      </c>
      <c r="AP14" s="297"/>
      <c r="AQ14" s="330"/>
      <c r="AR14" s="331"/>
      <c r="AS14" s="331"/>
      <c r="AT14" s="297"/>
      <c r="AU14" s="297"/>
      <c r="AV14" s="297"/>
      <c r="AW14" s="297"/>
      <c r="AX14" s="332" t="s">
        <v>1066</v>
      </c>
      <c r="AY14" s="333"/>
      <c r="AZ14" s="323" t="s">
        <v>1091</v>
      </c>
      <c r="BA14" s="323" t="s">
        <v>1092</v>
      </c>
      <c r="BB14" s="297"/>
      <c r="BC14" s="297"/>
      <c r="BD14" s="297"/>
      <c r="BE14" s="297"/>
      <c r="BF14" s="297"/>
    </row>
    <row r="15" spans="1:58" ht="12.75" customHeight="1">
      <c r="A15" s="293" t="s">
        <v>1093</v>
      </c>
      <c r="B15" s="293" t="s">
        <v>1091</v>
      </c>
      <c r="C15" s="318" t="s">
        <v>1092</v>
      </c>
      <c r="D15" s="297"/>
      <c r="E15" s="326">
        <v>11</v>
      </c>
      <c r="F15" s="324">
        <v>9.1</v>
      </c>
      <c r="G15" s="324">
        <v>9.1999999999999993</v>
      </c>
      <c r="H15" s="324">
        <v>9.3000000000000007</v>
      </c>
      <c r="I15" s="324">
        <v>9.3000000000000007</v>
      </c>
      <c r="J15" s="324">
        <v>9.4</v>
      </c>
      <c r="K15" s="324">
        <v>9.4</v>
      </c>
      <c r="L15" s="324">
        <v>9.6</v>
      </c>
      <c r="M15" s="324">
        <v>9.8000000000000007</v>
      </c>
      <c r="N15" s="324">
        <v>10.1</v>
      </c>
      <c r="O15" s="324">
        <v>10.1</v>
      </c>
      <c r="P15" s="324">
        <v>10.1</v>
      </c>
      <c r="Q15" s="324">
        <v>10.199999999999999</v>
      </c>
      <c r="R15" s="324">
        <v>10.199999999999999</v>
      </c>
      <c r="S15" s="324">
        <v>10.3</v>
      </c>
      <c r="T15" s="324">
        <v>10.4</v>
      </c>
      <c r="U15" s="324">
        <v>10.4</v>
      </c>
      <c r="V15" s="324">
        <v>10.4</v>
      </c>
      <c r="W15" s="297"/>
      <c r="X15" s="326">
        <v>11</v>
      </c>
      <c r="Y15" s="324">
        <v>3.1</v>
      </c>
      <c r="Z15" s="324">
        <v>3.2</v>
      </c>
      <c r="AA15" s="324">
        <v>3.5</v>
      </c>
      <c r="AB15" s="324">
        <v>3.5</v>
      </c>
      <c r="AC15" s="324">
        <v>3.7</v>
      </c>
      <c r="AD15" s="324">
        <v>3.7</v>
      </c>
      <c r="AE15" s="324">
        <v>4</v>
      </c>
      <c r="AF15" s="324">
        <v>4.5</v>
      </c>
      <c r="AG15" s="324">
        <v>5</v>
      </c>
      <c r="AH15" s="324">
        <v>5.0999999999999996</v>
      </c>
      <c r="AI15" s="324">
        <v>5.4</v>
      </c>
      <c r="AJ15" s="324">
        <v>5.9</v>
      </c>
      <c r="AK15" s="324">
        <v>5.9</v>
      </c>
      <c r="AL15" s="324">
        <v>6.2</v>
      </c>
      <c r="AM15" s="324">
        <v>6.6</v>
      </c>
      <c r="AN15" s="324">
        <v>7</v>
      </c>
      <c r="AO15" s="324">
        <v>7.4</v>
      </c>
      <c r="AP15" s="297"/>
      <c r="AQ15" s="939" t="s">
        <v>1094</v>
      </c>
      <c r="AR15" s="639"/>
      <c r="AS15" s="639"/>
      <c r="AT15" s="639"/>
      <c r="AU15" s="639"/>
      <c r="AV15" s="641"/>
      <c r="AW15" s="297"/>
      <c r="AX15" s="334" t="s">
        <v>1095</v>
      </c>
      <c r="AY15" s="335"/>
      <c r="AZ15" s="336">
        <v>7.4999999999999997E-2</v>
      </c>
      <c r="BA15" s="336">
        <v>0.1</v>
      </c>
      <c r="BB15" s="297"/>
      <c r="BC15" s="297"/>
      <c r="BD15" s="297"/>
      <c r="BE15" s="297"/>
      <c r="BF15" s="297"/>
    </row>
    <row r="16" spans="1:58" ht="12.75" customHeight="1">
      <c r="A16" s="293" t="s">
        <v>118</v>
      </c>
      <c r="B16" s="293">
        <v>120</v>
      </c>
      <c r="C16" s="318">
        <v>80</v>
      </c>
      <c r="D16" s="297"/>
      <c r="E16" s="326">
        <v>12</v>
      </c>
      <c r="F16" s="324">
        <v>9.9</v>
      </c>
      <c r="G16" s="324">
        <v>10</v>
      </c>
      <c r="H16" s="324">
        <v>10.1</v>
      </c>
      <c r="I16" s="324">
        <v>10.1</v>
      </c>
      <c r="J16" s="324">
        <v>10.199999999999999</v>
      </c>
      <c r="K16" s="324">
        <v>10.199999999999999</v>
      </c>
      <c r="L16" s="324">
        <v>10.4</v>
      </c>
      <c r="M16" s="324">
        <v>10.6</v>
      </c>
      <c r="N16" s="324">
        <v>10.8</v>
      </c>
      <c r="O16" s="324">
        <v>10.8</v>
      </c>
      <c r="P16" s="324">
        <v>10.9</v>
      </c>
      <c r="Q16" s="324">
        <v>11.1</v>
      </c>
      <c r="R16" s="324">
        <v>11.1</v>
      </c>
      <c r="S16" s="324">
        <v>11.2</v>
      </c>
      <c r="T16" s="324">
        <v>11.3</v>
      </c>
      <c r="U16" s="324">
        <v>11.3</v>
      </c>
      <c r="V16" s="324">
        <v>11.3</v>
      </c>
      <c r="W16" s="297"/>
      <c r="X16" s="326">
        <v>12</v>
      </c>
      <c r="Y16" s="324">
        <v>3.1</v>
      </c>
      <c r="Z16" s="324">
        <v>3.2</v>
      </c>
      <c r="AA16" s="324">
        <v>3.5</v>
      </c>
      <c r="AB16" s="324">
        <v>3.5</v>
      </c>
      <c r="AC16" s="324">
        <v>3.8</v>
      </c>
      <c r="AD16" s="324">
        <v>3.8</v>
      </c>
      <c r="AE16" s="324">
        <v>4.0999999999999996</v>
      </c>
      <c r="AF16" s="324">
        <v>4.5999999999999996</v>
      </c>
      <c r="AG16" s="324">
        <v>5.0999999999999996</v>
      </c>
      <c r="AH16" s="324">
        <v>5.2</v>
      </c>
      <c r="AI16" s="324">
        <v>5.5</v>
      </c>
      <c r="AJ16" s="324">
        <v>6</v>
      </c>
      <c r="AK16" s="324">
        <v>6</v>
      </c>
      <c r="AL16" s="324">
        <v>6.4</v>
      </c>
      <c r="AM16" s="324">
        <v>6.8</v>
      </c>
      <c r="AN16" s="324">
        <v>7.2</v>
      </c>
      <c r="AO16" s="324">
        <v>7.6</v>
      </c>
      <c r="AP16" s="297"/>
      <c r="AQ16" s="298"/>
      <c r="AR16" s="947" t="s">
        <v>1069</v>
      </c>
      <c r="AS16" s="639"/>
      <c r="AT16" s="639"/>
      <c r="AU16" s="639"/>
      <c r="AV16" s="641"/>
      <c r="AW16" s="297"/>
      <c r="AX16" s="334" t="s">
        <v>1096</v>
      </c>
      <c r="AY16" s="335"/>
      <c r="AZ16" s="336">
        <v>0.12</v>
      </c>
      <c r="BA16" s="336">
        <v>0.15</v>
      </c>
      <c r="BB16" s="297"/>
      <c r="BC16" s="297"/>
      <c r="BD16" s="297"/>
      <c r="BE16" s="297"/>
      <c r="BF16" s="297"/>
    </row>
    <row r="17" spans="1:58" ht="12.75" customHeight="1">
      <c r="A17" s="293" t="s">
        <v>1076</v>
      </c>
      <c r="B17" s="293">
        <v>40</v>
      </c>
      <c r="C17" s="318">
        <v>30</v>
      </c>
      <c r="D17" s="297"/>
      <c r="E17" s="326">
        <v>13</v>
      </c>
      <c r="F17" s="324">
        <v>10.7</v>
      </c>
      <c r="G17" s="324">
        <v>10.8</v>
      </c>
      <c r="H17" s="324">
        <v>10.9</v>
      </c>
      <c r="I17" s="324">
        <v>10.9</v>
      </c>
      <c r="J17" s="324">
        <v>11</v>
      </c>
      <c r="K17" s="324">
        <v>11</v>
      </c>
      <c r="L17" s="324">
        <v>11.2</v>
      </c>
      <c r="M17" s="324">
        <v>11.5</v>
      </c>
      <c r="N17" s="324">
        <v>11.7</v>
      </c>
      <c r="O17" s="324">
        <v>11.7</v>
      </c>
      <c r="P17" s="324">
        <v>11.8</v>
      </c>
      <c r="Q17" s="324">
        <v>12</v>
      </c>
      <c r="R17" s="324">
        <v>12</v>
      </c>
      <c r="S17" s="324">
        <v>11</v>
      </c>
      <c r="T17" s="324">
        <v>12.2</v>
      </c>
      <c r="U17" s="324">
        <v>12.2</v>
      </c>
      <c r="V17" s="324">
        <v>12.2</v>
      </c>
      <c r="W17" s="297"/>
      <c r="X17" s="326">
        <v>13</v>
      </c>
      <c r="Y17" s="324">
        <v>3.2</v>
      </c>
      <c r="Z17" s="324">
        <v>3.3</v>
      </c>
      <c r="AA17" s="337">
        <v>3.6</v>
      </c>
      <c r="AB17" s="337">
        <v>3.6</v>
      </c>
      <c r="AC17" s="337">
        <v>3.8</v>
      </c>
      <c r="AD17" s="337">
        <v>3.8</v>
      </c>
      <c r="AE17" s="337">
        <v>4.0999999999999996</v>
      </c>
      <c r="AF17" s="324">
        <v>4.5999999999999996</v>
      </c>
      <c r="AG17" s="337">
        <v>5.2</v>
      </c>
      <c r="AH17" s="337">
        <v>5.3</v>
      </c>
      <c r="AI17" s="324">
        <v>5.6</v>
      </c>
      <c r="AJ17" s="337">
        <v>6.1</v>
      </c>
      <c r="AK17" s="337">
        <v>6.1</v>
      </c>
      <c r="AL17" s="324">
        <v>6.5</v>
      </c>
      <c r="AM17" s="337">
        <v>7</v>
      </c>
      <c r="AN17" s="324">
        <v>7.5</v>
      </c>
      <c r="AO17" s="324">
        <v>7.9</v>
      </c>
      <c r="AP17" s="297"/>
      <c r="AQ17" s="321"/>
      <c r="AR17" s="322" t="s">
        <v>979</v>
      </c>
      <c r="AS17" s="323" t="s">
        <v>981</v>
      </c>
      <c r="AT17" s="291" t="s">
        <v>984</v>
      </c>
      <c r="AU17" s="291" t="s">
        <v>986</v>
      </c>
      <c r="AV17" s="291" t="s">
        <v>91</v>
      </c>
      <c r="AW17" s="297"/>
      <c r="AX17" s="338" t="s">
        <v>1097</v>
      </c>
      <c r="AY17" s="328" t="s">
        <v>1098</v>
      </c>
      <c r="AZ17" s="336">
        <v>0.15</v>
      </c>
      <c r="BA17" s="336">
        <v>0.17</v>
      </c>
      <c r="BB17" s="297"/>
      <c r="BC17" s="297"/>
      <c r="BD17" s="297"/>
      <c r="BE17" s="297"/>
      <c r="BF17" s="297"/>
    </row>
    <row r="18" spans="1:58" ht="12.75" customHeight="1">
      <c r="A18" s="293" t="s">
        <v>1078</v>
      </c>
      <c r="B18" s="293">
        <v>40</v>
      </c>
      <c r="C18" s="318">
        <v>30</v>
      </c>
      <c r="D18" s="297"/>
      <c r="E18" s="326">
        <v>14</v>
      </c>
      <c r="F18" s="324">
        <v>11.4</v>
      </c>
      <c r="G18" s="324">
        <v>11.5</v>
      </c>
      <c r="H18" s="324">
        <v>11.7</v>
      </c>
      <c r="I18" s="324">
        <v>11.7</v>
      </c>
      <c r="J18" s="324">
        <v>11.9</v>
      </c>
      <c r="K18" s="324">
        <v>11.9</v>
      </c>
      <c r="L18" s="324">
        <v>12.1</v>
      </c>
      <c r="M18" s="324">
        <v>12.4</v>
      </c>
      <c r="N18" s="324">
        <v>12.6</v>
      </c>
      <c r="O18" s="324">
        <v>12.6</v>
      </c>
      <c r="P18" s="324">
        <v>12.7</v>
      </c>
      <c r="Q18" s="324">
        <v>12.9</v>
      </c>
      <c r="R18" s="324">
        <v>12.9</v>
      </c>
      <c r="S18" s="324">
        <v>13</v>
      </c>
      <c r="T18" s="324">
        <v>13.1</v>
      </c>
      <c r="U18" s="324">
        <v>13.1</v>
      </c>
      <c r="V18" s="324">
        <v>13.1</v>
      </c>
      <c r="W18" s="297"/>
      <c r="X18" s="326">
        <v>14</v>
      </c>
      <c r="Y18" s="324">
        <v>3.2</v>
      </c>
      <c r="Z18" s="324">
        <v>3.3</v>
      </c>
      <c r="AA18" s="324">
        <v>3.6</v>
      </c>
      <c r="AB18" s="324">
        <v>3.6</v>
      </c>
      <c r="AC18" s="324">
        <v>3.9</v>
      </c>
      <c r="AD18" s="324">
        <v>3.9</v>
      </c>
      <c r="AE18" s="324">
        <v>4.2</v>
      </c>
      <c r="AF18" s="324">
        <v>4.7</v>
      </c>
      <c r="AG18" s="324">
        <v>5.3</v>
      </c>
      <c r="AH18" s="324">
        <v>5.4</v>
      </c>
      <c r="AI18" s="324">
        <v>5.8</v>
      </c>
      <c r="AJ18" s="324">
        <v>6.3</v>
      </c>
      <c r="AK18" s="324">
        <v>6.3</v>
      </c>
      <c r="AL18" s="324">
        <v>6.7</v>
      </c>
      <c r="AM18" s="324">
        <v>7.1</v>
      </c>
      <c r="AN18" s="324">
        <v>7.5</v>
      </c>
      <c r="AO18" s="324">
        <v>7.9</v>
      </c>
      <c r="AP18" s="297"/>
      <c r="AQ18" s="325" t="s">
        <v>1075</v>
      </c>
      <c r="AR18" s="293" t="b">
        <f>IF('Veri Girişi'!$C$66=TABLOLAR!AR17,VLOOKUP('Veri Girişi'!$C$71,$AQ$19:$AV$26,2,0))</f>
        <v>0</v>
      </c>
      <c r="AS18" s="293" t="b">
        <f>IF('Veri Girişi'!$C$66=TABLOLAR!AS17,VLOOKUP('Veri Girişi'!$C$71,$AQ$19:$AV$26,3,0))</f>
        <v>0</v>
      </c>
      <c r="AT18" s="293" t="b">
        <f>IF('Veri Girişi'!$C$66=TABLOLAR!AT17,VLOOKUP('Veri Girişi'!$C$71,$AQ$19:$AV$26,4,0))</f>
        <v>0</v>
      </c>
      <c r="AU18" s="293" t="b">
        <f>IF('Veri Girişi'!$C$66=TABLOLAR!AU17,VLOOKUP('Veri Girişi'!$C$71,$AQ$19:$AV$26,5,0))</f>
        <v>0</v>
      </c>
      <c r="AV18" s="293">
        <f>IF('Veri Girişi'!$C$66=TABLOLAR!AV17,VLOOKUP('Veri Girişi'!$C$71,$AQ$19:$AV$26,6,0))</f>
        <v>3.8</v>
      </c>
      <c r="AW18" s="297"/>
      <c r="AX18" s="339"/>
      <c r="AY18" s="328" t="s">
        <v>1099</v>
      </c>
      <c r="AZ18" s="336">
        <v>0.15</v>
      </c>
      <c r="BA18" s="336">
        <v>0.25</v>
      </c>
      <c r="BB18" s="297"/>
      <c r="BC18" s="297"/>
      <c r="BD18" s="297"/>
      <c r="BE18" s="297"/>
      <c r="BF18" s="297"/>
    </row>
    <row r="19" spans="1:58" ht="12.75" customHeight="1">
      <c r="A19" s="293" t="s">
        <v>1080</v>
      </c>
      <c r="B19" s="293">
        <v>40</v>
      </c>
      <c r="C19" s="318">
        <v>30</v>
      </c>
      <c r="D19" s="297"/>
      <c r="E19" s="326">
        <v>15</v>
      </c>
      <c r="F19" s="324">
        <v>12.2</v>
      </c>
      <c r="G19" s="324">
        <v>12.3</v>
      </c>
      <c r="H19" s="324">
        <v>12.5</v>
      </c>
      <c r="I19" s="324">
        <v>12.5</v>
      </c>
      <c r="J19" s="324">
        <v>12.7</v>
      </c>
      <c r="K19" s="324">
        <v>12.7</v>
      </c>
      <c r="L19" s="324">
        <v>12.9</v>
      </c>
      <c r="M19" s="324">
        <v>13.1</v>
      </c>
      <c r="N19" s="324">
        <v>13.4</v>
      </c>
      <c r="O19" s="324">
        <v>13.4</v>
      </c>
      <c r="P19" s="324">
        <v>13.6</v>
      </c>
      <c r="Q19" s="324">
        <v>13.8</v>
      </c>
      <c r="R19" s="324">
        <v>13.8</v>
      </c>
      <c r="S19" s="324">
        <v>13.9</v>
      </c>
      <c r="T19" s="324">
        <v>14</v>
      </c>
      <c r="U19" s="324">
        <v>14</v>
      </c>
      <c r="V19" s="324">
        <v>14</v>
      </c>
      <c r="W19" s="297"/>
      <c r="X19" s="326">
        <v>15</v>
      </c>
      <c r="Y19" s="324">
        <v>3.2</v>
      </c>
      <c r="Z19" s="324">
        <v>3.3</v>
      </c>
      <c r="AA19" s="324">
        <v>3.6</v>
      </c>
      <c r="AB19" s="324">
        <v>3.6</v>
      </c>
      <c r="AC19" s="324">
        <v>3.9</v>
      </c>
      <c r="AD19" s="324">
        <v>3.9</v>
      </c>
      <c r="AE19" s="324">
        <v>4.2</v>
      </c>
      <c r="AF19" s="324">
        <v>4.8</v>
      </c>
      <c r="AG19" s="324">
        <v>5.4</v>
      </c>
      <c r="AH19" s="324">
        <v>5.5</v>
      </c>
      <c r="AI19" s="324">
        <v>5.9</v>
      </c>
      <c r="AJ19" s="324">
        <v>6.4</v>
      </c>
      <c r="AK19" s="324">
        <v>6.4</v>
      </c>
      <c r="AL19" s="324">
        <v>6.8</v>
      </c>
      <c r="AM19" s="324">
        <v>7.3</v>
      </c>
      <c r="AN19" s="324">
        <v>7.8</v>
      </c>
      <c r="AO19" s="324">
        <v>8.3000000000000007</v>
      </c>
      <c r="AP19" s="297"/>
      <c r="AQ19" s="327">
        <v>700</v>
      </c>
      <c r="AR19" s="328">
        <v>5</v>
      </c>
      <c r="AS19" s="328">
        <v>5</v>
      </c>
      <c r="AT19" s="293">
        <v>2.2999999999999998</v>
      </c>
      <c r="AU19" s="293">
        <v>3</v>
      </c>
      <c r="AV19" s="293">
        <v>3</v>
      </c>
      <c r="AW19" s="297"/>
      <c r="AX19" s="334" t="s">
        <v>1100</v>
      </c>
      <c r="AY19" s="335"/>
      <c r="AZ19" s="336">
        <v>0.15</v>
      </c>
      <c r="BA19" s="336">
        <v>0.2</v>
      </c>
      <c r="BB19" s="297"/>
      <c r="BC19" s="297"/>
      <c r="BD19" s="297"/>
      <c r="BE19" s="297"/>
      <c r="BF19" s="297"/>
    </row>
    <row r="20" spans="1:58" ht="12.75" customHeight="1">
      <c r="A20" s="293" t="s">
        <v>1082</v>
      </c>
      <c r="B20" s="293">
        <v>40</v>
      </c>
      <c r="C20" s="318">
        <v>30</v>
      </c>
      <c r="D20" s="297"/>
      <c r="E20" s="326">
        <v>16</v>
      </c>
      <c r="F20" s="324">
        <v>13.1</v>
      </c>
      <c r="G20" s="324">
        <v>13.2</v>
      </c>
      <c r="H20" s="324">
        <v>13.3</v>
      </c>
      <c r="I20" s="324">
        <v>13.3</v>
      </c>
      <c r="J20" s="324">
        <v>13.4</v>
      </c>
      <c r="K20" s="324">
        <v>13.4</v>
      </c>
      <c r="L20" s="324">
        <v>13.7</v>
      </c>
      <c r="M20" s="324">
        <v>14</v>
      </c>
      <c r="N20" s="324">
        <v>14.3</v>
      </c>
      <c r="O20" s="324">
        <v>14.3</v>
      </c>
      <c r="P20" s="324">
        <v>14.5</v>
      </c>
      <c r="Q20" s="324">
        <v>14.7</v>
      </c>
      <c r="R20" s="324">
        <v>14.7</v>
      </c>
      <c r="S20" s="324">
        <v>14.8</v>
      </c>
      <c r="T20" s="324">
        <v>14.9</v>
      </c>
      <c r="U20" s="324">
        <v>14.9</v>
      </c>
      <c r="V20" s="324">
        <v>14.9</v>
      </c>
      <c r="W20" s="297"/>
      <c r="X20" s="326">
        <v>16</v>
      </c>
      <c r="Y20" s="324">
        <v>3.2</v>
      </c>
      <c r="Z20" s="324">
        <v>3.3</v>
      </c>
      <c r="AA20" s="324">
        <v>3.6</v>
      </c>
      <c r="AB20" s="324">
        <v>3.6</v>
      </c>
      <c r="AC20" s="324">
        <v>3.9</v>
      </c>
      <c r="AD20" s="324">
        <v>3.9</v>
      </c>
      <c r="AE20" s="324">
        <v>4.3</v>
      </c>
      <c r="AF20" s="324">
        <v>4.9000000000000004</v>
      </c>
      <c r="AG20" s="324">
        <v>5.4</v>
      </c>
      <c r="AH20" s="324">
        <v>5.5</v>
      </c>
      <c r="AI20" s="324">
        <v>5.9</v>
      </c>
      <c r="AJ20" s="324">
        <v>6.5</v>
      </c>
      <c r="AK20" s="324">
        <v>6.5</v>
      </c>
      <c r="AL20" s="324">
        <v>6.9</v>
      </c>
      <c r="AM20" s="324">
        <v>7.4</v>
      </c>
      <c r="AN20" s="324">
        <v>7.9</v>
      </c>
      <c r="AO20" s="324">
        <v>8.4</v>
      </c>
      <c r="AP20" s="297"/>
      <c r="AQ20" s="327">
        <v>800</v>
      </c>
      <c r="AR20" s="328">
        <v>5</v>
      </c>
      <c r="AS20" s="328">
        <v>5</v>
      </c>
      <c r="AT20" s="293">
        <v>2.5</v>
      </c>
      <c r="AU20" s="293">
        <v>3</v>
      </c>
      <c r="AV20" s="293">
        <v>3</v>
      </c>
      <c r="AW20" s="297"/>
      <c r="AX20" s="334" t="s">
        <v>1101</v>
      </c>
      <c r="AY20" s="335"/>
      <c r="AZ20" s="336">
        <v>0.1</v>
      </c>
      <c r="BA20" s="336">
        <v>0.2</v>
      </c>
      <c r="BB20" s="297"/>
      <c r="BC20" s="297"/>
      <c r="BD20" s="297"/>
      <c r="BE20" s="297"/>
      <c r="BF20" s="297"/>
    </row>
    <row r="21" spans="1:58" ht="12.75" customHeight="1">
      <c r="A21" s="293" t="s">
        <v>1083</v>
      </c>
      <c r="B21" s="293">
        <v>40</v>
      </c>
      <c r="C21" s="318">
        <v>30</v>
      </c>
      <c r="D21" s="297"/>
      <c r="E21" s="326">
        <v>17</v>
      </c>
      <c r="F21" s="324">
        <v>13.8</v>
      </c>
      <c r="G21" s="324">
        <v>13.9</v>
      </c>
      <c r="H21" s="324">
        <v>14.1</v>
      </c>
      <c r="I21" s="324">
        <v>14.1</v>
      </c>
      <c r="J21" s="324">
        <v>14.3</v>
      </c>
      <c r="K21" s="324">
        <v>14.3</v>
      </c>
      <c r="L21" s="324">
        <v>14.5</v>
      </c>
      <c r="M21" s="324">
        <v>14.8</v>
      </c>
      <c r="N21" s="324">
        <v>15.2</v>
      </c>
      <c r="O21" s="324">
        <v>15.2</v>
      </c>
      <c r="P21" s="324">
        <v>15.4</v>
      </c>
      <c r="Q21" s="324">
        <v>15.6</v>
      </c>
      <c r="R21" s="324">
        <v>15.6</v>
      </c>
      <c r="S21" s="324">
        <v>15.7</v>
      </c>
      <c r="T21" s="324">
        <v>15.8</v>
      </c>
      <c r="U21" s="324">
        <v>15.8</v>
      </c>
      <c r="V21" s="324">
        <v>15.8</v>
      </c>
      <c r="W21" s="297"/>
      <c r="X21" s="326">
        <v>17</v>
      </c>
      <c r="Y21" s="324">
        <v>3.3</v>
      </c>
      <c r="Z21" s="324">
        <v>3.4</v>
      </c>
      <c r="AA21" s="324">
        <v>3.7</v>
      </c>
      <c r="AB21" s="324">
        <v>3.7</v>
      </c>
      <c r="AC21" s="324">
        <v>4</v>
      </c>
      <c r="AD21" s="324">
        <v>4</v>
      </c>
      <c r="AE21" s="324">
        <v>4.3</v>
      </c>
      <c r="AF21" s="324">
        <v>4.9000000000000004</v>
      </c>
      <c r="AG21" s="324">
        <v>5.5</v>
      </c>
      <c r="AH21" s="324">
        <v>5.6</v>
      </c>
      <c r="AI21" s="324">
        <v>6</v>
      </c>
      <c r="AJ21" s="324">
        <v>6.5</v>
      </c>
      <c r="AK21" s="324">
        <v>6.5</v>
      </c>
      <c r="AL21" s="324">
        <v>7</v>
      </c>
      <c r="AM21" s="324">
        <v>7.5</v>
      </c>
      <c r="AN21" s="324">
        <v>8</v>
      </c>
      <c r="AO21" s="324">
        <v>8.5</v>
      </c>
      <c r="AP21" s="297"/>
      <c r="AQ21" s="327">
        <v>900</v>
      </c>
      <c r="AR21" s="328">
        <v>5</v>
      </c>
      <c r="AS21" s="328">
        <v>5</v>
      </c>
      <c r="AT21" s="293">
        <v>2.9</v>
      </c>
      <c r="AU21" s="293">
        <v>3.8</v>
      </c>
      <c r="AV21" s="293">
        <v>3.8</v>
      </c>
      <c r="AW21" s="297"/>
      <c r="AX21" s="334" t="s">
        <v>1102</v>
      </c>
      <c r="AY21" s="335"/>
      <c r="AZ21" s="336">
        <v>0.1</v>
      </c>
      <c r="BA21" s="336">
        <v>0.2</v>
      </c>
      <c r="BB21" s="297"/>
      <c r="BC21" s="297"/>
      <c r="BD21" s="297"/>
      <c r="BE21" s="297"/>
      <c r="BF21" s="297"/>
    </row>
    <row r="22" spans="1:58" ht="12.75" customHeight="1">
      <c r="A22" s="293" t="s">
        <v>1085</v>
      </c>
      <c r="B22" s="293">
        <v>40</v>
      </c>
      <c r="C22" s="318">
        <v>30</v>
      </c>
      <c r="D22" s="297"/>
      <c r="E22" s="326">
        <v>18</v>
      </c>
      <c r="F22" s="324">
        <v>14.5</v>
      </c>
      <c r="G22" s="324">
        <v>14.6</v>
      </c>
      <c r="H22" s="324">
        <v>14.9</v>
      </c>
      <c r="I22" s="324">
        <v>14.9</v>
      </c>
      <c r="J22" s="324">
        <v>15.2</v>
      </c>
      <c r="K22" s="324">
        <v>15.2</v>
      </c>
      <c r="L22" s="324">
        <v>15.4</v>
      </c>
      <c r="M22" s="324">
        <v>15.7</v>
      </c>
      <c r="N22" s="324">
        <v>16</v>
      </c>
      <c r="O22" s="324">
        <v>16</v>
      </c>
      <c r="P22" s="324">
        <v>16.2</v>
      </c>
      <c r="Q22" s="324">
        <v>16.5</v>
      </c>
      <c r="R22" s="324">
        <v>16.5</v>
      </c>
      <c r="S22" s="324">
        <v>16.7</v>
      </c>
      <c r="T22" s="324">
        <v>16.8</v>
      </c>
      <c r="U22" s="324">
        <v>16.8</v>
      </c>
      <c r="V22" s="324">
        <v>16.8</v>
      </c>
      <c r="W22" s="297"/>
      <c r="X22" s="326">
        <v>18</v>
      </c>
      <c r="Y22" s="324">
        <v>3.3</v>
      </c>
      <c r="Z22" s="324">
        <v>3.4</v>
      </c>
      <c r="AA22" s="324">
        <v>3.7</v>
      </c>
      <c r="AB22" s="324">
        <v>3.7</v>
      </c>
      <c r="AC22" s="324">
        <v>4</v>
      </c>
      <c r="AD22" s="324">
        <v>4</v>
      </c>
      <c r="AE22" s="324">
        <v>4.3</v>
      </c>
      <c r="AF22" s="324">
        <v>4.9000000000000004</v>
      </c>
      <c r="AG22" s="324">
        <v>5.5</v>
      </c>
      <c r="AH22" s="324">
        <v>5.6</v>
      </c>
      <c r="AI22" s="324">
        <v>6</v>
      </c>
      <c r="AJ22" s="324">
        <v>6.6</v>
      </c>
      <c r="AK22" s="324">
        <v>6.6</v>
      </c>
      <c r="AL22" s="324">
        <v>7.1</v>
      </c>
      <c r="AM22" s="324">
        <v>7.6</v>
      </c>
      <c r="AN22" s="324">
        <v>8.1</v>
      </c>
      <c r="AO22" s="324">
        <v>8.6</v>
      </c>
      <c r="AP22" s="297"/>
      <c r="AQ22" s="327">
        <v>1000</v>
      </c>
      <c r="AR22" s="328">
        <v>6</v>
      </c>
      <c r="AS22" s="328">
        <v>6</v>
      </c>
      <c r="AT22" s="293">
        <v>3.3</v>
      </c>
      <c r="AU22" s="293">
        <v>4</v>
      </c>
      <c r="AV22" s="293">
        <v>4</v>
      </c>
      <c r="AW22" s="297"/>
      <c r="AX22" s="950" t="s">
        <v>1103</v>
      </c>
      <c r="AY22" s="919"/>
      <c r="AZ22" s="919"/>
      <c r="BA22" s="656"/>
      <c r="BB22" s="297"/>
      <c r="BC22" s="297"/>
      <c r="BD22" s="297"/>
      <c r="BE22" s="297"/>
      <c r="BF22" s="297"/>
    </row>
    <row r="23" spans="1:58" ht="12.75" customHeight="1">
      <c r="A23" s="293" t="s">
        <v>1087</v>
      </c>
      <c r="B23" s="293">
        <v>40</v>
      </c>
      <c r="C23" s="318">
        <v>30</v>
      </c>
      <c r="D23" s="297"/>
      <c r="E23" s="326">
        <v>19</v>
      </c>
      <c r="F23" s="324">
        <v>15.3</v>
      </c>
      <c r="G23" s="324">
        <v>15.4</v>
      </c>
      <c r="H23" s="324">
        <v>15.7</v>
      </c>
      <c r="I23" s="324">
        <v>15.7</v>
      </c>
      <c r="J23" s="324">
        <v>16</v>
      </c>
      <c r="K23" s="324">
        <v>16</v>
      </c>
      <c r="L23" s="324">
        <v>16.2</v>
      </c>
      <c r="M23" s="324">
        <v>16.5</v>
      </c>
      <c r="N23" s="324">
        <v>16.899999999999999</v>
      </c>
      <c r="O23" s="324">
        <v>16.899999999999999</v>
      </c>
      <c r="P23" s="324">
        <v>17.100000000000001</v>
      </c>
      <c r="Q23" s="324">
        <v>17.399999999999999</v>
      </c>
      <c r="R23" s="324">
        <v>17.399999999999999</v>
      </c>
      <c r="S23" s="324">
        <v>17.5</v>
      </c>
      <c r="T23" s="324">
        <v>17.7</v>
      </c>
      <c r="U23" s="324">
        <v>17.7</v>
      </c>
      <c r="V23" s="324">
        <v>17.7</v>
      </c>
      <c r="W23" s="297"/>
      <c r="X23" s="326">
        <v>19</v>
      </c>
      <c r="Y23" s="324">
        <v>3.3</v>
      </c>
      <c r="Z23" s="324">
        <v>3.4</v>
      </c>
      <c r="AA23" s="324">
        <v>3.7</v>
      </c>
      <c r="AB23" s="324">
        <v>3.7</v>
      </c>
      <c r="AC23" s="324">
        <v>4</v>
      </c>
      <c r="AD23" s="324">
        <v>4</v>
      </c>
      <c r="AE23" s="324">
        <v>4.3</v>
      </c>
      <c r="AF23" s="324">
        <v>4.9000000000000004</v>
      </c>
      <c r="AG23" s="324">
        <v>5.6</v>
      </c>
      <c r="AH23" s="324">
        <v>5.7</v>
      </c>
      <c r="AI23" s="324">
        <v>6.1</v>
      </c>
      <c r="AJ23" s="324">
        <v>6.7</v>
      </c>
      <c r="AK23" s="324">
        <v>6.7</v>
      </c>
      <c r="AL23" s="324">
        <v>7.2</v>
      </c>
      <c r="AM23" s="324">
        <v>7.7</v>
      </c>
      <c r="AN23" s="324">
        <v>8.1999999999999993</v>
      </c>
      <c r="AO23" s="324">
        <v>8.6999999999999993</v>
      </c>
      <c r="AP23" s="297"/>
      <c r="AQ23" s="327">
        <v>1100</v>
      </c>
      <c r="AR23" s="328">
        <v>6</v>
      </c>
      <c r="AS23" s="328">
        <v>6</v>
      </c>
      <c r="AT23" s="293">
        <v>3.5</v>
      </c>
      <c r="AU23" s="293">
        <v>4</v>
      </c>
      <c r="AV23" s="293">
        <v>4</v>
      </c>
      <c r="AW23" s="297"/>
      <c r="AX23" s="938"/>
      <c r="AY23" s="930"/>
      <c r="AZ23" s="930"/>
      <c r="BA23" s="658"/>
      <c r="BB23" s="297"/>
      <c r="BC23" s="297"/>
      <c r="BD23" s="297"/>
      <c r="BE23" s="297"/>
      <c r="BF23" s="297"/>
    </row>
    <row r="24" spans="1:58" ht="12.75" customHeight="1">
      <c r="A24" s="297"/>
      <c r="B24" s="297"/>
      <c r="C24" s="329"/>
      <c r="D24" s="297"/>
      <c r="E24" s="326">
        <v>20</v>
      </c>
      <c r="F24" s="324">
        <v>16.3</v>
      </c>
      <c r="G24" s="324">
        <v>16.399999999999999</v>
      </c>
      <c r="H24" s="324">
        <v>16.5</v>
      </c>
      <c r="I24" s="324">
        <v>16.5</v>
      </c>
      <c r="J24" s="324">
        <v>16.7</v>
      </c>
      <c r="K24" s="324">
        <v>16.7</v>
      </c>
      <c r="L24" s="324">
        <v>17</v>
      </c>
      <c r="M24" s="324">
        <v>17.399999999999999</v>
      </c>
      <c r="N24" s="324">
        <v>17.8</v>
      </c>
      <c r="O24" s="324">
        <v>17.8</v>
      </c>
      <c r="P24" s="324">
        <v>18</v>
      </c>
      <c r="Q24" s="324">
        <v>18.2</v>
      </c>
      <c r="R24" s="324">
        <v>18.2</v>
      </c>
      <c r="S24" s="324">
        <v>18.399999999999999</v>
      </c>
      <c r="T24" s="324">
        <v>18.600000000000001</v>
      </c>
      <c r="U24" s="324">
        <v>18.600000000000001</v>
      </c>
      <c r="V24" s="324">
        <v>18.600000000000001</v>
      </c>
      <c r="W24" s="297"/>
      <c r="X24" s="326">
        <v>20</v>
      </c>
      <c r="Y24" s="324">
        <v>3.3</v>
      </c>
      <c r="Z24" s="324">
        <v>3.4</v>
      </c>
      <c r="AA24" s="324">
        <v>3.7</v>
      </c>
      <c r="AB24" s="324">
        <v>3.7</v>
      </c>
      <c r="AC24" s="324">
        <v>4.0999999999999996</v>
      </c>
      <c r="AD24" s="324">
        <v>4.0999999999999996</v>
      </c>
      <c r="AE24" s="324">
        <v>4.4000000000000004</v>
      </c>
      <c r="AF24" s="324">
        <v>5</v>
      </c>
      <c r="AG24" s="324">
        <v>5.6</v>
      </c>
      <c r="AH24" s="324">
        <v>5.7</v>
      </c>
      <c r="AI24" s="324">
        <v>6.1</v>
      </c>
      <c r="AJ24" s="324">
        <v>6.7</v>
      </c>
      <c r="AK24" s="324">
        <v>6.7</v>
      </c>
      <c r="AL24" s="324">
        <v>7.2</v>
      </c>
      <c r="AM24" s="324">
        <v>7.8</v>
      </c>
      <c r="AN24" s="324">
        <v>8.4</v>
      </c>
      <c r="AO24" s="324">
        <v>9</v>
      </c>
      <c r="AP24" s="297"/>
      <c r="AQ24" s="327">
        <v>1200</v>
      </c>
      <c r="AR24" s="328">
        <v>6</v>
      </c>
      <c r="AS24" s="328">
        <v>6</v>
      </c>
      <c r="AT24" s="293">
        <v>3.5</v>
      </c>
      <c r="AU24" s="293">
        <v>4.4000000000000004</v>
      </c>
      <c r="AV24" s="293">
        <v>4.4000000000000004</v>
      </c>
      <c r="AW24" s="297"/>
      <c r="AX24" s="297"/>
      <c r="AY24" s="297"/>
      <c r="AZ24" s="297"/>
      <c r="BA24" s="297"/>
      <c r="BB24" s="297"/>
      <c r="BC24" s="297"/>
      <c r="BD24" s="297"/>
      <c r="BE24" s="297"/>
      <c r="BF24" s="297"/>
    </row>
    <row r="25" spans="1:58" ht="12.75" customHeight="1">
      <c r="A25" s="297"/>
      <c r="B25" s="297"/>
      <c r="C25" s="297"/>
      <c r="D25" s="297"/>
      <c r="E25" s="326">
        <v>21</v>
      </c>
      <c r="F25" s="324">
        <v>16.8</v>
      </c>
      <c r="G25" s="324">
        <v>17</v>
      </c>
      <c r="H25" s="324">
        <v>17.3</v>
      </c>
      <c r="I25" s="324">
        <v>17.3</v>
      </c>
      <c r="J25" s="324">
        <v>17.600000000000001</v>
      </c>
      <c r="K25" s="324">
        <v>17.600000000000001</v>
      </c>
      <c r="L25" s="324">
        <v>17.899999999999999</v>
      </c>
      <c r="M25" s="324">
        <v>18.2</v>
      </c>
      <c r="N25" s="324">
        <v>18.600000000000001</v>
      </c>
      <c r="O25" s="324">
        <v>18.600000000000001</v>
      </c>
      <c r="P25" s="324">
        <v>18.8</v>
      </c>
      <c r="Q25" s="324">
        <v>19.100000000000001</v>
      </c>
      <c r="R25" s="324">
        <v>19.100000000000001</v>
      </c>
      <c r="S25" s="324">
        <v>19.3</v>
      </c>
      <c r="T25" s="324">
        <v>19.5</v>
      </c>
      <c r="U25" s="324">
        <v>19.5</v>
      </c>
      <c r="V25" s="324">
        <v>19.5</v>
      </c>
      <c r="W25" s="297"/>
      <c r="X25" s="326">
        <v>21</v>
      </c>
      <c r="Y25" s="324">
        <v>3.3</v>
      </c>
      <c r="Z25" s="324">
        <v>3.4</v>
      </c>
      <c r="AA25" s="324">
        <v>3.7</v>
      </c>
      <c r="AB25" s="324">
        <v>3.7</v>
      </c>
      <c r="AC25" s="324">
        <v>4.0999999999999996</v>
      </c>
      <c r="AD25" s="324">
        <v>4.0999999999999996</v>
      </c>
      <c r="AE25" s="324">
        <v>4.4000000000000004</v>
      </c>
      <c r="AF25" s="324">
        <v>5</v>
      </c>
      <c r="AG25" s="324">
        <v>5.6</v>
      </c>
      <c r="AH25" s="324">
        <v>5.7</v>
      </c>
      <c r="AI25" s="324">
        <v>6.2</v>
      </c>
      <c r="AJ25" s="324">
        <v>6.8</v>
      </c>
      <c r="AK25" s="324">
        <v>6.8</v>
      </c>
      <c r="AL25" s="324">
        <v>7.3</v>
      </c>
      <c r="AM25" s="324">
        <v>7.9</v>
      </c>
      <c r="AN25" s="324">
        <v>8.5</v>
      </c>
      <c r="AO25" s="324">
        <v>9.1</v>
      </c>
      <c r="AP25" s="297"/>
      <c r="AQ25" s="327">
        <v>1300</v>
      </c>
      <c r="AR25" s="328">
        <v>6</v>
      </c>
      <c r="AS25" s="328">
        <v>6</v>
      </c>
      <c r="AT25" s="293">
        <v>3.6</v>
      </c>
      <c r="AU25" s="293">
        <v>4.7</v>
      </c>
      <c r="AV25" s="293">
        <v>4.7</v>
      </c>
      <c r="AW25" s="297"/>
      <c r="AX25" s="340" t="s">
        <v>1104</v>
      </c>
      <c r="AY25" s="341"/>
      <c r="AZ25" s="342"/>
      <c r="BA25" s="297"/>
      <c r="BB25" s="297"/>
      <c r="BC25" s="297"/>
      <c r="BD25" s="297"/>
      <c r="BE25" s="297"/>
      <c r="BF25" s="297"/>
    </row>
    <row r="26" spans="1:58" ht="12.75" customHeight="1">
      <c r="A26" s="297"/>
      <c r="B26" s="297"/>
      <c r="C26" s="297"/>
      <c r="D26" s="297"/>
      <c r="E26" s="326">
        <v>22</v>
      </c>
      <c r="F26" s="324">
        <v>17.7</v>
      </c>
      <c r="G26" s="324">
        <v>17.8</v>
      </c>
      <c r="H26" s="324">
        <v>18.100000000000001</v>
      </c>
      <c r="I26" s="324">
        <v>18.100000000000001</v>
      </c>
      <c r="J26" s="324">
        <v>18.399999999999999</v>
      </c>
      <c r="K26" s="324">
        <v>18.399999999999999</v>
      </c>
      <c r="L26" s="324">
        <v>18.7</v>
      </c>
      <c r="M26" s="324">
        <v>19.100000000000001</v>
      </c>
      <c r="N26" s="324">
        <v>19.5</v>
      </c>
      <c r="O26" s="324">
        <v>19.5</v>
      </c>
      <c r="P26" s="324">
        <v>19.7</v>
      </c>
      <c r="Q26" s="324">
        <v>20</v>
      </c>
      <c r="R26" s="324">
        <v>20</v>
      </c>
      <c r="S26" s="324">
        <v>20.2</v>
      </c>
      <c r="T26" s="324">
        <v>20.399999999999999</v>
      </c>
      <c r="U26" s="324">
        <v>20.399999999999999</v>
      </c>
      <c r="V26" s="324">
        <v>20.399999999999999</v>
      </c>
      <c r="W26" s="297"/>
      <c r="X26" s="326">
        <v>22</v>
      </c>
      <c r="Y26" s="324">
        <v>3.3</v>
      </c>
      <c r="Z26" s="324">
        <v>3.4</v>
      </c>
      <c r="AA26" s="324">
        <v>3.7</v>
      </c>
      <c r="AB26" s="324">
        <v>3.7</v>
      </c>
      <c r="AC26" s="324">
        <v>4.0999999999999996</v>
      </c>
      <c r="AD26" s="324">
        <v>4.0999999999999996</v>
      </c>
      <c r="AE26" s="324">
        <v>4.4000000000000004</v>
      </c>
      <c r="AF26" s="324">
        <v>5</v>
      </c>
      <c r="AG26" s="324">
        <v>5.7</v>
      </c>
      <c r="AH26" s="324">
        <v>5.8</v>
      </c>
      <c r="AI26" s="324">
        <v>6.2</v>
      </c>
      <c r="AJ26" s="324">
        <v>6.8</v>
      </c>
      <c r="AK26" s="324">
        <v>6.8</v>
      </c>
      <c r="AL26" s="324">
        <v>7.3</v>
      </c>
      <c r="AM26" s="324">
        <v>7.9</v>
      </c>
      <c r="AN26" s="324">
        <v>8.5</v>
      </c>
      <c r="AO26" s="324">
        <v>9.1</v>
      </c>
      <c r="AP26" s="297"/>
      <c r="AQ26" s="327">
        <v>1400</v>
      </c>
      <c r="AR26" s="328">
        <v>6</v>
      </c>
      <c r="AS26" s="328">
        <v>6</v>
      </c>
      <c r="AT26" s="293">
        <v>3.7</v>
      </c>
      <c r="AU26" s="293">
        <v>5</v>
      </c>
      <c r="AV26" s="293">
        <v>5</v>
      </c>
      <c r="AW26" s="297"/>
      <c r="AX26" s="320" t="s">
        <v>1105</v>
      </c>
      <c r="AY26" s="343"/>
      <c r="AZ26" s="291" t="s">
        <v>1106</v>
      </c>
      <c r="BA26" s="297"/>
      <c r="BB26" s="297"/>
      <c r="BC26" s="297"/>
      <c r="BD26" s="297"/>
      <c r="BE26" s="297"/>
      <c r="BF26" s="297"/>
    </row>
    <row r="27" spans="1:58" ht="12.75" customHeight="1">
      <c r="A27" s="297"/>
      <c r="B27" s="297"/>
      <c r="C27" s="297"/>
      <c r="D27" s="297"/>
      <c r="E27" s="326">
        <v>23</v>
      </c>
      <c r="F27" s="324">
        <v>18.399999999999999</v>
      </c>
      <c r="G27" s="324">
        <v>18.600000000000001</v>
      </c>
      <c r="H27" s="324">
        <v>18.899999999999999</v>
      </c>
      <c r="I27" s="324">
        <v>18.899999999999999</v>
      </c>
      <c r="J27" s="324">
        <v>19.2</v>
      </c>
      <c r="K27" s="324">
        <v>19.2</v>
      </c>
      <c r="L27" s="324">
        <v>19.5</v>
      </c>
      <c r="M27" s="324">
        <v>19.899999999999999</v>
      </c>
      <c r="N27" s="324">
        <v>20.399999999999999</v>
      </c>
      <c r="O27" s="324">
        <v>20.399999999999999</v>
      </c>
      <c r="P27" s="324">
        <v>20.6</v>
      </c>
      <c r="Q27" s="324">
        <v>20.9</v>
      </c>
      <c r="R27" s="324">
        <v>20.9</v>
      </c>
      <c r="S27" s="324">
        <v>21.1</v>
      </c>
      <c r="T27" s="324">
        <v>21.3</v>
      </c>
      <c r="U27" s="324">
        <v>21.3</v>
      </c>
      <c r="V27" s="324">
        <v>21.3</v>
      </c>
      <c r="W27" s="297"/>
      <c r="X27" s="326">
        <v>23</v>
      </c>
      <c r="Y27" s="324">
        <v>3.4</v>
      </c>
      <c r="Z27" s="324">
        <v>3.5</v>
      </c>
      <c r="AA27" s="324">
        <v>3.8</v>
      </c>
      <c r="AB27" s="324">
        <v>3.8</v>
      </c>
      <c r="AC27" s="324">
        <v>4.2</v>
      </c>
      <c r="AD27" s="324">
        <v>4.2</v>
      </c>
      <c r="AE27" s="324">
        <v>4.4000000000000004</v>
      </c>
      <c r="AF27" s="324">
        <v>5</v>
      </c>
      <c r="AG27" s="324">
        <v>5.7</v>
      </c>
      <c r="AH27" s="324">
        <v>5.8</v>
      </c>
      <c r="AI27" s="324">
        <v>6.3</v>
      </c>
      <c r="AJ27" s="324">
        <v>6.9</v>
      </c>
      <c r="AK27" s="324">
        <v>6.9</v>
      </c>
      <c r="AL27" s="324">
        <v>7.4</v>
      </c>
      <c r="AM27" s="324">
        <v>8</v>
      </c>
      <c r="AN27" s="324">
        <v>8.6</v>
      </c>
      <c r="AO27" s="324">
        <v>9.1999999999999993</v>
      </c>
      <c r="AP27" s="297"/>
      <c r="AQ27" s="297"/>
      <c r="AR27" s="297"/>
      <c r="AS27" s="297"/>
      <c r="AT27" s="297"/>
      <c r="AU27" s="297"/>
      <c r="AV27" s="297"/>
      <c r="AW27" s="297"/>
      <c r="AX27" s="344" t="s">
        <v>1073</v>
      </c>
      <c r="AY27" s="313"/>
      <c r="AZ27" s="293">
        <v>2.2000000000000002</v>
      </c>
      <c r="BA27" s="297"/>
      <c r="BB27" s="297"/>
      <c r="BC27" s="297"/>
      <c r="BD27" s="297"/>
      <c r="BE27" s="297"/>
      <c r="BF27" s="297"/>
    </row>
    <row r="28" spans="1:58" ht="12.75" customHeight="1">
      <c r="A28" s="297"/>
      <c r="B28" s="297"/>
      <c r="C28" s="297"/>
      <c r="D28" s="297"/>
      <c r="E28" s="326">
        <v>24</v>
      </c>
      <c r="F28" s="324">
        <v>19.2</v>
      </c>
      <c r="G28" s="324">
        <v>19.399999999999999</v>
      </c>
      <c r="H28" s="324">
        <v>19.7</v>
      </c>
      <c r="I28" s="324">
        <v>19.7</v>
      </c>
      <c r="J28" s="324">
        <v>20</v>
      </c>
      <c r="K28" s="324">
        <v>20</v>
      </c>
      <c r="L28" s="324">
        <v>20.3</v>
      </c>
      <c r="M28" s="324">
        <v>20.7</v>
      </c>
      <c r="N28" s="324">
        <v>21.2</v>
      </c>
      <c r="O28" s="324">
        <v>21.2</v>
      </c>
      <c r="P28" s="324">
        <v>21.4</v>
      </c>
      <c r="Q28" s="324">
        <v>21.8</v>
      </c>
      <c r="R28" s="324">
        <v>21.8</v>
      </c>
      <c r="S28" s="324">
        <v>22</v>
      </c>
      <c r="T28" s="324">
        <v>22.2</v>
      </c>
      <c r="U28" s="324">
        <v>22.2</v>
      </c>
      <c r="V28" s="324">
        <v>22.2</v>
      </c>
      <c r="W28" s="297"/>
      <c r="X28" s="326">
        <v>24</v>
      </c>
      <c r="Y28" s="324">
        <v>3.4</v>
      </c>
      <c r="Z28" s="324">
        <v>3.5</v>
      </c>
      <c r="AA28" s="324">
        <v>3.8</v>
      </c>
      <c r="AB28" s="324">
        <v>3.8</v>
      </c>
      <c r="AC28" s="324">
        <v>4.2</v>
      </c>
      <c r="AD28" s="324">
        <v>4.2</v>
      </c>
      <c r="AE28" s="324">
        <v>4.4000000000000004</v>
      </c>
      <c r="AF28" s="324">
        <v>5</v>
      </c>
      <c r="AG28" s="324">
        <v>5.7</v>
      </c>
      <c r="AH28" s="324">
        <v>5.8</v>
      </c>
      <c r="AI28" s="324">
        <v>6.3</v>
      </c>
      <c r="AJ28" s="324">
        <v>6.9</v>
      </c>
      <c r="AK28" s="324">
        <v>6.9</v>
      </c>
      <c r="AL28" s="324">
        <v>7.4</v>
      </c>
      <c r="AM28" s="324">
        <v>8</v>
      </c>
      <c r="AN28" s="324">
        <v>8.6</v>
      </c>
      <c r="AO28" s="324">
        <v>9.1999999999999993</v>
      </c>
      <c r="AP28" s="297"/>
      <c r="AQ28" s="297"/>
      <c r="AR28" s="297"/>
      <c r="AS28" s="297"/>
      <c r="AT28" s="297"/>
      <c r="AU28" s="297"/>
      <c r="AV28" s="297"/>
      <c r="AW28" s="297"/>
      <c r="AX28" s="344" t="s">
        <v>1107</v>
      </c>
      <c r="AY28" s="313"/>
      <c r="AZ28" s="315">
        <v>2</v>
      </c>
      <c r="BA28" s="297"/>
      <c r="BB28" s="297"/>
      <c r="BC28" s="297"/>
      <c r="BD28" s="297"/>
      <c r="BE28" s="297"/>
      <c r="BF28" s="297"/>
    </row>
    <row r="29" spans="1:58" ht="12.75" customHeight="1">
      <c r="A29" s="297"/>
      <c r="B29" s="297"/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  <c r="AJ29" s="297"/>
      <c r="AK29" s="297"/>
      <c r="AL29" s="297"/>
      <c r="AM29" s="297"/>
      <c r="AN29" s="297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</row>
    <row r="30" spans="1:58" ht="12.75" customHeight="1">
      <c r="A30" s="316" t="s">
        <v>1108</v>
      </c>
      <c r="B30" s="297"/>
      <c r="C30" s="297"/>
      <c r="D30" s="297"/>
      <c r="E30" s="297"/>
      <c r="F30" s="297"/>
      <c r="G30" s="297"/>
      <c r="H30" s="345" t="s">
        <v>1109</v>
      </c>
      <c r="I30" s="297"/>
      <c r="J30" s="297"/>
      <c r="K30" s="297"/>
      <c r="L30" s="297"/>
      <c r="M30" s="345" t="s">
        <v>1110</v>
      </c>
      <c r="N30" s="297"/>
      <c r="O30" s="297"/>
      <c r="P30" s="297"/>
      <c r="Q30" s="297"/>
      <c r="R30" s="297"/>
      <c r="S30" s="297"/>
      <c r="T30" s="297"/>
      <c r="U30" s="297"/>
      <c r="V30" s="297"/>
      <c r="W30" s="297"/>
      <c r="X30" s="329"/>
      <c r="Y30" s="329"/>
      <c r="Z30" s="329"/>
      <c r="AA30" s="329"/>
      <c r="AB30" s="329"/>
      <c r="AC30" s="329"/>
      <c r="AD30" s="329"/>
      <c r="AE30" s="329"/>
      <c r="AF30" s="329"/>
      <c r="AG30" s="297"/>
      <c r="AH30" s="297"/>
      <c r="AI30" s="297"/>
      <c r="AJ30" s="345" t="s">
        <v>1111</v>
      </c>
      <c r="AK30" s="297"/>
      <c r="AL30" s="297"/>
      <c r="AM30" s="297"/>
      <c r="AN30" s="297"/>
      <c r="AO30" s="297"/>
      <c r="AP30" s="297"/>
      <c r="AQ30" s="297"/>
      <c r="AR30" s="38"/>
      <c r="AS30" s="297"/>
      <c r="AT30" s="297"/>
      <c r="AU30" s="297"/>
      <c r="AV30" s="297"/>
      <c r="AW30" s="297"/>
      <c r="AX30" s="297"/>
      <c r="AY30" s="297"/>
      <c r="AZ30" s="297"/>
      <c r="BA30" s="297"/>
      <c r="BB30" s="297"/>
      <c r="BC30" s="297"/>
      <c r="BD30" s="297"/>
      <c r="BE30" s="297"/>
      <c r="BF30" s="297"/>
    </row>
    <row r="31" spans="1:58" ht="12.75" customHeight="1">
      <c r="A31" s="291" t="s">
        <v>1112</v>
      </c>
      <c r="B31" s="291" t="s">
        <v>1113</v>
      </c>
      <c r="C31" s="291" t="s">
        <v>1114</v>
      </c>
      <c r="D31" s="293"/>
      <c r="E31" s="291" t="s">
        <v>81</v>
      </c>
      <c r="F31" s="291" t="s">
        <v>1115</v>
      </c>
      <c r="G31" s="297"/>
      <c r="H31" s="945" t="s">
        <v>1116</v>
      </c>
      <c r="I31" s="641"/>
      <c r="J31" s="346" t="s">
        <v>387</v>
      </c>
      <c r="K31" s="293" t="s">
        <v>1117</v>
      </c>
      <c r="L31" s="297"/>
      <c r="M31" s="935" t="s">
        <v>609</v>
      </c>
      <c r="N31" s="943" t="s">
        <v>1118</v>
      </c>
      <c r="O31" s="919"/>
      <c r="P31" s="919"/>
      <c r="Q31" s="919"/>
      <c r="R31" s="919"/>
      <c r="S31" s="919"/>
      <c r="T31" s="919"/>
      <c r="U31" s="919"/>
      <c r="V31" s="935" t="s">
        <v>1119</v>
      </c>
      <c r="W31" s="935" t="s">
        <v>1120</v>
      </c>
      <c r="X31" s="935"/>
      <c r="Y31" s="639"/>
      <c r="Z31" s="639"/>
      <c r="AA31" s="639"/>
      <c r="AB31" s="639"/>
      <c r="AC31" s="641"/>
      <c r="AD31" s="935" t="s">
        <v>1121</v>
      </c>
      <c r="AE31" s="935" t="s">
        <v>1122</v>
      </c>
      <c r="AF31" s="935" t="s">
        <v>1123</v>
      </c>
      <c r="AG31" s="935" t="s">
        <v>1124</v>
      </c>
      <c r="AH31" s="656"/>
      <c r="AI31" s="297"/>
      <c r="AJ31" s="935" t="s">
        <v>609</v>
      </c>
      <c r="AK31" s="943" t="s">
        <v>1118</v>
      </c>
      <c r="AL31" s="919"/>
      <c r="AM31" s="919"/>
      <c r="AN31" s="919"/>
      <c r="AO31" s="919"/>
      <c r="AP31" s="919"/>
      <c r="AQ31" s="919"/>
      <c r="AR31" s="919"/>
      <c r="AS31" s="935" t="s">
        <v>1119</v>
      </c>
      <c r="AT31" s="935" t="s">
        <v>1120</v>
      </c>
      <c r="AU31" s="935"/>
      <c r="AV31" s="639"/>
      <c r="AW31" s="639"/>
      <c r="AX31" s="639"/>
      <c r="AY31" s="639"/>
      <c r="AZ31" s="641"/>
      <c r="BA31" s="935" t="s">
        <v>1123</v>
      </c>
      <c r="BB31" s="935" t="s">
        <v>1125</v>
      </c>
      <c r="BC31" s="656"/>
      <c r="BD31" s="297"/>
      <c r="BE31" s="297"/>
      <c r="BF31" s="297"/>
    </row>
    <row r="32" spans="1:58" ht="12.75" customHeight="1">
      <c r="A32" s="346">
        <v>6</v>
      </c>
      <c r="B32" s="348">
        <v>0.129</v>
      </c>
      <c r="C32" s="293">
        <v>23100</v>
      </c>
      <c r="D32" s="293"/>
      <c r="E32" s="293" t="s">
        <v>1126</v>
      </c>
      <c r="F32" s="346">
        <v>1770</v>
      </c>
      <c r="G32" s="297"/>
      <c r="H32" s="944" t="s">
        <v>62</v>
      </c>
      <c r="I32" s="641"/>
      <c r="J32" s="346" t="s">
        <v>387</v>
      </c>
      <c r="K32" s="349">
        <v>2</v>
      </c>
      <c r="L32" s="297"/>
      <c r="M32" s="936"/>
      <c r="N32" s="938"/>
      <c r="O32" s="930"/>
      <c r="P32" s="930"/>
      <c r="Q32" s="930"/>
      <c r="R32" s="930"/>
      <c r="S32" s="930"/>
      <c r="T32" s="930"/>
      <c r="U32" s="930"/>
      <c r="V32" s="936"/>
      <c r="W32" s="936"/>
      <c r="X32" s="935" t="s">
        <v>1127</v>
      </c>
      <c r="Y32" s="639"/>
      <c r="Z32" s="641"/>
      <c r="AA32" s="935" t="s">
        <v>1128</v>
      </c>
      <c r="AB32" s="639"/>
      <c r="AC32" s="641"/>
      <c r="AD32" s="936"/>
      <c r="AE32" s="936"/>
      <c r="AF32" s="936"/>
      <c r="AG32" s="938"/>
      <c r="AH32" s="658"/>
      <c r="AI32" s="297"/>
      <c r="AJ32" s="936"/>
      <c r="AK32" s="938"/>
      <c r="AL32" s="930"/>
      <c r="AM32" s="930"/>
      <c r="AN32" s="930"/>
      <c r="AO32" s="930"/>
      <c r="AP32" s="930"/>
      <c r="AQ32" s="930"/>
      <c r="AR32" s="930"/>
      <c r="AS32" s="936"/>
      <c r="AT32" s="936"/>
      <c r="AU32" s="935" t="s">
        <v>1127</v>
      </c>
      <c r="AV32" s="639"/>
      <c r="AW32" s="641"/>
      <c r="AX32" s="935" t="s">
        <v>1128</v>
      </c>
      <c r="AY32" s="639"/>
      <c r="AZ32" s="641"/>
      <c r="BA32" s="936"/>
      <c r="BB32" s="938"/>
      <c r="BC32" s="658"/>
      <c r="BD32" s="297"/>
      <c r="BE32" s="297"/>
      <c r="BF32" s="297"/>
    </row>
    <row r="33" spans="1:58" ht="12.75" customHeight="1">
      <c r="A33" s="346">
        <v>6.5</v>
      </c>
      <c r="B33" s="348">
        <v>0.152</v>
      </c>
      <c r="C33" s="293">
        <v>24700</v>
      </c>
      <c r="D33" s="293"/>
      <c r="E33" s="293" t="s">
        <v>1126</v>
      </c>
      <c r="F33" s="346">
        <v>1770</v>
      </c>
      <c r="G33" s="297"/>
      <c r="H33" s="944" t="s">
        <v>1129</v>
      </c>
      <c r="I33" s="641"/>
      <c r="J33" s="346" t="s">
        <v>387</v>
      </c>
      <c r="K33" s="349">
        <v>3</v>
      </c>
      <c r="L33" s="297"/>
      <c r="M33" s="936"/>
      <c r="N33" s="310" t="s">
        <v>301</v>
      </c>
      <c r="O33" s="310" t="s">
        <v>266</v>
      </c>
      <c r="P33" s="310" t="s">
        <v>1130</v>
      </c>
      <c r="Q33" s="310" t="s">
        <v>1131</v>
      </c>
      <c r="R33" s="310" t="s">
        <v>1132</v>
      </c>
      <c r="S33" s="310" t="s">
        <v>1133</v>
      </c>
      <c r="T33" s="310" t="s">
        <v>1134</v>
      </c>
      <c r="U33" s="347" t="s">
        <v>1135</v>
      </c>
      <c r="V33" s="654"/>
      <c r="W33" s="654"/>
      <c r="X33" s="310" t="s">
        <v>1136</v>
      </c>
      <c r="Y33" s="310" t="s">
        <v>1137</v>
      </c>
      <c r="Z33" s="310" t="s">
        <v>1138</v>
      </c>
      <c r="AA33" s="310" t="s">
        <v>1139</v>
      </c>
      <c r="AB33" s="310" t="s">
        <v>1140</v>
      </c>
      <c r="AC33" s="310" t="s">
        <v>1141</v>
      </c>
      <c r="AD33" s="654"/>
      <c r="AE33" s="654"/>
      <c r="AF33" s="654"/>
      <c r="AG33" s="310" t="s">
        <v>1142</v>
      </c>
      <c r="AH33" s="310" t="s">
        <v>1143</v>
      </c>
      <c r="AI33" s="297"/>
      <c r="AJ33" s="936"/>
      <c r="AK33" s="310" t="s">
        <v>301</v>
      </c>
      <c r="AL33" s="310" t="s">
        <v>266</v>
      </c>
      <c r="AM33" s="310" t="s">
        <v>1130</v>
      </c>
      <c r="AN33" s="310" t="s">
        <v>1131</v>
      </c>
      <c r="AO33" s="310" t="s">
        <v>1132</v>
      </c>
      <c r="AP33" s="310" t="s">
        <v>1133</v>
      </c>
      <c r="AQ33" s="310" t="s">
        <v>1144</v>
      </c>
      <c r="AR33" s="347" t="s">
        <v>1135</v>
      </c>
      <c r="AS33" s="654"/>
      <c r="AT33" s="654"/>
      <c r="AU33" s="310" t="s">
        <v>1136</v>
      </c>
      <c r="AV33" s="310" t="s">
        <v>1137</v>
      </c>
      <c r="AW33" s="310" t="s">
        <v>1138</v>
      </c>
      <c r="AX33" s="310" t="s">
        <v>1139</v>
      </c>
      <c r="AY33" s="310" t="s">
        <v>1140</v>
      </c>
      <c r="AZ33" s="310" t="s">
        <v>1141</v>
      </c>
      <c r="BA33" s="654"/>
      <c r="BB33" s="310" t="s">
        <v>1142</v>
      </c>
      <c r="BC33" s="310" t="s">
        <v>1143</v>
      </c>
      <c r="BD33" s="297"/>
      <c r="BE33" s="297"/>
      <c r="BF33" s="297"/>
    </row>
    <row r="34" spans="1:58" ht="12.75" customHeight="1">
      <c r="A34" s="346">
        <v>7</v>
      </c>
      <c r="B34" s="348">
        <f>(B35+B32)/2</f>
        <v>0.17949999999999999</v>
      </c>
      <c r="C34" s="293">
        <f>(C35+C32)/2</f>
        <v>27400</v>
      </c>
      <c r="D34" s="293"/>
      <c r="E34" s="293" t="s">
        <v>1126</v>
      </c>
      <c r="F34" s="346">
        <v>1770</v>
      </c>
      <c r="G34" s="297"/>
      <c r="H34" s="951" t="s">
        <v>1145</v>
      </c>
      <c r="I34" s="656"/>
      <c r="J34" s="945" t="s">
        <v>387</v>
      </c>
      <c r="K34" s="949">
        <v>5</v>
      </c>
      <c r="L34" s="297"/>
      <c r="M34" s="936"/>
      <c r="N34" s="935" t="s">
        <v>1146</v>
      </c>
      <c r="O34" s="919"/>
      <c r="P34" s="919"/>
      <c r="Q34" s="919"/>
      <c r="R34" s="919"/>
      <c r="S34" s="919"/>
      <c r="T34" s="919"/>
      <c r="U34" s="919"/>
      <c r="V34" s="919"/>
      <c r="W34" s="919"/>
      <c r="X34" s="919"/>
      <c r="Y34" s="919"/>
      <c r="Z34" s="919"/>
      <c r="AA34" s="919"/>
      <c r="AB34" s="919"/>
      <c r="AC34" s="919"/>
      <c r="AD34" s="919"/>
      <c r="AE34" s="919"/>
      <c r="AF34" s="919"/>
      <c r="AG34" s="919"/>
      <c r="AH34" s="656"/>
      <c r="AI34" s="297"/>
      <c r="AJ34" s="936"/>
      <c r="AK34" s="935" t="s">
        <v>1147</v>
      </c>
      <c r="AL34" s="919"/>
      <c r="AM34" s="919"/>
      <c r="AN34" s="919"/>
      <c r="AO34" s="919"/>
      <c r="AP34" s="919"/>
      <c r="AQ34" s="919"/>
      <c r="AR34" s="919"/>
      <c r="AS34" s="919"/>
      <c r="AT34" s="919"/>
      <c r="AU34" s="919"/>
      <c r="AV34" s="919"/>
      <c r="AW34" s="919"/>
      <c r="AX34" s="919"/>
      <c r="AY34" s="919"/>
      <c r="AZ34" s="919"/>
      <c r="BA34" s="919"/>
      <c r="BB34" s="919"/>
      <c r="BC34" s="656"/>
      <c r="BD34" s="297"/>
      <c r="BE34" s="297"/>
      <c r="BF34" s="297"/>
    </row>
    <row r="35" spans="1:58" ht="12.75" customHeight="1">
      <c r="A35" s="346">
        <v>8</v>
      </c>
      <c r="B35" s="348">
        <v>0.23</v>
      </c>
      <c r="C35" s="293">
        <v>31700</v>
      </c>
      <c r="D35" s="293"/>
      <c r="E35" s="293" t="s">
        <v>1126</v>
      </c>
      <c r="F35" s="346" t="s">
        <v>1148</v>
      </c>
      <c r="G35" s="297"/>
      <c r="H35" s="938"/>
      <c r="I35" s="658"/>
      <c r="J35" s="654"/>
      <c r="K35" s="654"/>
      <c r="L35" s="297"/>
      <c r="M35" s="654"/>
      <c r="N35" s="938"/>
      <c r="O35" s="930"/>
      <c r="P35" s="930"/>
      <c r="Q35" s="930"/>
      <c r="R35" s="930"/>
      <c r="S35" s="930"/>
      <c r="T35" s="930"/>
      <c r="U35" s="930"/>
      <c r="V35" s="930"/>
      <c r="W35" s="930"/>
      <c r="X35" s="930"/>
      <c r="Y35" s="930"/>
      <c r="Z35" s="930"/>
      <c r="AA35" s="930"/>
      <c r="AB35" s="930"/>
      <c r="AC35" s="930"/>
      <c r="AD35" s="930"/>
      <c r="AE35" s="930"/>
      <c r="AF35" s="930"/>
      <c r="AG35" s="930"/>
      <c r="AH35" s="658"/>
      <c r="AI35" s="297"/>
      <c r="AJ35" s="654"/>
      <c r="AK35" s="938"/>
      <c r="AL35" s="930"/>
      <c r="AM35" s="930"/>
      <c r="AN35" s="930"/>
      <c r="AO35" s="930"/>
      <c r="AP35" s="930"/>
      <c r="AQ35" s="930"/>
      <c r="AR35" s="930"/>
      <c r="AS35" s="930"/>
      <c r="AT35" s="930"/>
      <c r="AU35" s="930"/>
      <c r="AV35" s="930"/>
      <c r="AW35" s="930"/>
      <c r="AX35" s="930"/>
      <c r="AY35" s="930"/>
      <c r="AZ35" s="930"/>
      <c r="BA35" s="930"/>
      <c r="BB35" s="930"/>
      <c r="BC35" s="658"/>
      <c r="BD35" s="297"/>
      <c r="BE35" s="346" t="s">
        <v>1110</v>
      </c>
      <c r="BF35" s="346" t="s">
        <v>1111</v>
      </c>
    </row>
    <row r="36" spans="1:58" ht="12.75" customHeight="1">
      <c r="A36" s="346">
        <v>9</v>
      </c>
      <c r="B36" s="348">
        <v>0.29099999999999998</v>
      </c>
      <c r="C36" s="293">
        <v>40100</v>
      </c>
      <c r="D36" s="293"/>
      <c r="E36" s="293" t="s">
        <v>1126</v>
      </c>
      <c r="F36" s="346" t="s">
        <v>1148</v>
      </c>
      <c r="G36" s="297"/>
      <c r="H36" s="944" t="s">
        <v>1149</v>
      </c>
      <c r="I36" s="641"/>
      <c r="J36" s="346" t="s">
        <v>1150</v>
      </c>
      <c r="K36" s="349">
        <v>1.2</v>
      </c>
      <c r="L36" s="297"/>
      <c r="M36" s="350" t="s">
        <v>1151</v>
      </c>
      <c r="N36" s="350">
        <v>30</v>
      </c>
      <c r="O36" s="350">
        <v>15</v>
      </c>
      <c r="P36" s="328">
        <v>4</v>
      </c>
      <c r="Q36" s="328">
        <v>4.5</v>
      </c>
      <c r="R36" s="328">
        <v>2</v>
      </c>
      <c r="S36" s="328">
        <v>9</v>
      </c>
      <c r="T36" s="328">
        <v>12</v>
      </c>
      <c r="U36" s="328"/>
      <c r="V36" s="351">
        <v>2.21</v>
      </c>
      <c r="W36" s="351">
        <v>1.74</v>
      </c>
      <c r="X36" s="351">
        <v>2.21</v>
      </c>
      <c r="Y36" s="328">
        <v>1.69</v>
      </c>
      <c r="Z36" s="351">
        <v>1.07</v>
      </c>
      <c r="AA36" s="351">
        <v>0.38</v>
      </c>
      <c r="AB36" s="328">
        <v>0.39</v>
      </c>
      <c r="AC36" s="351">
        <v>0.42</v>
      </c>
      <c r="AD36" s="351">
        <v>0.52</v>
      </c>
      <c r="AE36" s="351">
        <v>0.74</v>
      </c>
      <c r="AF36" s="351"/>
      <c r="AG36" s="351">
        <v>4.3</v>
      </c>
      <c r="AH36" s="328">
        <v>10</v>
      </c>
      <c r="AI36" s="297"/>
      <c r="AJ36" s="352">
        <v>80</v>
      </c>
      <c r="AK36" s="352">
        <v>80</v>
      </c>
      <c r="AL36" s="352">
        <v>42</v>
      </c>
      <c r="AM36" s="353">
        <v>3.9</v>
      </c>
      <c r="AN36" s="353">
        <v>5.9</v>
      </c>
      <c r="AO36" s="353">
        <v>2.2999999999999998</v>
      </c>
      <c r="AP36" s="353">
        <v>10.5</v>
      </c>
      <c r="AQ36" s="353">
        <v>59</v>
      </c>
      <c r="AR36" s="353">
        <v>4.4000000000000004</v>
      </c>
      <c r="AS36" s="354">
        <v>7.57</v>
      </c>
      <c r="AT36" s="354">
        <v>5.94</v>
      </c>
      <c r="AU36" s="353">
        <v>77.8</v>
      </c>
      <c r="AV36" s="353">
        <v>19.5</v>
      </c>
      <c r="AW36" s="354">
        <v>3.2</v>
      </c>
      <c r="AX36" s="354">
        <v>6.29</v>
      </c>
      <c r="AY36" s="353">
        <v>3</v>
      </c>
      <c r="AZ36" s="354">
        <v>0.91</v>
      </c>
      <c r="BA36" s="354">
        <v>6.84</v>
      </c>
      <c r="BB36" s="354">
        <v>6.4</v>
      </c>
      <c r="BC36" s="353">
        <v>22</v>
      </c>
      <c r="BD36" s="297"/>
      <c r="BE36" s="310" t="s">
        <v>1151</v>
      </c>
      <c r="BF36" s="310">
        <v>80</v>
      </c>
    </row>
    <row r="37" spans="1:58" ht="12.75" customHeight="1">
      <c r="A37" s="346">
        <v>10</v>
      </c>
      <c r="B37" s="348">
        <v>0.34</v>
      </c>
      <c r="C37" s="293">
        <v>49500</v>
      </c>
      <c r="D37" s="293"/>
      <c r="E37" s="293" t="s">
        <v>1126</v>
      </c>
      <c r="F37" s="346" t="s">
        <v>1148</v>
      </c>
      <c r="G37" s="297"/>
      <c r="H37" s="297"/>
      <c r="I37" s="297"/>
      <c r="J37" s="297"/>
      <c r="K37" s="297"/>
      <c r="L37" s="297"/>
      <c r="M37" s="350">
        <v>30</v>
      </c>
      <c r="N37" s="350">
        <v>30</v>
      </c>
      <c r="O37" s="350">
        <v>33</v>
      </c>
      <c r="P37" s="328">
        <v>5</v>
      </c>
      <c r="Q37" s="328">
        <v>7</v>
      </c>
      <c r="R37" s="328">
        <v>3.5</v>
      </c>
      <c r="S37" s="328">
        <v>14.5</v>
      </c>
      <c r="T37" s="328">
        <v>1</v>
      </c>
      <c r="U37" s="328"/>
      <c r="V37" s="351">
        <v>5.44</v>
      </c>
      <c r="W37" s="351">
        <v>4.2699999999999996</v>
      </c>
      <c r="X37" s="351">
        <v>6.39</v>
      </c>
      <c r="Y37" s="328">
        <v>4.26</v>
      </c>
      <c r="Z37" s="351">
        <v>1.08</v>
      </c>
      <c r="AA37" s="351">
        <v>5.33</v>
      </c>
      <c r="AB37" s="351">
        <v>2.68</v>
      </c>
      <c r="AC37" s="355">
        <v>0.99</v>
      </c>
      <c r="AD37" s="355">
        <v>1.31</v>
      </c>
      <c r="AE37" s="355">
        <v>2.2200000000000002</v>
      </c>
      <c r="AF37" s="351"/>
      <c r="AG37" s="351">
        <v>8.4</v>
      </c>
      <c r="AH37" s="328">
        <v>20</v>
      </c>
      <c r="AI37" s="297"/>
      <c r="AJ37" s="352">
        <v>100</v>
      </c>
      <c r="AK37" s="352">
        <v>100</v>
      </c>
      <c r="AL37" s="352">
        <v>50</v>
      </c>
      <c r="AM37" s="353">
        <v>4.5</v>
      </c>
      <c r="AN37" s="353">
        <v>6.8</v>
      </c>
      <c r="AO37" s="353">
        <v>2.7</v>
      </c>
      <c r="AP37" s="353">
        <v>12.5</v>
      </c>
      <c r="AQ37" s="353">
        <v>75</v>
      </c>
      <c r="AR37" s="353">
        <v>5</v>
      </c>
      <c r="AS37" s="354">
        <v>10.6</v>
      </c>
      <c r="AT37" s="354">
        <v>8.34</v>
      </c>
      <c r="AU37" s="353">
        <v>171</v>
      </c>
      <c r="AV37" s="353">
        <v>34.200000000000003</v>
      </c>
      <c r="AW37" s="354">
        <v>4.01</v>
      </c>
      <c r="AX37" s="354">
        <v>12.2</v>
      </c>
      <c r="AY37" s="354">
        <v>4.88</v>
      </c>
      <c r="AZ37" s="356">
        <v>1.07</v>
      </c>
      <c r="BA37" s="354">
        <v>8.57</v>
      </c>
      <c r="BB37" s="354">
        <v>6.4</v>
      </c>
      <c r="BC37" s="353">
        <v>28</v>
      </c>
      <c r="BD37" s="297"/>
      <c r="BE37" s="310">
        <v>30</v>
      </c>
      <c r="BF37" s="310">
        <v>100</v>
      </c>
    </row>
    <row r="38" spans="1:58" ht="12.75" customHeight="1">
      <c r="A38" s="346">
        <v>11</v>
      </c>
      <c r="B38" s="348">
        <v>0.41099999999999998</v>
      </c>
      <c r="C38" s="293">
        <v>53200</v>
      </c>
      <c r="D38" s="293"/>
      <c r="E38" s="293" t="s">
        <v>1152</v>
      </c>
      <c r="F38" s="346" t="s">
        <v>1148</v>
      </c>
      <c r="G38" s="297"/>
      <c r="L38" s="297"/>
      <c r="M38" s="350" t="s">
        <v>1153</v>
      </c>
      <c r="N38" s="350">
        <v>40</v>
      </c>
      <c r="O38" s="350">
        <v>20</v>
      </c>
      <c r="P38" s="328">
        <v>5</v>
      </c>
      <c r="Q38" s="328">
        <v>5.5</v>
      </c>
      <c r="R38" s="328">
        <v>2.5</v>
      </c>
      <c r="S38" s="328">
        <v>11</v>
      </c>
      <c r="T38" s="328">
        <v>18</v>
      </c>
      <c r="U38" s="328"/>
      <c r="V38" s="351">
        <v>3.66</v>
      </c>
      <c r="W38" s="351">
        <v>2.87</v>
      </c>
      <c r="X38" s="351">
        <v>7.58</v>
      </c>
      <c r="Y38" s="328">
        <v>3.79</v>
      </c>
      <c r="Z38" s="351">
        <v>1.44</v>
      </c>
      <c r="AA38" s="351">
        <v>1.1399999999999999</v>
      </c>
      <c r="AB38" s="328">
        <v>0.86</v>
      </c>
      <c r="AC38" s="355">
        <v>0.56000000000000005</v>
      </c>
      <c r="AD38" s="355">
        <v>0.67</v>
      </c>
      <c r="AE38" s="355">
        <v>1.01</v>
      </c>
      <c r="AF38" s="351"/>
      <c r="AG38" s="351">
        <v>6.4</v>
      </c>
      <c r="AH38" s="328">
        <v>11</v>
      </c>
      <c r="AI38" s="297"/>
      <c r="AJ38" s="352">
        <v>120</v>
      </c>
      <c r="AK38" s="352">
        <v>120</v>
      </c>
      <c r="AL38" s="352">
        <v>56</v>
      </c>
      <c r="AM38" s="353">
        <v>5.0999999999999996</v>
      </c>
      <c r="AN38" s="353">
        <v>7.7</v>
      </c>
      <c r="AO38" s="353">
        <v>3.1</v>
      </c>
      <c r="AP38" s="353">
        <v>14</v>
      </c>
      <c r="AQ38" s="353">
        <v>92</v>
      </c>
      <c r="AR38" s="353">
        <v>5.7</v>
      </c>
      <c r="AS38" s="354">
        <v>14.2</v>
      </c>
      <c r="AT38" s="354">
        <v>11.1</v>
      </c>
      <c r="AU38" s="353">
        <v>328</v>
      </c>
      <c r="AV38" s="353">
        <v>54.7</v>
      </c>
      <c r="AW38" s="354">
        <v>4.8099999999999996</v>
      </c>
      <c r="AX38" s="354">
        <v>21.5</v>
      </c>
      <c r="AY38" s="353">
        <v>7.41</v>
      </c>
      <c r="AZ38" s="356">
        <v>1.23</v>
      </c>
      <c r="BA38" s="354">
        <v>10.3</v>
      </c>
      <c r="BB38" s="354">
        <v>8.4</v>
      </c>
      <c r="BC38" s="353">
        <v>32</v>
      </c>
      <c r="BD38" s="297"/>
      <c r="BE38" s="310" t="s">
        <v>1153</v>
      </c>
      <c r="BF38" s="310">
        <v>120</v>
      </c>
    </row>
    <row r="39" spans="1:58" ht="12.75" customHeight="1">
      <c r="A39" s="346">
        <v>12</v>
      </c>
      <c r="B39" s="348">
        <v>0.49</v>
      </c>
      <c r="C39" s="293">
        <v>63300</v>
      </c>
      <c r="D39" s="293"/>
      <c r="E39" s="293" t="s">
        <v>1152</v>
      </c>
      <c r="F39" s="346" t="s">
        <v>1148</v>
      </c>
      <c r="G39" s="297"/>
      <c r="L39" s="297"/>
      <c r="M39" s="350">
        <v>40</v>
      </c>
      <c r="N39" s="350">
        <v>40</v>
      </c>
      <c r="O39" s="350">
        <v>35</v>
      </c>
      <c r="P39" s="328">
        <v>5</v>
      </c>
      <c r="Q39" s="328">
        <v>7</v>
      </c>
      <c r="R39" s="328">
        <v>3.5</v>
      </c>
      <c r="S39" s="328">
        <v>14.5</v>
      </c>
      <c r="T39" s="328">
        <v>11</v>
      </c>
      <c r="U39" s="328"/>
      <c r="V39" s="351">
        <v>6.21</v>
      </c>
      <c r="W39" s="351">
        <v>4.87</v>
      </c>
      <c r="X39" s="328">
        <v>14.1</v>
      </c>
      <c r="Y39" s="328">
        <v>7.05</v>
      </c>
      <c r="Z39" s="351">
        <v>1.5</v>
      </c>
      <c r="AA39" s="351">
        <v>6.68</v>
      </c>
      <c r="AB39" s="328">
        <v>3.08</v>
      </c>
      <c r="AC39" s="355">
        <v>1.04</v>
      </c>
      <c r="AD39" s="355">
        <v>1.33</v>
      </c>
      <c r="AE39" s="355">
        <v>2.3199999999999998</v>
      </c>
      <c r="AF39" s="351"/>
      <c r="AG39" s="351">
        <v>8.4</v>
      </c>
      <c r="AH39" s="328">
        <v>20</v>
      </c>
      <c r="AI39" s="297"/>
      <c r="AJ39" s="352">
        <v>140</v>
      </c>
      <c r="AK39" s="352">
        <v>140</v>
      </c>
      <c r="AL39" s="352">
        <v>58</v>
      </c>
      <c r="AM39" s="353">
        <v>5.7</v>
      </c>
      <c r="AN39" s="353">
        <v>8.6</v>
      </c>
      <c r="AO39" s="353">
        <v>3.4</v>
      </c>
      <c r="AP39" s="353">
        <v>15.5</v>
      </c>
      <c r="AQ39" s="353">
        <v>109</v>
      </c>
      <c r="AR39" s="353">
        <v>6.3</v>
      </c>
      <c r="AS39" s="354">
        <v>18.2</v>
      </c>
      <c r="AT39" s="354">
        <v>14.3</v>
      </c>
      <c r="AU39" s="353">
        <v>573</v>
      </c>
      <c r="AV39" s="353">
        <v>81.900000000000006</v>
      </c>
      <c r="AW39" s="354">
        <v>5.61</v>
      </c>
      <c r="AX39" s="354">
        <v>35.200000000000003</v>
      </c>
      <c r="AY39" s="353">
        <v>10.7</v>
      </c>
      <c r="AZ39" s="356">
        <v>1.4</v>
      </c>
      <c r="BA39" s="354">
        <v>12</v>
      </c>
      <c r="BB39" s="354">
        <v>11</v>
      </c>
      <c r="BC39" s="353">
        <v>34</v>
      </c>
      <c r="BD39" s="297"/>
      <c r="BE39" s="310">
        <v>40</v>
      </c>
      <c r="BF39" s="310">
        <v>140</v>
      </c>
    </row>
    <row r="40" spans="1:58" ht="12.75" customHeight="1">
      <c r="A40" s="346">
        <v>13</v>
      </c>
      <c r="B40" s="348">
        <v>0.57499999999999996</v>
      </c>
      <c r="C40" s="293">
        <v>74300</v>
      </c>
      <c r="D40" s="293"/>
      <c r="E40" s="293" t="s">
        <v>1152</v>
      </c>
      <c r="F40" s="346" t="s">
        <v>1148</v>
      </c>
      <c r="G40" s="297"/>
      <c r="L40" s="297"/>
      <c r="M40" s="350" t="s">
        <v>1154</v>
      </c>
      <c r="N40" s="350">
        <v>50</v>
      </c>
      <c r="O40" s="350">
        <v>25</v>
      </c>
      <c r="P40" s="328">
        <v>5</v>
      </c>
      <c r="Q40" s="328">
        <v>6</v>
      </c>
      <c r="R40" s="328">
        <v>3</v>
      </c>
      <c r="S40" s="328">
        <v>12.5</v>
      </c>
      <c r="T40" s="328">
        <v>25</v>
      </c>
      <c r="U40" s="328"/>
      <c r="V40" s="351">
        <v>4.92</v>
      </c>
      <c r="W40" s="351">
        <v>3.86</v>
      </c>
      <c r="X40" s="328">
        <v>16.8</v>
      </c>
      <c r="Y40" s="328">
        <v>6.73</v>
      </c>
      <c r="Z40" s="351">
        <v>1.85</v>
      </c>
      <c r="AA40" s="351">
        <v>2.4900000000000002</v>
      </c>
      <c r="AB40" s="328">
        <v>1.48</v>
      </c>
      <c r="AC40" s="355">
        <v>0.71</v>
      </c>
      <c r="AD40" s="355">
        <v>0.81</v>
      </c>
      <c r="AE40" s="355">
        <v>1.34</v>
      </c>
      <c r="AF40" s="351"/>
      <c r="AG40" s="351">
        <v>8.4</v>
      </c>
      <c r="AH40" s="328">
        <v>16</v>
      </c>
      <c r="AI40" s="297"/>
      <c r="AJ40" s="352">
        <v>160</v>
      </c>
      <c r="AK40" s="352">
        <v>160</v>
      </c>
      <c r="AL40" s="352">
        <v>66</v>
      </c>
      <c r="AM40" s="353">
        <v>6.3</v>
      </c>
      <c r="AN40" s="353">
        <v>9.5</v>
      </c>
      <c r="AO40" s="353">
        <v>3.8</v>
      </c>
      <c r="AP40" s="353">
        <v>17.5</v>
      </c>
      <c r="AQ40" s="353">
        <v>125</v>
      </c>
      <c r="AR40" s="353">
        <v>6.9</v>
      </c>
      <c r="AS40" s="354">
        <v>22.6</v>
      </c>
      <c r="AT40" s="354">
        <v>17.899999999999999</v>
      </c>
      <c r="AU40" s="353">
        <v>935</v>
      </c>
      <c r="AV40" s="353">
        <v>117</v>
      </c>
      <c r="AW40" s="354">
        <v>6.4</v>
      </c>
      <c r="AX40" s="354">
        <v>54.7</v>
      </c>
      <c r="AY40" s="353">
        <v>14.8</v>
      </c>
      <c r="AZ40" s="356">
        <v>1.55</v>
      </c>
      <c r="BA40" s="354">
        <v>13.7</v>
      </c>
      <c r="BB40" s="354">
        <v>11</v>
      </c>
      <c r="BC40" s="353">
        <v>40</v>
      </c>
      <c r="BD40" s="297"/>
      <c r="BE40" s="310" t="s">
        <v>1154</v>
      </c>
      <c r="BF40" s="310">
        <v>160</v>
      </c>
    </row>
    <row r="41" spans="1:58" ht="12.75" customHeight="1">
      <c r="A41" s="346">
        <v>14</v>
      </c>
      <c r="B41" s="348">
        <v>0.66600000000000004</v>
      </c>
      <c r="C41" s="293">
        <v>86100</v>
      </c>
      <c r="D41" s="293"/>
      <c r="E41" s="293" t="s">
        <v>1152</v>
      </c>
      <c r="F41" s="346" t="s">
        <v>1148</v>
      </c>
      <c r="G41" s="297"/>
      <c r="L41" s="297"/>
      <c r="M41" s="350">
        <v>50</v>
      </c>
      <c r="N41" s="350">
        <v>50</v>
      </c>
      <c r="O41" s="350">
        <v>38</v>
      </c>
      <c r="P41" s="328">
        <v>5</v>
      </c>
      <c r="Q41" s="328">
        <v>7</v>
      </c>
      <c r="R41" s="328">
        <v>3.5</v>
      </c>
      <c r="S41" s="328">
        <v>15</v>
      </c>
      <c r="T41" s="328">
        <v>20</v>
      </c>
      <c r="U41" s="328"/>
      <c r="V41" s="351">
        <v>7.12</v>
      </c>
      <c r="W41" s="351">
        <v>5.59</v>
      </c>
      <c r="X41" s="328">
        <v>26.4</v>
      </c>
      <c r="Y41" s="328">
        <v>10.6</v>
      </c>
      <c r="Z41" s="351">
        <v>1.92</v>
      </c>
      <c r="AA41" s="351">
        <v>9.1199999999999992</v>
      </c>
      <c r="AB41" s="328">
        <v>3.75</v>
      </c>
      <c r="AC41" s="355">
        <v>1.1299999999999999</v>
      </c>
      <c r="AD41" s="355">
        <v>1.37</v>
      </c>
      <c r="AE41" s="355">
        <v>2.4700000000000002</v>
      </c>
      <c r="AF41" s="351"/>
      <c r="AG41" s="351">
        <v>11</v>
      </c>
      <c r="AH41" s="328">
        <v>20</v>
      </c>
      <c r="AI41" s="297"/>
      <c r="AJ41" s="352">
        <v>180</v>
      </c>
      <c r="AK41" s="352">
        <v>180</v>
      </c>
      <c r="AL41" s="352">
        <v>74</v>
      </c>
      <c r="AM41" s="353">
        <v>6.9</v>
      </c>
      <c r="AN41" s="353">
        <v>10.4</v>
      </c>
      <c r="AO41" s="353">
        <v>4.0999999999999996</v>
      </c>
      <c r="AP41" s="353">
        <v>19</v>
      </c>
      <c r="AQ41" s="353">
        <v>142</v>
      </c>
      <c r="AR41" s="353">
        <v>7.5</v>
      </c>
      <c r="AS41" s="354">
        <v>27.9</v>
      </c>
      <c r="AT41" s="354">
        <v>21.9</v>
      </c>
      <c r="AU41" s="353">
        <v>1450</v>
      </c>
      <c r="AV41" s="353">
        <v>161</v>
      </c>
      <c r="AW41" s="354">
        <v>7.2</v>
      </c>
      <c r="AX41" s="354">
        <v>81.3</v>
      </c>
      <c r="AY41" s="353">
        <v>19.8</v>
      </c>
      <c r="AZ41" s="356">
        <v>1.71</v>
      </c>
      <c r="BA41" s="354">
        <v>15.5</v>
      </c>
      <c r="BB41" s="354" t="s">
        <v>1155</v>
      </c>
      <c r="BC41" s="353">
        <v>44</v>
      </c>
      <c r="BD41" s="297"/>
      <c r="BE41" s="310">
        <v>50</v>
      </c>
      <c r="BF41" s="310">
        <v>180</v>
      </c>
    </row>
    <row r="42" spans="1:58" ht="12.75" customHeight="1">
      <c r="A42" s="346">
        <v>15</v>
      </c>
      <c r="B42" s="348">
        <v>0.76500000000000001</v>
      </c>
      <c r="C42" s="293">
        <v>98900</v>
      </c>
      <c r="D42" s="293"/>
      <c r="E42" s="293" t="s">
        <v>1152</v>
      </c>
      <c r="F42" s="346" t="s">
        <v>1148</v>
      </c>
      <c r="G42" s="297"/>
      <c r="L42" s="297"/>
      <c r="M42" s="350">
        <v>60</v>
      </c>
      <c r="N42" s="350">
        <v>60</v>
      </c>
      <c r="O42" s="350">
        <v>30</v>
      </c>
      <c r="P42" s="328">
        <v>5</v>
      </c>
      <c r="Q42" s="328">
        <v>6</v>
      </c>
      <c r="R42" s="328">
        <v>3</v>
      </c>
      <c r="S42" s="328">
        <v>12.5</v>
      </c>
      <c r="T42" s="328">
        <v>35</v>
      </c>
      <c r="U42" s="328"/>
      <c r="V42" s="351">
        <v>6.46</v>
      </c>
      <c r="W42" s="351">
        <v>5.07</v>
      </c>
      <c r="X42" s="328">
        <v>31.6</v>
      </c>
      <c r="Y42" s="328">
        <v>10.5</v>
      </c>
      <c r="Z42" s="351">
        <v>2.21</v>
      </c>
      <c r="AA42" s="351">
        <v>4.51</v>
      </c>
      <c r="AB42" s="328">
        <v>2.16</v>
      </c>
      <c r="AC42" s="355">
        <v>0.84</v>
      </c>
      <c r="AD42" s="355">
        <v>0.91</v>
      </c>
      <c r="AE42" s="355">
        <v>1.5</v>
      </c>
      <c r="AF42" s="351"/>
      <c r="AG42" s="351">
        <v>8.4</v>
      </c>
      <c r="AH42" s="328">
        <v>18</v>
      </c>
      <c r="AI42" s="297"/>
      <c r="AJ42" s="352">
        <v>200</v>
      </c>
      <c r="AK42" s="352">
        <v>200</v>
      </c>
      <c r="AL42" s="352">
        <v>82</v>
      </c>
      <c r="AM42" s="353">
        <v>7.5</v>
      </c>
      <c r="AN42" s="331">
        <v>11.3</v>
      </c>
      <c r="AO42" s="353">
        <v>4.5</v>
      </c>
      <c r="AP42" s="353">
        <v>20.5</v>
      </c>
      <c r="AQ42" s="353">
        <v>159</v>
      </c>
      <c r="AR42" s="353">
        <v>8.1999999999999993</v>
      </c>
      <c r="AS42" s="354">
        <v>33.4</v>
      </c>
      <c r="AT42" s="354">
        <v>26.2</v>
      </c>
      <c r="AU42" s="353">
        <v>2140</v>
      </c>
      <c r="AV42" s="353">
        <v>214</v>
      </c>
      <c r="AW42" s="354">
        <v>8</v>
      </c>
      <c r="AX42" s="354">
        <v>117</v>
      </c>
      <c r="AY42" s="353">
        <v>26</v>
      </c>
      <c r="AZ42" s="356">
        <v>1.87</v>
      </c>
      <c r="BA42" s="354">
        <v>17.2</v>
      </c>
      <c r="BB42" s="354">
        <v>13</v>
      </c>
      <c r="BC42" s="353">
        <v>48</v>
      </c>
      <c r="BD42" s="297"/>
      <c r="BE42" s="310">
        <v>60</v>
      </c>
      <c r="BF42" s="310">
        <v>200</v>
      </c>
    </row>
    <row r="43" spans="1:58" ht="12.75" customHeight="1">
      <c r="A43" s="346">
        <v>16</v>
      </c>
      <c r="B43" s="348">
        <v>0.87</v>
      </c>
      <c r="C43" s="293">
        <v>113000</v>
      </c>
      <c r="D43" s="293"/>
      <c r="E43" s="293" t="s">
        <v>1152</v>
      </c>
      <c r="F43" s="346" t="s">
        <v>1148</v>
      </c>
      <c r="G43" s="297"/>
      <c r="L43" s="297"/>
      <c r="M43" s="350">
        <v>65</v>
      </c>
      <c r="N43" s="350">
        <v>65</v>
      </c>
      <c r="O43" s="350">
        <v>42</v>
      </c>
      <c r="P43" s="328">
        <v>5.5</v>
      </c>
      <c r="Q43" s="328">
        <v>7.5</v>
      </c>
      <c r="R43" s="328">
        <v>4</v>
      </c>
      <c r="S43" s="328">
        <v>16</v>
      </c>
      <c r="T43" s="328">
        <v>33</v>
      </c>
      <c r="U43" s="328">
        <v>5.8</v>
      </c>
      <c r="V43" s="351">
        <v>9.0299999999999994</v>
      </c>
      <c r="W43" s="351">
        <v>7.09</v>
      </c>
      <c r="X43" s="328">
        <v>57.5</v>
      </c>
      <c r="Y43" s="328">
        <v>17.7</v>
      </c>
      <c r="Z43" s="351">
        <v>2.52</v>
      </c>
      <c r="AA43" s="351">
        <v>14.1</v>
      </c>
      <c r="AB43" s="328">
        <v>5.07</v>
      </c>
      <c r="AC43" s="355">
        <v>1.25</v>
      </c>
      <c r="AD43" s="355">
        <v>1.42</v>
      </c>
      <c r="AE43" s="355">
        <v>2.6</v>
      </c>
      <c r="AF43" s="351"/>
      <c r="AG43" s="351">
        <v>11</v>
      </c>
      <c r="AH43" s="328">
        <v>25</v>
      </c>
      <c r="AI43" s="297"/>
      <c r="AJ43" s="352">
        <v>220</v>
      </c>
      <c r="AK43" s="352">
        <v>220</v>
      </c>
      <c r="AL43" s="352">
        <v>90</v>
      </c>
      <c r="AM43" s="353">
        <v>8.1</v>
      </c>
      <c r="AN43" s="331">
        <v>12.2</v>
      </c>
      <c r="AO43" s="353">
        <v>4.9000000000000004</v>
      </c>
      <c r="AP43" s="353">
        <v>22</v>
      </c>
      <c r="AQ43" s="353">
        <v>176</v>
      </c>
      <c r="AR43" s="353">
        <v>8.8000000000000007</v>
      </c>
      <c r="AS43" s="354">
        <v>39.5</v>
      </c>
      <c r="AT43" s="354">
        <v>31.1</v>
      </c>
      <c r="AU43" s="353">
        <v>3060</v>
      </c>
      <c r="AV43" s="353">
        <v>278</v>
      </c>
      <c r="AW43" s="354">
        <v>8.8000000000000007</v>
      </c>
      <c r="AX43" s="354">
        <v>162</v>
      </c>
      <c r="AY43" s="353">
        <v>33.1</v>
      </c>
      <c r="AZ43" s="356">
        <v>2.02</v>
      </c>
      <c r="BA43" s="354">
        <v>18.899999999999999</v>
      </c>
      <c r="BB43" s="354">
        <v>13</v>
      </c>
      <c r="BC43" s="353">
        <v>52</v>
      </c>
      <c r="BD43" s="297"/>
      <c r="BE43" s="310">
        <v>65</v>
      </c>
      <c r="BF43" s="310">
        <v>220</v>
      </c>
    </row>
    <row r="44" spans="1:58" ht="12.75" customHeight="1">
      <c r="A44" s="297"/>
      <c r="B44" s="297"/>
      <c r="C44" s="297"/>
      <c r="D44" s="297"/>
      <c r="E44" s="297"/>
      <c r="F44" s="297"/>
      <c r="G44" s="297"/>
      <c r="L44" s="297"/>
      <c r="M44" s="350">
        <v>80</v>
      </c>
      <c r="N44" s="350">
        <v>80</v>
      </c>
      <c r="O44" s="350">
        <v>45</v>
      </c>
      <c r="P44" s="328">
        <v>6</v>
      </c>
      <c r="Q44" s="328">
        <v>8</v>
      </c>
      <c r="R44" s="328">
        <v>4</v>
      </c>
      <c r="S44" s="328">
        <v>17</v>
      </c>
      <c r="T44" s="328">
        <v>47</v>
      </c>
      <c r="U44" s="328">
        <v>6.2</v>
      </c>
      <c r="V44" s="351">
        <v>11</v>
      </c>
      <c r="W44" s="351">
        <v>8.64</v>
      </c>
      <c r="X44" s="328">
        <v>106</v>
      </c>
      <c r="Y44" s="328">
        <v>26.5</v>
      </c>
      <c r="Z44" s="351">
        <v>3.1</v>
      </c>
      <c r="AA44" s="351">
        <v>19.399999999999999</v>
      </c>
      <c r="AB44" s="328">
        <v>6.36</v>
      </c>
      <c r="AC44" s="355">
        <v>1.33</v>
      </c>
      <c r="AD44" s="355">
        <v>1.45</v>
      </c>
      <c r="AE44" s="355">
        <v>2.67</v>
      </c>
      <c r="AF44" s="351">
        <v>6.65</v>
      </c>
      <c r="AG44" s="351" t="s">
        <v>1155</v>
      </c>
      <c r="AH44" s="328">
        <v>25</v>
      </c>
      <c r="AI44" s="297"/>
      <c r="AJ44" s="352">
        <v>240</v>
      </c>
      <c r="AK44" s="352">
        <v>240</v>
      </c>
      <c r="AL44" s="352">
        <v>106</v>
      </c>
      <c r="AM44" s="353">
        <v>8.6999999999999993</v>
      </c>
      <c r="AN44" s="331">
        <v>13.1</v>
      </c>
      <c r="AO44" s="353">
        <v>5.2</v>
      </c>
      <c r="AP44" s="353">
        <v>24</v>
      </c>
      <c r="AQ44" s="353">
        <v>192</v>
      </c>
      <c r="AR44" s="353">
        <v>9.4</v>
      </c>
      <c r="AS44" s="354">
        <v>46.1</v>
      </c>
      <c r="AT44" s="354">
        <v>36.200000000000003</v>
      </c>
      <c r="AU44" s="353">
        <v>4250</v>
      </c>
      <c r="AV44" s="353">
        <v>354</v>
      </c>
      <c r="AW44" s="354">
        <v>9.59</v>
      </c>
      <c r="AX44" s="354">
        <v>221</v>
      </c>
      <c r="AY44" s="353">
        <v>41.7</v>
      </c>
      <c r="AZ44" s="356">
        <v>2.2000000000000002</v>
      </c>
      <c r="BA44" s="354">
        <v>20.6</v>
      </c>
      <c r="BB44" s="354" t="s">
        <v>1156</v>
      </c>
      <c r="BC44" s="353">
        <v>56</v>
      </c>
      <c r="BD44" s="297"/>
      <c r="BE44" s="310">
        <v>80</v>
      </c>
      <c r="BF44" s="310">
        <v>240</v>
      </c>
    </row>
    <row r="45" spans="1:58" ht="12.75" customHeight="1">
      <c r="A45" s="345" t="s">
        <v>1157</v>
      </c>
      <c r="B45" s="297"/>
      <c r="C45" s="297"/>
      <c r="D45" s="345" t="s">
        <v>1158</v>
      </c>
      <c r="E45" s="297"/>
      <c r="F45" s="297"/>
      <c r="G45" s="297"/>
      <c r="L45" s="297"/>
      <c r="M45" s="350">
        <v>100</v>
      </c>
      <c r="N45" s="350">
        <v>100</v>
      </c>
      <c r="O45" s="350">
        <v>50</v>
      </c>
      <c r="P45" s="328">
        <v>6</v>
      </c>
      <c r="Q45" s="328">
        <v>8.5</v>
      </c>
      <c r="R45" s="328">
        <v>4.5</v>
      </c>
      <c r="S45" s="328">
        <v>18</v>
      </c>
      <c r="T45" s="328">
        <v>64</v>
      </c>
      <c r="U45" s="328">
        <v>6.5</v>
      </c>
      <c r="V45" s="351">
        <v>13.5</v>
      </c>
      <c r="W45" s="351">
        <v>10.6</v>
      </c>
      <c r="X45" s="328">
        <v>206</v>
      </c>
      <c r="Y45" s="328">
        <v>41.2</v>
      </c>
      <c r="Z45" s="351">
        <v>3.91</v>
      </c>
      <c r="AA45" s="351">
        <v>29.3</v>
      </c>
      <c r="AB45" s="328">
        <v>8.49</v>
      </c>
      <c r="AC45" s="355">
        <v>1.47</v>
      </c>
      <c r="AD45" s="355">
        <v>1.55</v>
      </c>
      <c r="AE45" s="355">
        <v>2.93</v>
      </c>
      <c r="AF45" s="351">
        <v>8.42</v>
      </c>
      <c r="AG45" s="351">
        <v>13</v>
      </c>
      <c r="AH45" s="328">
        <v>30</v>
      </c>
      <c r="AI45" s="297"/>
      <c r="AJ45" s="352">
        <v>260</v>
      </c>
      <c r="AK45" s="352">
        <v>260</v>
      </c>
      <c r="AL45" s="352">
        <v>113</v>
      </c>
      <c r="AM45" s="353">
        <v>9.4</v>
      </c>
      <c r="AN45" s="331">
        <v>14.1</v>
      </c>
      <c r="AO45" s="353">
        <v>5.6</v>
      </c>
      <c r="AP45" s="353">
        <v>26</v>
      </c>
      <c r="AQ45" s="353">
        <v>208</v>
      </c>
      <c r="AR45" s="353">
        <v>10.199999999999999</v>
      </c>
      <c r="AS45" s="354">
        <v>53.3</v>
      </c>
      <c r="AT45" s="354">
        <v>41.9</v>
      </c>
      <c r="AU45" s="353">
        <v>5740</v>
      </c>
      <c r="AV45" s="353">
        <v>442</v>
      </c>
      <c r="AW45" s="354">
        <v>10.4</v>
      </c>
      <c r="AX45" s="354">
        <v>288</v>
      </c>
      <c r="AY45" s="353">
        <v>51</v>
      </c>
      <c r="AZ45" s="356">
        <v>2.3199999999999998</v>
      </c>
      <c r="BA45" s="354">
        <v>22.3</v>
      </c>
      <c r="BB45" s="354">
        <v>17</v>
      </c>
      <c r="BC45" s="353">
        <v>60</v>
      </c>
      <c r="BD45" s="297"/>
      <c r="BE45" s="310">
        <v>100</v>
      </c>
      <c r="BF45" s="310">
        <v>260</v>
      </c>
    </row>
    <row r="46" spans="1:58" ht="12.75" customHeight="1">
      <c r="A46" s="317" t="s">
        <v>434</v>
      </c>
      <c r="B46" s="317" t="s">
        <v>402</v>
      </c>
      <c r="C46" s="357"/>
      <c r="D46" s="946" t="s">
        <v>1159</v>
      </c>
      <c r="E46" s="641"/>
      <c r="F46" s="317" t="s">
        <v>1160</v>
      </c>
      <c r="G46" s="358" t="s">
        <v>1161</v>
      </c>
      <c r="L46" s="297"/>
      <c r="M46" s="350">
        <v>120</v>
      </c>
      <c r="N46" s="350">
        <v>120</v>
      </c>
      <c r="O46" s="350">
        <v>55</v>
      </c>
      <c r="P46" s="328">
        <v>7</v>
      </c>
      <c r="Q46" s="328">
        <v>9</v>
      </c>
      <c r="R46" s="328">
        <v>4.5</v>
      </c>
      <c r="S46" s="328">
        <v>19</v>
      </c>
      <c r="T46" s="328">
        <v>82</v>
      </c>
      <c r="U46" s="328">
        <v>6.8</v>
      </c>
      <c r="V46" s="351">
        <v>17</v>
      </c>
      <c r="W46" s="351">
        <v>13.4</v>
      </c>
      <c r="X46" s="328">
        <v>364</v>
      </c>
      <c r="Y46" s="328">
        <v>60.7</v>
      </c>
      <c r="Z46" s="351">
        <v>4.62</v>
      </c>
      <c r="AA46" s="351">
        <v>43.2</v>
      </c>
      <c r="AB46" s="328">
        <v>11.1</v>
      </c>
      <c r="AC46" s="355">
        <v>1.59</v>
      </c>
      <c r="AD46" s="355">
        <v>16</v>
      </c>
      <c r="AE46" s="355">
        <v>3.03</v>
      </c>
      <c r="AF46" s="351">
        <v>10</v>
      </c>
      <c r="AG46" s="351" t="s">
        <v>1156</v>
      </c>
      <c r="AH46" s="328">
        <v>30</v>
      </c>
      <c r="AI46" s="297"/>
      <c r="AJ46" s="352">
        <v>280</v>
      </c>
      <c r="AK46" s="352">
        <v>280</v>
      </c>
      <c r="AL46" s="352">
        <v>119</v>
      </c>
      <c r="AM46" s="353">
        <v>10.1</v>
      </c>
      <c r="AN46" s="331">
        <v>15.2</v>
      </c>
      <c r="AO46" s="353">
        <v>6.1</v>
      </c>
      <c r="AP46" s="353">
        <v>27.5</v>
      </c>
      <c r="AQ46" s="353">
        <v>225</v>
      </c>
      <c r="AR46" s="353">
        <v>11</v>
      </c>
      <c r="AS46" s="354">
        <v>61</v>
      </c>
      <c r="AT46" s="354">
        <v>47.9</v>
      </c>
      <c r="AU46" s="353">
        <v>7590</v>
      </c>
      <c r="AV46" s="353">
        <v>542</v>
      </c>
      <c r="AW46" s="354">
        <v>11.1</v>
      </c>
      <c r="AX46" s="354">
        <v>364</v>
      </c>
      <c r="AY46" s="353">
        <v>61.2</v>
      </c>
      <c r="AZ46" s="356">
        <v>2.4500000000000002</v>
      </c>
      <c r="BA46" s="354">
        <v>24</v>
      </c>
      <c r="BB46" s="354">
        <v>17</v>
      </c>
      <c r="BC46" s="353">
        <v>60</v>
      </c>
      <c r="BD46" s="297"/>
      <c r="BE46" s="310">
        <v>120</v>
      </c>
      <c r="BF46" s="310">
        <v>280</v>
      </c>
    </row>
    <row r="47" spans="1:58" ht="12.75" customHeight="1">
      <c r="A47" s="346">
        <v>20</v>
      </c>
      <c r="B47" s="295">
        <v>1.04</v>
      </c>
      <c r="C47" s="297"/>
      <c r="D47" s="944" t="s">
        <v>136</v>
      </c>
      <c r="E47" s="641"/>
      <c r="F47" s="346">
        <v>38</v>
      </c>
      <c r="G47" s="346">
        <v>12</v>
      </c>
      <c r="L47" s="297"/>
      <c r="M47" s="350">
        <v>140</v>
      </c>
      <c r="N47" s="350">
        <v>140</v>
      </c>
      <c r="O47" s="350">
        <v>60</v>
      </c>
      <c r="P47" s="328">
        <v>7</v>
      </c>
      <c r="Q47" s="328">
        <v>10</v>
      </c>
      <c r="R47" s="328">
        <v>5</v>
      </c>
      <c r="S47" s="328">
        <v>21</v>
      </c>
      <c r="T47" s="328">
        <v>97</v>
      </c>
      <c r="U47" s="328">
        <v>7.6</v>
      </c>
      <c r="V47" s="351">
        <v>20.399999999999999</v>
      </c>
      <c r="W47" s="351">
        <v>16</v>
      </c>
      <c r="X47" s="328">
        <v>605</v>
      </c>
      <c r="Y47" s="328">
        <v>86.4</v>
      </c>
      <c r="Z47" s="351">
        <v>5.45</v>
      </c>
      <c r="AA47" s="351">
        <v>62.7</v>
      </c>
      <c r="AB47" s="328">
        <v>14.8</v>
      </c>
      <c r="AC47" s="355">
        <v>1.75</v>
      </c>
      <c r="AD47" s="355">
        <v>1.75</v>
      </c>
      <c r="AE47" s="355">
        <v>3.37</v>
      </c>
      <c r="AF47" s="351">
        <v>11.8</v>
      </c>
      <c r="AG47" s="351">
        <v>17</v>
      </c>
      <c r="AH47" s="328">
        <v>35</v>
      </c>
      <c r="AI47" s="297"/>
      <c r="AJ47" s="352">
        <v>300</v>
      </c>
      <c r="AK47" s="352">
        <v>300</v>
      </c>
      <c r="AL47" s="352">
        <v>125</v>
      </c>
      <c r="AM47" s="353">
        <v>10.8</v>
      </c>
      <c r="AN47" s="331">
        <v>16.2</v>
      </c>
      <c r="AO47" s="353">
        <v>6.5</v>
      </c>
      <c r="AP47" s="353">
        <v>29.5</v>
      </c>
      <c r="AQ47" s="353">
        <v>241</v>
      </c>
      <c r="AR47" s="353">
        <v>11.8</v>
      </c>
      <c r="AS47" s="354">
        <v>69</v>
      </c>
      <c r="AT47" s="354">
        <v>54.2</v>
      </c>
      <c r="AU47" s="353">
        <v>9800</v>
      </c>
      <c r="AV47" s="353">
        <v>653</v>
      </c>
      <c r="AW47" s="354">
        <v>11.9</v>
      </c>
      <c r="AX47" s="354">
        <v>451</v>
      </c>
      <c r="AY47" s="353">
        <v>72.2</v>
      </c>
      <c r="AZ47" s="356">
        <v>2.56</v>
      </c>
      <c r="BA47" s="354">
        <v>25.7</v>
      </c>
      <c r="BB47" s="354" t="s">
        <v>1162</v>
      </c>
      <c r="BC47" s="353">
        <v>64</v>
      </c>
      <c r="BD47" s="297"/>
      <c r="BE47" s="310">
        <v>140</v>
      </c>
      <c r="BF47" s="310">
        <v>300</v>
      </c>
    </row>
    <row r="48" spans="1:58" ht="12.75" customHeight="1">
      <c r="A48" s="346">
        <v>21</v>
      </c>
      <c r="B48" s="295">
        <v>1.04</v>
      </c>
      <c r="C48" s="297"/>
      <c r="D48" s="944" t="s">
        <v>1163</v>
      </c>
      <c r="E48" s="641"/>
      <c r="F48" s="346">
        <v>90</v>
      </c>
      <c r="G48" s="346">
        <v>5</v>
      </c>
      <c r="L48" s="297"/>
      <c r="M48" s="350">
        <v>160</v>
      </c>
      <c r="N48" s="350">
        <v>160</v>
      </c>
      <c r="O48" s="350">
        <v>65</v>
      </c>
      <c r="P48" s="328">
        <v>7.5</v>
      </c>
      <c r="Q48" s="328">
        <v>10.5</v>
      </c>
      <c r="R48" s="328">
        <v>5.5</v>
      </c>
      <c r="S48" s="328">
        <v>22.5</v>
      </c>
      <c r="T48" s="328">
        <v>116</v>
      </c>
      <c r="U48" s="328">
        <v>7.9</v>
      </c>
      <c r="V48" s="351">
        <v>24</v>
      </c>
      <c r="W48" s="351">
        <v>18.8</v>
      </c>
      <c r="X48" s="328">
        <v>925</v>
      </c>
      <c r="Y48" s="328">
        <v>116</v>
      </c>
      <c r="Z48" s="351">
        <v>6.21</v>
      </c>
      <c r="AA48" s="351">
        <v>85.3</v>
      </c>
      <c r="AB48" s="328">
        <v>18.3</v>
      </c>
      <c r="AC48" s="355">
        <v>1.89</v>
      </c>
      <c r="AD48" s="355">
        <v>1.84</v>
      </c>
      <c r="AE48" s="355">
        <v>3.56</v>
      </c>
      <c r="AF48" s="351">
        <v>13.3</v>
      </c>
      <c r="AG48" s="351" t="s">
        <v>1162</v>
      </c>
      <c r="AH48" s="328">
        <v>35</v>
      </c>
      <c r="AI48" s="297"/>
      <c r="AJ48" s="352">
        <v>320</v>
      </c>
      <c r="AK48" s="352">
        <v>320</v>
      </c>
      <c r="AL48" s="352">
        <v>131</v>
      </c>
      <c r="AM48" s="353">
        <v>11.5</v>
      </c>
      <c r="AN48" s="331">
        <v>17.3</v>
      </c>
      <c r="AO48" s="353">
        <v>6.9</v>
      </c>
      <c r="AP48" s="353">
        <v>31</v>
      </c>
      <c r="AQ48" s="353">
        <v>258</v>
      </c>
      <c r="AR48" s="353">
        <v>12.7</v>
      </c>
      <c r="AS48" s="354">
        <v>77.7</v>
      </c>
      <c r="AT48" s="354">
        <v>61</v>
      </c>
      <c r="AU48" s="353">
        <v>12310</v>
      </c>
      <c r="AV48" s="353">
        <v>782</v>
      </c>
      <c r="AW48" s="354">
        <v>12.7</v>
      </c>
      <c r="AX48" s="354">
        <v>555</v>
      </c>
      <c r="AY48" s="353">
        <v>84.7</v>
      </c>
      <c r="AZ48" s="356">
        <v>2.67</v>
      </c>
      <c r="BA48" s="354">
        <v>27.4</v>
      </c>
      <c r="BB48" s="354" t="s">
        <v>1162</v>
      </c>
      <c r="BC48" s="353">
        <v>70</v>
      </c>
      <c r="BD48" s="297"/>
      <c r="BE48" s="310">
        <v>160</v>
      </c>
      <c r="BF48" s="310">
        <v>320</v>
      </c>
    </row>
    <row r="49" spans="1:58" ht="12.75" customHeight="1">
      <c r="A49" s="346">
        <v>22</v>
      </c>
      <c r="B49" s="295">
        <v>1.04</v>
      </c>
      <c r="C49" s="297"/>
      <c r="D49" s="944" t="s">
        <v>1164</v>
      </c>
      <c r="E49" s="641"/>
      <c r="F49" s="346"/>
      <c r="G49" s="346">
        <v>1</v>
      </c>
      <c r="L49" s="297"/>
      <c r="M49" s="350">
        <v>180</v>
      </c>
      <c r="N49" s="350">
        <v>180</v>
      </c>
      <c r="O49" s="350">
        <v>70</v>
      </c>
      <c r="P49" s="328">
        <v>8</v>
      </c>
      <c r="Q49" s="328">
        <v>11</v>
      </c>
      <c r="R49" s="328">
        <v>5.5</v>
      </c>
      <c r="S49" s="328">
        <v>23.5</v>
      </c>
      <c r="T49" s="328">
        <v>133</v>
      </c>
      <c r="U49" s="328">
        <v>8.1999999999999993</v>
      </c>
      <c r="V49" s="351">
        <v>28</v>
      </c>
      <c r="W49" s="351">
        <v>22</v>
      </c>
      <c r="X49" s="328">
        <v>1350</v>
      </c>
      <c r="Y49" s="328">
        <v>150</v>
      </c>
      <c r="Z49" s="351">
        <v>6.95</v>
      </c>
      <c r="AA49" s="351">
        <v>114</v>
      </c>
      <c r="AB49" s="328">
        <v>22.4</v>
      </c>
      <c r="AC49" s="355">
        <v>2.02</v>
      </c>
      <c r="AD49" s="355">
        <v>1.92</v>
      </c>
      <c r="AE49" s="355">
        <v>3.75</v>
      </c>
      <c r="AF49" s="351">
        <v>15.1</v>
      </c>
      <c r="AG49" s="351">
        <v>21</v>
      </c>
      <c r="AH49" s="328">
        <v>40</v>
      </c>
      <c r="AI49" s="297"/>
      <c r="AJ49" s="352">
        <v>340</v>
      </c>
      <c r="AK49" s="352">
        <v>340</v>
      </c>
      <c r="AL49" s="352">
        <v>137</v>
      </c>
      <c r="AM49" s="353">
        <v>12.2</v>
      </c>
      <c r="AN49" s="331">
        <v>18.3</v>
      </c>
      <c r="AO49" s="353">
        <v>7.3</v>
      </c>
      <c r="AP49" s="353">
        <v>33</v>
      </c>
      <c r="AQ49" s="353">
        <v>274</v>
      </c>
      <c r="AR49" s="353">
        <v>13.5</v>
      </c>
      <c r="AS49" s="354">
        <v>86.7</v>
      </c>
      <c r="AT49" s="354">
        <v>68</v>
      </c>
      <c r="AU49" s="353">
        <v>15700</v>
      </c>
      <c r="AV49" s="353">
        <v>923</v>
      </c>
      <c r="AW49" s="354">
        <v>13.5</v>
      </c>
      <c r="AX49" s="354">
        <v>674</v>
      </c>
      <c r="AY49" s="353">
        <v>98.4</v>
      </c>
      <c r="AZ49" s="356">
        <v>2.8</v>
      </c>
      <c r="BA49" s="354">
        <v>29.1</v>
      </c>
      <c r="BB49" s="354">
        <v>21</v>
      </c>
      <c r="BC49" s="353">
        <v>74</v>
      </c>
      <c r="BD49" s="297"/>
      <c r="BE49" s="310">
        <v>180</v>
      </c>
      <c r="BF49" s="310">
        <v>340</v>
      </c>
    </row>
    <row r="50" spans="1:58" ht="12.75" customHeight="1">
      <c r="A50" s="346">
        <v>23</v>
      </c>
      <c r="B50" s="295">
        <v>1.05</v>
      </c>
      <c r="C50" s="297"/>
      <c r="D50" s="948" t="s">
        <v>1165</v>
      </c>
      <c r="E50" s="656"/>
      <c r="F50" s="935">
        <v>90</v>
      </c>
      <c r="G50" s="935">
        <v>5</v>
      </c>
      <c r="L50" s="297"/>
      <c r="M50" s="350">
        <v>200</v>
      </c>
      <c r="N50" s="350">
        <v>200</v>
      </c>
      <c r="O50" s="350">
        <v>75</v>
      </c>
      <c r="P50" s="328">
        <v>8.5</v>
      </c>
      <c r="Q50" s="328">
        <v>11.5</v>
      </c>
      <c r="R50" s="328">
        <v>6</v>
      </c>
      <c r="S50" s="328">
        <v>24.5</v>
      </c>
      <c r="T50" s="328">
        <v>151</v>
      </c>
      <c r="U50" s="328">
        <v>8.5</v>
      </c>
      <c r="V50" s="351">
        <v>32.200000000000003</v>
      </c>
      <c r="W50" s="351">
        <v>25.3</v>
      </c>
      <c r="X50" s="328">
        <v>1910</v>
      </c>
      <c r="Y50" s="328">
        <v>191</v>
      </c>
      <c r="Z50" s="351">
        <v>7.7</v>
      </c>
      <c r="AA50" s="351">
        <v>148</v>
      </c>
      <c r="AB50" s="328">
        <v>27</v>
      </c>
      <c r="AC50" s="355">
        <v>2.14</v>
      </c>
      <c r="AD50" s="355">
        <v>2.0099999999999998</v>
      </c>
      <c r="AE50" s="355">
        <v>3.94</v>
      </c>
      <c r="AF50" s="351">
        <v>16.8</v>
      </c>
      <c r="AG50" s="351">
        <v>23</v>
      </c>
      <c r="AH50" s="328">
        <v>40</v>
      </c>
      <c r="AI50" s="297"/>
      <c r="AJ50" s="352">
        <v>360</v>
      </c>
      <c r="AK50" s="352">
        <v>360</v>
      </c>
      <c r="AL50" s="352">
        <v>143</v>
      </c>
      <c r="AM50" s="353">
        <v>13</v>
      </c>
      <c r="AN50" s="331">
        <v>19.5</v>
      </c>
      <c r="AO50" s="353">
        <v>7.8</v>
      </c>
      <c r="AP50" s="353">
        <v>35</v>
      </c>
      <c r="AQ50" s="353">
        <v>290</v>
      </c>
      <c r="AR50" s="353">
        <v>14.5</v>
      </c>
      <c r="AS50" s="354">
        <v>97</v>
      </c>
      <c r="AT50" s="354">
        <v>76.099999999999994</v>
      </c>
      <c r="AU50" s="353">
        <v>19600</v>
      </c>
      <c r="AV50" s="353">
        <v>1090</v>
      </c>
      <c r="AW50" s="354">
        <v>14.2</v>
      </c>
      <c r="AX50" s="354">
        <v>818</v>
      </c>
      <c r="AY50" s="353">
        <v>114</v>
      </c>
      <c r="AZ50" s="356">
        <v>2.9</v>
      </c>
      <c r="BA50" s="354">
        <v>30.7</v>
      </c>
      <c r="BB50" s="354" t="s">
        <v>1166</v>
      </c>
      <c r="BC50" s="353">
        <v>76</v>
      </c>
      <c r="BD50" s="297"/>
      <c r="BE50" s="310">
        <v>200</v>
      </c>
      <c r="BF50" s="310">
        <v>360</v>
      </c>
    </row>
    <row r="51" spans="1:58" ht="12.75" customHeight="1">
      <c r="A51" s="346">
        <v>24</v>
      </c>
      <c r="B51" s="295">
        <v>1.05</v>
      </c>
      <c r="C51" s="297"/>
      <c r="D51" s="938"/>
      <c r="E51" s="658"/>
      <c r="F51" s="654"/>
      <c r="G51" s="654"/>
      <c r="L51" s="297"/>
      <c r="M51" s="350">
        <v>240</v>
      </c>
      <c r="N51" s="350">
        <v>240</v>
      </c>
      <c r="O51" s="350">
        <v>85</v>
      </c>
      <c r="P51" s="328">
        <v>9.5</v>
      </c>
      <c r="Q51" s="328">
        <v>13</v>
      </c>
      <c r="R51" s="293"/>
      <c r="S51" s="293"/>
      <c r="T51" s="293"/>
      <c r="U51" s="293"/>
      <c r="V51" s="351">
        <v>42.3</v>
      </c>
      <c r="W51" s="351">
        <v>33.200000000000003</v>
      </c>
      <c r="X51" s="328">
        <v>3600</v>
      </c>
      <c r="Y51" s="328">
        <v>300</v>
      </c>
      <c r="Z51" s="293"/>
      <c r="AA51" s="351">
        <v>248</v>
      </c>
      <c r="AB51" s="328">
        <v>39.6</v>
      </c>
      <c r="AC51" s="293"/>
      <c r="AD51" s="355">
        <v>2.23</v>
      </c>
      <c r="AE51" s="293"/>
      <c r="AF51" s="293"/>
      <c r="AG51" s="351">
        <v>25</v>
      </c>
      <c r="AH51" s="328">
        <v>45</v>
      </c>
      <c r="AI51" s="297"/>
      <c r="AJ51" s="352">
        <v>380</v>
      </c>
      <c r="AK51" s="352">
        <v>380</v>
      </c>
      <c r="AL51" s="352">
        <v>149</v>
      </c>
      <c r="AM51" s="353">
        <v>13.7</v>
      </c>
      <c r="AN51" s="331">
        <v>20.5</v>
      </c>
      <c r="AO51" s="353">
        <v>8.1999999999999993</v>
      </c>
      <c r="AP51" s="353">
        <v>37</v>
      </c>
      <c r="AQ51" s="353">
        <v>306</v>
      </c>
      <c r="AR51" s="353">
        <v>15.3</v>
      </c>
      <c r="AS51" s="354">
        <v>107</v>
      </c>
      <c r="AT51" s="354">
        <v>84</v>
      </c>
      <c r="AU51" s="353">
        <v>24010</v>
      </c>
      <c r="AV51" s="353">
        <v>1260</v>
      </c>
      <c r="AW51" s="354">
        <v>15</v>
      </c>
      <c r="AX51" s="354">
        <v>975</v>
      </c>
      <c r="AY51" s="353">
        <v>131</v>
      </c>
      <c r="AZ51" s="356">
        <v>3.02</v>
      </c>
      <c r="BA51" s="354">
        <v>32.4</v>
      </c>
      <c r="BB51" s="354" t="s">
        <v>1166</v>
      </c>
      <c r="BC51" s="353">
        <v>82</v>
      </c>
      <c r="BD51" s="297"/>
      <c r="BE51" s="310">
        <v>240</v>
      </c>
      <c r="BF51" s="310">
        <v>380</v>
      </c>
    </row>
    <row r="52" spans="1:58" ht="12.75" customHeight="1">
      <c r="A52" s="346">
        <v>25</v>
      </c>
      <c r="B52" s="295">
        <v>1.06</v>
      </c>
      <c r="C52" s="297"/>
      <c r="D52" s="935" t="s">
        <v>1167</v>
      </c>
      <c r="E52" s="656"/>
      <c r="F52" s="935"/>
      <c r="G52" s="935">
        <v>2</v>
      </c>
      <c r="L52" s="297"/>
      <c r="M52" s="350">
        <v>280</v>
      </c>
      <c r="N52" s="350">
        <v>280</v>
      </c>
      <c r="O52" s="350">
        <v>95</v>
      </c>
      <c r="P52" s="328">
        <v>10</v>
      </c>
      <c r="Q52" s="328">
        <v>15</v>
      </c>
      <c r="R52" s="293"/>
      <c r="S52" s="293"/>
      <c r="T52" s="293"/>
      <c r="U52" s="293"/>
      <c r="V52" s="351">
        <v>47.5</v>
      </c>
      <c r="W52" s="351">
        <v>41.8</v>
      </c>
      <c r="X52" s="328">
        <v>6280</v>
      </c>
      <c r="Y52" s="328">
        <v>448</v>
      </c>
      <c r="Z52" s="293"/>
      <c r="AA52" s="351">
        <v>399</v>
      </c>
      <c r="AB52" s="328">
        <v>57.2</v>
      </c>
      <c r="AC52" s="293"/>
      <c r="AD52" s="355">
        <v>2.5299999999999998</v>
      </c>
      <c r="AE52" s="293"/>
      <c r="AF52" s="293"/>
      <c r="AG52" s="351">
        <v>25</v>
      </c>
      <c r="AH52" s="328">
        <v>50</v>
      </c>
      <c r="AI52" s="297"/>
      <c r="AJ52" s="359">
        <v>400</v>
      </c>
      <c r="AK52" s="359">
        <v>400</v>
      </c>
      <c r="AL52" s="359">
        <v>155</v>
      </c>
      <c r="AM52" s="339">
        <v>14.4</v>
      </c>
      <c r="AN52" s="339">
        <v>21.6</v>
      </c>
      <c r="AO52" s="339">
        <v>8.6</v>
      </c>
      <c r="AP52" s="339">
        <v>38.5</v>
      </c>
      <c r="AQ52" s="339">
        <v>323</v>
      </c>
      <c r="AR52" s="339">
        <v>16.2</v>
      </c>
      <c r="AS52" s="360">
        <v>118</v>
      </c>
      <c r="AT52" s="360">
        <v>92.4</v>
      </c>
      <c r="AU52" s="339">
        <v>29210</v>
      </c>
      <c r="AV52" s="339">
        <v>1460</v>
      </c>
      <c r="AW52" s="360">
        <v>15.7</v>
      </c>
      <c r="AX52" s="360">
        <v>1160</v>
      </c>
      <c r="AY52" s="339">
        <v>149</v>
      </c>
      <c r="AZ52" s="361">
        <v>3.12</v>
      </c>
      <c r="BA52" s="360">
        <v>34.1</v>
      </c>
      <c r="BB52" s="360">
        <v>23</v>
      </c>
      <c r="BC52" s="339">
        <v>86</v>
      </c>
      <c r="BD52" s="297"/>
      <c r="BE52" s="310">
        <v>280</v>
      </c>
      <c r="BF52" s="310">
        <v>400</v>
      </c>
    </row>
    <row r="53" spans="1:58" ht="12.75" customHeight="1">
      <c r="A53" s="346">
        <v>26</v>
      </c>
      <c r="B53" s="295">
        <v>1.06</v>
      </c>
      <c r="C53" s="297"/>
      <c r="D53" s="938"/>
      <c r="E53" s="658"/>
      <c r="F53" s="654"/>
      <c r="G53" s="654"/>
      <c r="L53" s="297"/>
      <c r="M53" s="350">
        <v>300</v>
      </c>
      <c r="N53" s="350">
        <v>300</v>
      </c>
      <c r="O53" s="350">
        <v>100</v>
      </c>
      <c r="P53" s="328">
        <v>10</v>
      </c>
      <c r="Q53" s="328">
        <v>16</v>
      </c>
      <c r="R53" s="293"/>
      <c r="S53" s="293"/>
      <c r="T53" s="293"/>
      <c r="U53" s="293"/>
      <c r="V53" s="351">
        <v>50</v>
      </c>
      <c r="W53" s="351">
        <v>46.2</v>
      </c>
      <c r="X53" s="328">
        <v>8030</v>
      </c>
      <c r="Y53" s="328">
        <v>535</v>
      </c>
      <c r="Z53" s="293"/>
      <c r="AA53" s="351">
        <v>495</v>
      </c>
      <c r="AB53" s="328">
        <v>67.8</v>
      </c>
      <c r="AC53" s="293"/>
      <c r="AD53" s="355">
        <v>2.7</v>
      </c>
      <c r="AE53" s="293"/>
      <c r="AF53" s="293"/>
      <c r="AG53" s="351">
        <v>25</v>
      </c>
      <c r="AH53" s="328">
        <v>55</v>
      </c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7"/>
      <c r="AU53" s="297"/>
      <c r="AV53" s="297"/>
      <c r="AW53" s="297"/>
      <c r="AX53" s="297"/>
      <c r="AY53" s="297"/>
      <c r="AZ53" s="297"/>
      <c r="BA53" s="297"/>
      <c r="BB53" s="297"/>
      <c r="BC53" s="297"/>
      <c r="BD53" s="297"/>
      <c r="BE53" s="310">
        <v>300</v>
      </c>
      <c r="BF53" s="346">
        <v>500</v>
      </c>
    </row>
    <row r="54" spans="1:58" ht="12.75" customHeight="1">
      <c r="A54" s="346">
        <v>27</v>
      </c>
      <c r="B54" s="295">
        <v>1.06</v>
      </c>
      <c r="C54" s="297"/>
      <c r="D54" s="297"/>
      <c r="E54" s="297"/>
      <c r="F54" s="297"/>
      <c r="G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  <c r="AA54" s="297"/>
      <c r="AB54" s="297"/>
      <c r="AC54" s="297"/>
      <c r="AD54" s="297"/>
      <c r="AE54" s="297"/>
      <c r="AF54" s="297"/>
      <c r="AG54" s="297"/>
      <c r="AH54" s="297"/>
      <c r="AI54" s="297"/>
      <c r="AJ54" s="297"/>
      <c r="AK54" s="317" t="s">
        <v>349</v>
      </c>
      <c r="AL54" s="317" t="s">
        <v>291</v>
      </c>
      <c r="AM54" s="317" t="s">
        <v>1168</v>
      </c>
      <c r="AN54" s="346" t="s">
        <v>69</v>
      </c>
      <c r="AO54" s="346" t="s">
        <v>73</v>
      </c>
      <c r="AP54" s="317" t="s">
        <v>1169</v>
      </c>
      <c r="AQ54" s="346" t="s">
        <v>69</v>
      </c>
      <c r="AR54" s="346" t="s">
        <v>73</v>
      </c>
      <c r="AS54" s="297"/>
      <c r="AT54" s="297"/>
      <c r="AU54" s="297"/>
      <c r="AV54" s="297"/>
      <c r="AW54" s="297"/>
      <c r="AX54" s="297"/>
      <c r="AY54" s="297"/>
      <c r="AZ54" s="297"/>
      <c r="BA54" s="297"/>
      <c r="BB54" s="297"/>
      <c r="BC54" s="297"/>
      <c r="BD54" s="297"/>
      <c r="BE54" s="297"/>
      <c r="BF54" s="297"/>
    </row>
    <row r="55" spans="1:58" ht="12.75" customHeight="1">
      <c r="A55" s="346">
        <v>28</v>
      </c>
      <c r="B55" s="295">
        <v>1.07</v>
      </c>
      <c r="C55" s="297"/>
      <c r="D55" s="297"/>
      <c r="E55" s="297"/>
      <c r="F55" s="297"/>
      <c r="G55" s="297"/>
      <c r="L55" s="297"/>
      <c r="M55" s="346" t="s">
        <v>1110</v>
      </c>
      <c r="N55" s="350" t="s">
        <v>1151</v>
      </c>
      <c r="O55" s="350">
        <v>30</v>
      </c>
      <c r="P55" s="350" t="s">
        <v>1153</v>
      </c>
      <c r="Q55" s="350">
        <v>40</v>
      </c>
      <c r="R55" s="350" t="s">
        <v>1154</v>
      </c>
      <c r="S55" s="350">
        <v>50</v>
      </c>
      <c r="T55" s="350">
        <v>60</v>
      </c>
      <c r="U55" s="350">
        <v>65</v>
      </c>
      <c r="V55" s="350">
        <v>80</v>
      </c>
      <c r="W55" s="350">
        <v>100</v>
      </c>
      <c r="X55" s="350">
        <v>120</v>
      </c>
      <c r="Y55" s="350">
        <v>140</v>
      </c>
      <c r="Z55" s="350">
        <v>160</v>
      </c>
      <c r="AA55" s="350">
        <v>180</v>
      </c>
      <c r="AB55" s="350">
        <v>200</v>
      </c>
      <c r="AC55" s="350">
        <v>240</v>
      </c>
      <c r="AD55" s="350">
        <v>280</v>
      </c>
      <c r="AE55" s="350">
        <v>300</v>
      </c>
      <c r="AF55" s="297"/>
      <c r="AG55" s="297"/>
      <c r="AH55" s="297"/>
      <c r="AI55" s="297"/>
      <c r="AJ55" s="297"/>
      <c r="AK55" s="293">
        <v>180</v>
      </c>
      <c r="AL55" s="294">
        <f>'Veri Girişi'!C75</f>
        <v>700</v>
      </c>
      <c r="AM55" s="293">
        <f t="shared" ref="AM55:AM76" si="0">AK55+AL55</f>
        <v>880</v>
      </c>
      <c r="AN55" s="318" t="s">
        <v>1170</v>
      </c>
      <c r="AO55" s="318" t="s">
        <v>1171</v>
      </c>
      <c r="AP55" s="294">
        <f t="shared" ref="AP55:AP71" si="1">AK55/2+AL55</f>
        <v>790</v>
      </c>
      <c r="AQ55" s="318" t="s">
        <v>1172</v>
      </c>
      <c r="AR55" s="318" t="s">
        <v>1171</v>
      </c>
      <c r="AS55" s="297"/>
      <c r="AT55" s="297"/>
      <c r="AU55" s="329"/>
      <c r="AV55" s="329"/>
      <c r="AW55" s="297"/>
      <c r="AX55" s="297"/>
      <c r="AY55" s="297"/>
      <c r="AZ55" s="297"/>
      <c r="BA55" s="297"/>
      <c r="BB55" s="297"/>
      <c r="BC55" s="297"/>
      <c r="BD55" s="297"/>
      <c r="BE55" s="297"/>
      <c r="BF55" s="297"/>
    </row>
    <row r="56" spans="1:58" ht="12.75" customHeight="1">
      <c r="A56" s="346">
        <v>29</v>
      </c>
      <c r="B56" s="295">
        <v>1.08</v>
      </c>
      <c r="C56" s="297"/>
      <c r="D56" s="297"/>
      <c r="E56" s="297"/>
      <c r="F56" s="297"/>
      <c r="G56" s="297"/>
      <c r="L56" s="297"/>
      <c r="M56" s="346" t="s">
        <v>1111</v>
      </c>
      <c r="N56" s="362">
        <v>80</v>
      </c>
      <c r="O56" s="362">
        <v>100</v>
      </c>
      <c r="P56" s="362">
        <v>120</v>
      </c>
      <c r="Q56" s="362">
        <v>140</v>
      </c>
      <c r="R56" s="362">
        <v>160</v>
      </c>
      <c r="S56" s="362">
        <v>180</v>
      </c>
      <c r="T56" s="362">
        <v>200</v>
      </c>
      <c r="U56" s="362">
        <v>220</v>
      </c>
      <c r="V56" s="362">
        <v>240</v>
      </c>
      <c r="W56" s="362">
        <v>260</v>
      </c>
      <c r="X56" s="362">
        <v>280</v>
      </c>
      <c r="Y56" s="362">
        <v>300</v>
      </c>
      <c r="Z56" s="362">
        <v>320</v>
      </c>
      <c r="AA56" s="362">
        <v>340</v>
      </c>
      <c r="AB56" s="362">
        <v>360</v>
      </c>
      <c r="AC56" s="362">
        <v>380</v>
      </c>
      <c r="AD56" s="362">
        <v>400</v>
      </c>
      <c r="AE56" s="314"/>
      <c r="AF56" s="297"/>
      <c r="AG56" s="297"/>
      <c r="AH56" s="297"/>
      <c r="AI56" s="297"/>
      <c r="AJ56" s="297"/>
      <c r="AK56" s="293">
        <v>225</v>
      </c>
      <c r="AL56" s="294">
        <f>'Veri Girişi'!C75</f>
        <v>700</v>
      </c>
      <c r="AM56" s="293">
        <f t="shared" si="0"/>
        <v>925</v>
      </c>
      <c r="AN56" s="318" t="s">
        <v>1170</v>
      </c>
      <c r="AO56" s="318" t="s">
        <v>1171</v>
      </c>
      <c r="AP56" s="294">
        <f t="shared" si="1"/>
        <v>812.5</v>
      </c>
      <c r="AQ56" s="318" t="s">
        <v>1172</v>
      </c>
      <c r="AR56" s="318" t="s">
        <v>1171</v>
      </c>
      <c r="AS56" s="297"/>
      <c r="AT56" s="297"/>
      <c r="AU56" s="329"/>
      <c r="AV56" s="329"/>
      <c r="AW56" s="297"/>
      <c r="AX56" s="297"/>
      <c r="AY56" s="297"/>
      <c r="AZ56" s="297"/>
      <c r="BA56" s="297"/>
      <c r="BB56" s="297"/>
      <c r="BC56" s="297"/>
      <c r="BD56" s="297"/>
      <c r="BE56" s="297"/>
      <c r="BF56" s="297"/>
    </row>
    <row r="57" spans="1:58" ht="12.75" customHeight="1">
      <c r="A57" s="346">
        <v>30</v>
      </c>
      <c r="B57" s="295">
        <v>1.08</v>
      </c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  <c r="AA57" s="297"/>
      <c r="AB57" s="297"/>
      <c r="AC57" s="297"/>
      <c r="AD57" s="297"/>
      <c r="AE57" s="297"/>
      <c r="AF57" s="297"/>
      <c r="AG57" s="297"/>
      <c r="AH57" s="297"/>
      <c r="AI57" s="297"/>
      <c r="AJ57" s="297"/>
      <c r="AK57" s="293">
        <v>300</v>
      </c>
      <c r="AL57" s="294">
        <f>'Veri Girişi'!C75</f>
        <v>700</v>
      </c>
      <c r="AM57" s="293">
        <f t="shared" si="0"/>
        <v>1000</v>
      </c>
      <c r="AN57" s="318" t="s">
        <v>1170</v>
      </c>
      <c r="AO57" s="318" t="s">
        <v>1171</v>
      </c>
      <c r="AP57" s="294">
        <f t="shared" si="1"/>
        <v>850</v>
      </c>
      <c r="AQ57" s="318" t="s">
        <v>1172</v>
      </c>
      <c r="AR57" s="318" t="s">
        <v>1171</v>
      </c>
      <c r="AS57" s="297"/>
      <c r="AT57" s="297"/>
      <c r="AU57" s="329"/>
      <c r="AV57" s="329"/>
      <c r="AW57" s="297"/>
      <c r="AX57" s="297"/>
      <c r="AY57" s="297"/>
      <c r="AZ57" s="297"/>
      <c r="BA57" s="297"/>
      <c r="BB57" s="297"/>
      <c r="BC57" s="297"/>
      <c r="BD57" s="297"/>
      <c r="BE57" s="297"/>
      <c r="BF57" s="297"/>
    </row>
    <row r="58" spans="1:58" ht="12.75" customHeight="1">
      <c r="A58" s="346">
        <v>31</v>
      </c>
      <c r="B58" s="295">
        <v>1.0900000000000001</v>
      </c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363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  <c r="AI58" s="297"/>
      <c r="AJ58" s="297"/>
      <c r="AK58" s="293">
        <v>320</v>
      </c>
      <c r="AL58" s="294">
        <f>'Veri Girişi'!C75</f>
        <v>700</v>
      </c>
      <c r="AM58" s="293">
        <f t="shared" si="0"/>
        <v>1020</v>
      </c>
      <c r="AN58" s="318" t="s">
        <v>1170</v>
      </c>
      <c r="AO58" s="318" t="s">
        <v>1171</v>
      </c>
      <c r="AP58" s="294">
        <f t="shared" si="1"/>
        <v>860</v>
      </c>
      <c r="AQ58" s="318" t="s">
        <v>1172</v>
      </c>
      <c r="AR58" s="318" t="s">
        <v>1171</v>
      </c>
      <c r="AS58" s="297"/>
      <c r="AT58" s="297"/>
      <c r="AU58" s="329"/>
      <c r="AV58" s="329"/>
      <c r="AW58" s="297"/>
      <c r="AX58" s="297"/>
      <c r="AY58" s="297"/>
      <c r="AZ58" s="297"/>
      <c r="BA58" s="297"/>
      <c r="BB58" s="297"/>
      <c r="BC58" s="297"/>
      <c r="BD58" s="297"/>
      <c r="BE58" s="297"/>
      <c r="BF58" s="297"/>
    </row>
    <row r="59" spans="1:58" ht="12.75" customHeight="1">
      <c r="A59" s="346">
        <v>32</v>
      </c>
      <c r="B59" s="295">
        <v>1.0900000000000001</v>
      </c>
      <c r="C59" s="297"/>
      <c r="D59" s="345" t="s">
        <v>1173</v>
      </c>
      <c r="E59" s="297"/>
      <c r="F59" s="297"/>
      <c r="G59" s="297"/>
      <c r="H59" s="297"/>
      <c r="I59" s="364" t="s">
        <v>1174</v>
      </c>
      <c r="J59" s="365" t="s">
        <v>1175</v>
      </c>
      <c r="K59" s="365" t="s">
        <v>1176</v>
      </c>
      <c r="L59" s="365" t="s">
        <v>1177</v>
      </c>
      <c r="M59" s="365" t="s">
        <v>1178</v>
      </c>
      <c r="N59" s="365" t="s">
        <v>1179</v>
      </c>
      <c r="O59" s="365" t="s">
        <v>1180</v>
      </c>
      <c r="P59" s="365" t="s">
        <v>1181</v>
      </c>
      <c r="Q59" s="365" t="s">
        <v>1182</v>
      </c>
      <c r="R59" s="365" t="s">
        <v>1183</v>
      </c>
      <c r="S59" s="365" t="s">
        <v>1184</v>
      </c>
      <c r="T59" s="297"/>
      <c r="U59" s="366" t="s">
        <v>1185</v>
      </c>
      <c r="V59" s="297"/>
      <c r="W59" s="297"/>
      <c r="X59" s="297">
        <v>700</v>
      </c>
      <c r="Y59" s="297">
        <v>1050</v>
      </c>
      <c r="Z59" s="297">
        <v>1400</v>
      </c>
      <c r="AA59" s="297"/>
      <c r="AB59" s="367" t="s">
        <v>1186</v>
      </c>
      <c r="AC59" s="297"/>
      <c r="AD59" s="297"/>
      <c r="AE59" s="297"/>
      <c r="AF59" s="297"/>
      <c r="AG59" s="297"/>
      <c r="AH59" s="297"/>
      <c r="AI59" s="297"/>
      <c r="AJ59" s="297"/>
      <c r="AK59" s="293">
        <v>375</v>
      </c>
      <c r="AL59" s="294">
        <f>'Veri Girişi'!C75</f>
        <v>700</v>
      </c>
      <c r="AM59" s="293">
        <f t="shared" si="0"/>
        <v>1075</v>
      </c>
      <c r="AN59" s="318" t="s">
        <v>1170</v>
      </c>
      <c r="AO59" s="318" t="s">
        <v>1171</v>
      </c>
      <c r="AP59" s="294">
        <f t="shared" si="1"/>
        <v>887.5</v>
      </c>
      <c r="AQ59" s="318" t="s">
        <v>1172</v>
      </c>
      <c r="AR59" s="318" t="s">
        <v>1171</v>
      </c>
      <c r="AS59" s="297"/>
      <c r="AT59" s="297"/>
      <c r="AU59" s="329"/>
      <c r="AV59" s="329"/>
      <c r="AW59" s="297"/>
      <c r="AX59" s="297"/>
      <c r="AY59" s="297"/>
      <c r="AZ59" s="297"/>
      <c r="BA59" s="297"/>
      <c r="BB59" s="297"/>
      <c r="BC59" s="297"/>
      <c r="BD59" s="297"/>
      <c r="BE59" s="297"/>
      <c r="BF59" s="297"/>
    </row>
    <row r="60" spans="1:58" ht="12.75" customHeight="1">
      <c r="A60" s="346">
        <v>33</v>
      </c>
      <c r="B60" s="295">
        <v>1.1000000000000001</v>
      </c>
      <c r="C60" s="297"/>
      <c r="D60" s="368" t="s">
        <v>1187</v>
      </c>
      <c r="E60" s="368" t="s">
        <v>1188</v>
      </c>
      <c r="F60" s="368" t="s">
        <v>1189</v>
      </c>
      <c r="G60" s="368" t="s">
        <v>1190</v>
      </c>
      <c r="H60" s="297"/>
      <c r="I60" s="318" t="s">
        <v>102</v>
      </c>
      <c r="J60" s="369">
        <v>3.7</v>
      </c>
      <c r="K60" s="369">
        <v>475</v>
      </c>
      <c r="L60" s="369">
        <v>112400</v>
      </c>
      <c r="M60" s="369">
        <v>52500</v>
      </c>
      <c r="N60" s="369">
        <v>3150</v>
      </c>
      <c r="O60" s="369">
        <v>2100</v>
      </c>
      <c r="P60" s="370">
        <f>ROUND(SQRT(L60/K60),2)</f>
        <v>15.38</v>
      </c>
      <c r="Q60" s="370">
        <f>ROUND(SQRT(M60/K60),2)</f>
        <v>10.51</v>
      </c>
      <c r="R60" s="369">
        <v>5</v>
      </c>
      <c r="S60" s="369">
        <v>14.3</v>
      </c>
      <c r="T60" s="297"/>
      <c r="U60" s="371"/>
      <c r="V60" s="310" t="s">
        <v>1191</v>
      </c>
      <c r="W60" s="310" t="s">
        <v>1189</v>
      </c>
      <c r="X60" s="371">
        <v>660</v>
      </c>
      <c r="Y60" s="371">
        <v>960</v>
      </c>
      <c r="Z60" s="371">
        <v>1320</v>
      </c>
      <c r="AA60" s="297"/>
      <c r="AB60" s="371"/>
      <c r="AC60" s="318" t="s">
        <v>1172</v>
      </c>
      <c r="AD60" s="318" t="s">
        <v>1170</v>
      </c>
      <c r="AE60" s="318" t="s">
        <v>1192</v>
      </c>
      <c r="AF60" s="318" t="s">
        <v>1193</v>
      </c>
      <c r="AG60" s="318" t="s">
        <v>1194</v>
      </c>
      <c r="AH60" s="318" t="s">
        <v>1171</v>
      </c>
      <c r="AI60" s="318" t="s">
        <v>1195</v>
      </c>
      <c r="AJ60" s="297"/>
      <c r="AK60" s="293">
        <v>400</v>
      </c>
      <c r="AL60" s="294">
        <f>'Veri Girişi'!C75</f>
        <v>700</v>
      </c>
      <c r="AM60" s="293">
        <f t="shared" si="0"/>
        <v>1100</v>
      </c>
      <c r="AN60" s="318" t="s">
        <v>1170</v>
      </c>
      <c r="AO60" s="318" t="s">
        <v>1171</v>
      </c>
      <c r="AP60" s="294">
        <f t="shared" si="1"/>
        <v>900</v>
      </c>
      <c r="AQ60" s="318" t="s">
        <v>1172</v>
      </c>
      <c r="AR60" s="318" t="s">
        <v>1171</v>
      </c>
      <c r="AS60" s="297"/>
      <c r="AT60" s="297"/>
      <c r="AU60" s="329"/>
      <c r="AV60" s="329"/>
      <c r="AW60" s="297"/>
      <c r="AX60" s="297"/>
      <c r="AY60" s="297"/>
      <c r="AZ60" s="297"/>
      <c r="BA60" s="297"/>
      <c r="BB60" s="297"/>
      <c r="BC60" s="297"/>
      <c r="BD60" s="297"/>
      <c r="BE60" s="297"/>
      <c r="BF60" s="297"/>
    </row>
    <row r="61" spans="1:58" ht="12.75" customHeight="1">
      <c r="A61" s="346">
        <v>34</v>
      </c>
      <c r="B61" s="295">
        <v>1.1000000000000001</v>
      </c>
      <c r="C61" s="297"/>
      <c r="D61" s="372" t="s">
        <v>63</v>
      </c>
      <c r="E61" s="372">
        <v>33.799999999999997</v>
      </c>
      <c r="F61" s="373">
        <v>4.2</v>
      </c>
      <c r="G61" s="372">
        <v>0.28399999999999997</v>
      </c>
      <c r="H61" s="297"/>
      <c r="I61" s="318" t="s">
        <v>983</v>
      </c>
      <c r="J61" s="369">
        <v>7.47</v>
      </c>
      <c r="K61" s="369">
        <v>951</v>
      </c>
      <c r="L61" s="369">
        <v>413000</v>
      </c>
      <c r="M61" s="369">
        <v>186500</v>
      </c>
      <c r="N61" s="369">
        <v>9240</v>
      </c>
      <c r="O61" s="369">
        <v>5350</v>
      </c>
      <c r="P61" s="369">
        <v>20.9</v>
      </c>
      <c r="Q61" s="369">
        <v>14</v>
      </c>
      <c r="R61" s="369">
        <v>6</v>
      </c>
      <c r="S61" s="369">
        <v>20.399999999999999</v>
      </c>
      <c r="T61" s="297"/>
      <c r="U61" s="371" t="s">
        <v>68</v>
      </c>
      <c r="V61" s="369">
        <v>150</v>
      </c>
      <c r="W61" s="371">
        <v>101</v>
      </c>
      <c r="X61" s="371">
        <v>30</v>
      </c>
      <c r="Y61" s="371">
        <v>42</v>
      </c>
      <c r="Z61" s="371">
        <v>60</v>
      </c>
      <c r="AA61" s="297"/>
      <c r="AB61" s="371" t="s">
        <v>1196</v>
      </c>
      <c r="AC61" s="371">
        <v>820</v>
      </c>
      <c r="AD61" s="371">
        <v>1216</v>
      </c>
      <c r="AE61" s="371">
        <v>1690</v>
      </c>
      <c r="AF61" s="371">
        <v>2432</v>
      </c>
      <c r="AG61" s="371">
        <v>1240</v>
      </c>
      <c r="AH61" s="371">
        <v>1440</v>
      </c>
      <c r="AI61" s="371">
        <v>1784</v>
      </c>
      <c r="AJ61" s="297"/>
      <c r="AK61" s="293">
        <v>450</v>
      </c>
      <c r="AL61" s="294">
        <f>'Veri Girişi'!C75</f>
        <v>700</v>
      </c>
      <c r="AM61" s="293">
        <f t="shared" si="0"/>
        <v>1150</v>
      </c>
      <c r="AN61" s="318" t="s">
        <v>1170</v>
      </c>
      <c r="AO61" s="318" t="s">
        <v>1171</v>
      </c>
      <c r="AP61" s="294">
        <f t="shared" si="1"/>
        <v>925</v>
      </c>
      <c r="AQ61" s="318" t="s">
        <v>1170</v>
      </c>
      <c r="AR61" s="318" t="s">
        <v>1171</v>
      </c>
      <c r="AS61" s="297"/>
      <c r="AT61" s="297"/>
      <c r="AU61" s="329"/>
      <c r="AV61" s="329"/>
      <c r="AW61" s="297"/>
      <c r="AX61" s="297"/>
      <c r="AY61" s="297"/>
      <c r="AZ61" s="297"/>
      <c r="BA61" s="297"/>
      <c r="BB61" s="297"/>
      <c r="BC61" s="297"/>
      <c r="BD61" s="297"/>
      <c r="BE61" s="297"/>
      <c r="BF61" s="297"/>
    </row>
    <row r="62" spans="1:58" ht="12.75" customHeight="1">
      <c r="A62" s="346">
        <v>35</v>
      </c>
      <c r="B62" s="295">
        <v>1.1100000000000001</v>
      </c>
      <c r="C62" s="297"/>
      <c r="D62" s="372" t="s">
        <v>64</v>
      </c>
      <c r="E62" s="372">
        <v>70.400000000000006</v>
      </c>
      <c r="F62" s="373">
        <v>4.2</v>
      </c>
      <c r="G62" s="372">
        <v>0.64200000000000002</v>
      </c>
      <c r="H62" s="297"/>
      <c r="I62" s="318" t="s">
        <v>101</v>
      </c>
      <c r="J62" s="371">
        <v>12.38</v>
      </c>
      <c r="K62" s="371">
        <v>1577</v>
      </c>
      <c r="L62" s="371">
        <v>598300</v>
      </c>
      <c r="M62" s="371">
        <v>524100</v>
      </c>
      <c r="N62" s="371">
        <v>14350</v>
      </c>
      <c r="O62" s="371">
        <v>11780</v>
      </c>
      <c r="P62" s="371">
        <v>19.48</v>
      </c>
      <c r="Q62" s="371">
        <v>18.23</v>
      </c>
      <c r="R62" s="371">
        <v>9.5</v>
      </c>
      <c r="S62" s="371">
        <v>20.32</v>
      </c>
      <c r="T62" s="297"/>
      <c r="U62" s="374" t="s">
        <v>1197</v>
      </c>
      <c r="V62" s="371">
        <v>100</v>
      </c>
      <c r="W62" s="371">
        <v>100</v>
      </c>
      <c r="X62" s="371">
        <v>84</v>
      </c>
      <c r="Y62" s="371">
        <v>123</v>
      </c>
      <c r="Z62" s="371">
        <v>169</v>
      </c>
      <c r="AA62" s="297"/>
      <c r="AB62" s="371" t="s">
        <v>1198</v>
      </c>
      <c r="AC62" s="371">
        <v>135</v>
      </c>
      <c r="AD62" s="371">
        <v>135</v>
      </c>
      <c r="AE62" s="371">
        <v>135</v>
      </c>
      <c r="AF62" s="371">
        <v>135</v>
      </c>
      <c r="AG62" s="371">
        <v>144</v>
      </c>
      <c r="AH62" s="371">
        <v>90</v>
      </c>
      <c r="AI62" s="371">
        <v>173</v>
      </c>
      <c r="AJ62" s="297"/>
      <c r="AK62" s="293">
        <v>525</v>
      </c>
      <c r="AL62" s="294">
        <f>'Veri Girişi'!C75</f>
        <v>700</v>
      </c>
      <c r="AM62" s="293">
        <f t="shared" si="0"/>
        <v>1225</v>
      </c>
      <c r="AN62" s="318" t="s">
        <v>1170</v>
      </c>
      <c r="AO62" s="318" t="s">
        <v>1171</v>
      </c>
      <c r="AP62" s="294">
        <f t="shared" si="1"/>
        <v>962.5</v>
      </c>
      <c r="AQ62" s="318" t="s">
        <v>1170</v>
      </c>
      <c r="AR62" s="318" t="s">
        <v>1171</v>
      </c>
      <c r="AS62" s="297"/>
      <c r="AT62" s="297"/>
      <c r="AU62" s="329"/>
      <c r="AV62" s="329"/>
      <c r="AW62" s="297"/>
      <c r="AX62" s="297"/>
      <c r="AY62" s="297"/>
      <c r="AZ62" s="297"/>
      <c r="BA62" s="297"/>
      <c r="BB62" s="297"/>
      <c r="BC62" s="297"/>
      <c r="BD62" s="297"/>
      <c r="BE62" s="297"/>
      <c r="BF62" s="297"/>
    </row>
    <row r="63" spans="1:58" ht="12.75" customHeight="1">
      <c r="A63" s="346">
        <v>36</v>
      </c>
      <c r="B63" s="295">
        <v>1.1100000000000001</v>
      </c>
      <c r="C63" s="297"/>
      <c r="D63" s="372" t="s">
        <v>1199</v>
      </c>
      <c r="E63" s="372">
        <v>36.200000000000003</v>
      </c>
      <c r="F63" s="373">
        <v>4.2</v>
      </c>
      <c r="G63" s="372">
        <v>0.33</v>
      </c>
      <c r="H63" s="297"/>
      <c r="I63" s="318" t="s">
        <v>987</v>
      </c>
      <c r="J63" s="369">
        <v>13.55</v>
      </c>
      <c r="K63" s="369">
        <v>1730</v>
      </c>
      <c r="L63" s="369">
        <v>1020000</v>
      </c>
      <c r="M63" s="369">
        <v>530000</v>
      </c>
      <c r="N63" s="369">
        <v>20870</v>
      </c>
      <c r="O63" s="369">
        <v>11800</v>
      </c>
      <c r="P63" s="369">
        <v>24.3</v>
      </c>
      <c r="Q63" s="369">
        <v>17.5</v>
      </c>
      <c r="R63" s="369">
        <v>10</v>
      </c>
      <c r="S63" s="369">
        <v>26.1</v>
      </c>
      <c r="T63" s="293" t="s">
        <v>324</v>
      </c>
      <c r="U63" s="294">
        <f>('Veri Girişi'!C80-150)/(IF('Veri Girişi'!B118="Barit",HLOOKUP('11-Muk. Hesapları'!AH551,TABLOLAR!X60:Z61,2,0),HLOOKUP('11-Muk. Hesapları'!AH551,TABLOLAR!X60:Z62,3,0)))</f>
        <v>22.61904761904762</v>
      </c>
      <c r="V63" s="375">
        <v>3800</v>
      </c>
      <c r="W63" s="297"/>
      <c r="X63" s="297"/>
      <c r="Y63" s="297"/>
      <c r="Z63" s="297"/>
      <c r="AA63" s="297"/>
      <c r="AB63" s="371" t="s">
        <v>1200</v>
      </c>
      <c r="AC63" s="371">
        <v>388</v>
      </c>
      <c r="AD63" s="371">
        <v>345</v>
      </c>
      <c r="AE63" s="371">
        <v>345</v>
      </c>
      <c r="AF63" s="371">
        <v>345</v>
      </c>
      <c r="AG63" s="371">
        <v>160</v>
      </c>
      <c r="AH63" s="371">
        <v>100</v>
      </c>
      <c r="AI63" s="371">
        <v>192</v>
      </c>
      <c r="AJ63" s="297"/>
      <c r="AK63" s="293">
        <v>600</v>
      </c>
      <c r="AL63" s="294">
        <f>'Veri Girişi'!C75</f>
        <v>700</v>
      </c>
      <c r="AM63" s="293">
        <f t="shared" si="0"/>
        <v>1300</v>
      </c>
      <c r="AN63" s="318" t="s">
        <v>1192</v>
      </c>
      <c r="AO63" s="318" t="s">
        <v>1171</v>
      </c>
      <c r="AP63" s="294">
        <f t="shared" si="1"/>
        <v>1000</v>
      </c>
      <c r="AQ63" s="318" t="s">
        <v>1170</v>
      </c>
      <c r="AR63" s="318" t="s">
        <v>1171</v>
      </c>
      <c r="AS63" s="297"/>
      <c r="AT63" s="297"/>
      <c r="AU63" s="329"/>
      <c r="AV63" s="329"/>
      <c r="AW63" s="297"/>
      <c r="AX63" s="297"/>
      <c r="AY63" s="297"/>
      <c r="AZ63" s="297"/>
      <c r="BA63" s="297"/>
      <c r="BB63" s="297"/>
      <c r="BC63" s="297"/>
      <c r="BD63" s="297"/>
      <c r="BE63" s="297"/>
      <c r="BF63" s="297"/>
    </row>
    <row r="64" spans="1:58" ht="12.75" customHeight="1">
      <c r="A64" s="346">
        <v>37</v>
      </c>
      <c r="B64" s="295">
        <v>1.1200000000000001</v>
      </c>
      <c r="C64" s="297"/>
      <c r="D64" s="372" t="s">
        <v>1201</v>
      </c>
      <c r="E64" s="372">
        <v>70.400000000000006</v>
      </c>
      <c r="F64" s="373">
        <v>4.2</v>
      </c>
      <c r="G64" s="372">
        <v>0.62</v>
      </c>
      <c r="H64" s="297"/>
      <c r="I64" s="318" t="s">
        <v>988</v>
      </c>
      <c r="J64" s="369">
        <v>18</v>
      </c>
      <c r="K64" s="369">
        <v>2290</v>
      </c>
      <c r="L64" s="369">
        <v>1511000</v>
      </c>
      <c r="M64" s="369">
        <v>1566000</v>
      </c>
      <c r="N64" s="369">
        <v>26200</v>
      </c>
      <c r="O64" s="369">
        <v>25100</v>
      </c>
      <c r="P64" s="369">
        <v>25.7</v>
      </c>
      <c r="Q64" s="369">
        <v>25.2</v>
      </c>
      <c r="R64" s="369">
        <v>10</v>
      </c>
      <c r="S64" s="369">
        <v>24.3</v>
      </c>
      <c r="T64" s="293" t="s">
        <v>1200</v>
      </c>
      <c r="U64" s="294">
        <f>U63*100+1500</f>
        <v>3761.9047619047619</v>
      </c>
      <c r="V64" s="297"/>
      <c r="W64" s="297"/>
      <c r="X64" s="297"/>
      <c r="Y64" s="297"/>
      <c r="Z64" s="297"/>
      <c r="AA64" s="297"/>
      <c r="AB64" s="371"/>
      <c r="AC64" s="371">
        <f t="shared" ref="AC64:AI64" si="2">AC63-AC62</f>
        <v>253</v>
      </c>
      <c r="AD64" s="371">
        <f t="shared" si="2"/>
        <v>210</v>
      </c>
      <c r="AE64" s="371">
        <f t="shared" si="2"/>
        <v>210</v>
      </c>
      <c r="AF64" s="371">
        <f t="shared" si="2"/>
        <v>210</v>
      </c>
      <c r="AG64" s="371">
        <f t="shared" si="2"/>
        <v>16</v>
      </c>
      <c r="AH64" s="371">
        <f t="shared" si="2"/>
        <v>10</v>
      </c>
      <c r="AI64" s="371">
        <f t="shared" si="2"/>
        <v>19</v>
      </c>
      <c r="AJ64" s="297"/>
      <c r="AK64" s="293">
        <v>630</v>
      </c>
      <c r="AL64" s="294">
        <f>'Veri Girişi'!C75</f>
        <v>700</v>
      </c>
      <c r="AM64" s="293">
        <f t="shared" si="0"/>
        <v>1330</v>
      </c>
      <c r="AN64" s="318" t="s">
        <v>1192</v>
      </c>
      <c r="AO64" s="318" t="s">
        <v>1171</v>
      </c>
      <c r="AP64" s="294">
        <f t="shared" si="1"/>
        <v>1015</v>
      </c>
      <c r="AQ64" s="318" t="s">
        <v>1170</v>
      </c>
      <c r="AR64" s="318" t="s">
        <v>1171</v>
      </c>
      <c r="AS64" s="297"/>
      <c r="AT64" s="297"/>
      <c r="AU64" s="329"/>
      <c r="AV64" s="329"/>
      <c r="AW64" s="297"/>
      <c r="AX64" s="297"/>
      <c r="AY64" s="297"/>
      <c r="AZ64" s="297"/>
      <c r="BA64" s="297"/>
      <c r="BB64" s="297"/>
      <c r="BC64" s="297"/>
      <c r="BD64" s="297"/>
      <c r="BE64" s="297"/>
      <c r="BF64" s="297"/>
    </row>
    <row r="65" spans="1:58" ht="12.75" customHeight="1">
      <c r="A65" s="346">
        <v>38</v>
      </c>
      <c r="B65" s="295">
        <v>1.1299999999999999</v>
      </c>
      <c r="C65" s="297"/>
      <c r="D65" s="297"/>
      <c r="E65" s="297"/>
      <c r="F65" s="297"/>
      <c r="G65" s="297"/>
      <c r="H65" s="297"/>
      <c r="I65" s="318" t="s">
        <v>989</v>
      </c>
      <c r="J65" s="369">
        <v>22.48</v>
      </c>
      <c r="K65" s="369">
        <v>2863</v>
      </c>
      <c r="L65" s="369">
        <v>1984000</v>
      </c>
      <c r="M65" s="369">
        <v>2300000</v>
      </c>
      <c r="N65" s="369">
        <v>30900</v>
      </c>
      <c r="O65" s="369">
        <v>36200</v>
      </c>
      <c r="P65" s="369">
        <v>26.3</v>
      </c>
      <c r="Q65" s="369">
        <v>28.3</v>
      </c>
      <c r="R65" s="369">
        <v>10</v>
      </c>
      <c r="S65" s="369">
        <v>24.7</v>
      </c>
      <c r="T65" s="297"/>
      <c r="U65" s="297"/>
      <c r="V65" s="297"/>
      <c r="W65" s="297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  <c r="AH65" s="297"/>
      <c r="AI65" s="297"/>
      <c r="AJ65" s="297"/>
      <c r="AK65" s="293">
        <v>675</v>
      </c>
      <c r="AL65" s="294">
        <f>'Veri Girişi'!C75</f>
        <v>700</v>
      </c>
      <c r="AM65" s="293">
        <f t="shared" si="0"/>
        <v>1375</v>
      </c>
      <c r="AN65" s="318" t="s">
        <v>1192</v>
      </c>
      <c r="AO65" s="318" t="s">
        <v>1171</v>
      </c>
      <c r="AP65" s="294">
        <f t="shared" si="1"/>
        <v>1037.5</v>
      </c>
      <c r="AQ65" s="318" t="s">
        <v>1170</v>
      </c>
      <c r="AR65" s="318" t="s">
        <v>1171</v>
      </c>
      <c r="AS65" s="297"/>
      <c r="AT65" s="297"/>
      <c r="AU65" s="329"/>
      <c r="AV65" s="329"/>
      <c r="AW65" s="297"/>
      <c r="AX65" s="297"/>
      <c r="AY65" s="297"/>
      <c r="AZ65" s="297"/>
      <c r="BA65" s="297"/>
      <c r="BB65" s="297"/>
      <c r="BC65" s="297"/>
      <c r="BD65" s="297"/>
      <c r="BE65" s="297"/>
      <c r="BF65" s="297"/>
    </row>
    <row r="66" spans="1:58" ht="12.75" customHeight="1">
      <c r="A66" s="346">
        <v>39</v>
      </c>
      <c r="B66" s="295">
        <v>1.1299999999999999</v>
      </c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  <c r="AJ66" s="297"/>
      <c r="AK66" s="293">
        <v>750</v>
      </c>
      <c r="AL66" s="294">
        <f>'Veri Girişi'!C75</f>
        <v>700</v>
      </c>
      <c r="AM66" s="293">
        <f t="shared" si="0"/>
        <v>1450</v>
      </c>
      <c r="AN66" s="318" t="s">
        <v>1192</v>
      </c>
      <c r="AO66" s="318" t="s">
        <v>1171</v>
      </c>
      <c r="AP66" s="294">
        <f t="shared" si="1"/>
        <v>1075</v>
      </c>
      <c r="AQ66" s="318" t="s">
        <v>1170</v>
      </c>
      <c r="AR66" s="318" t="s">
        <v>1171</v>
      </c>
      <c r="AS66" s="297"/>
      <c r="AT66" s="297"/>
      <c r="AU66" s="329"/>
      <c r="AV66" s="329"/>
      <c r="AW66" s="297"/>
      <c r="AX66" s="297"/>
      <c r="AY66" s="297"/>
      <c r="AZ66" s="297"/>
      <c r="BA66" s="297"/>
      <c r="BB66" s="297"/>
      <c r="BC66" s="297"/>
      <c r="BD66" s="297"/>
      <c r="BE66" s="297"/>
      <c r="BF66" s="297"/>
    </row>
    <row r="67" spans="1:58" ht="12.75" customHeight="1">
      <c r="A67" s="346">
        <v>40</v>
      </c>
      <c r="B67" s="295">
        <v>1.1399999999999999</v>
      </c>
      <c r="C67" s="297"/>
      <c r="D67" s="376"/>
      <c r="E67" s="376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93">
        <v>800</v>
      </c>
      <c r="AL67" s="294">
        <f>'Veri Girişi'!C75</f>
        <v>700</v>
      </c>
      <c r="AM67" s="293">
        <f t="shared" si="0"/>
        <v>1500</v>
      </c>
      <c r="AN67" s="318" t="s">
        <v>1192</v>
      </c>
      <c r="AO67" s="318" t="s">
        <v>1171</v>
      </c>
      <c r="AP67" s="294">
        <f t="shared" si="1"/>
        <v>1100</v>
      </c>
      <c r="AQ67" s="318" t="s">
        <v>1170</v>
      </c>
      <c r="AR67" s="318" t="s">
        <v>1171</v>
      </c>
      <c r="AS67" s="297"/>
      <c r="AT67" s="297"/>
      <c r="AU67" s="329"/>
      <c r="AV67" s="329"/>
      <c r="AW67" s="297"/>
      <c r="AX67" s="297"/>
      <c r="AY67" s="297"/>
      <c r="AZ67" s="297"/>
      <c r="BA67" s="297"/>
      <c r="BB67" s="297"/>
      <c r="BC67" s="297"/>
      <c r="BD67" s="297"/>
      <c r="BE67" s="297"/>
      <c r="BF67" s="297"/>
    </row>
    <row r="68" spans="1:58" ht="12.75" customHeight="1">
      <c r="A68" s="346">
        <v>41</v>
      </c>
      <c r="B68" s="295">
        <v>1.1399999999999999</v>
      </c>
      <c r="C68" s="297"/>
      <c r="D68" s="297"/>
      <c r="E68" s="297"/>
      <c r="F68" s="297"/>
      <c r="G68" s="297"/>
      <c r="H68" s="297"/>
      <c r="I68" s="377" t="s">
        <v>1174</v>
      </c>
      <c r="J68" s="293" t="s">
        <v>515</v>
      </c>
      <c r="K68" s="293" t="s">
        <v>266</v>
      </c>
      <c r="L68" s="293" t="s">
        <v>1202</v>
      </c>
      <c r="M68" s="293" t="s">
        <v>1203</v>
      </c>
      <c r="N68" s="293" t="s">
        <v>1204</v>
      </c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  <c r="AJ68" s="297"/>
      <c r="AK68" s="293">
        <v>825</v>
      </c>
      <c r="AL68" s="294">
        <f>'Veri Girişi'!C75</f>
        <v>700</v>
      </c>
      <c r="AM68" s="293">
        <f t="shared" si="0"/>
        <v>1525</v>
      </c>
      <c r="AN68" s="318" t="s">
        <v>1192</v>
      </c>
      <c r="AO68" s="318" t="s">
        <v>1171</v>
      </c>
      <c r="AP68" s="294">
        <f t="shared" si="1"/>
        <v>1112.5</v>
      </c>
      <c r="AQ68" s="318" t="s">
        <v>1170</v>
      </c>
      <c r="AR68" s="318" t="s">
        <v>1171</v>
      </c>
      <c r="AS68" s="297"/>
      <c r="AT68" s="297"/>
      <c r="AU68" s="329"/>
      <c r="AV68" s="329"/>
      <c r="AW68" s="297"/>
      <c r="AX68" s="297"/>
      <c r="AY68" s="297"/>
      <c r="AZ68" s="297"/>
      <c r="BA68" s="297"/>
      <c r="BB68" s="297"/>
      <c r="BC68" s="297"/>
      <c r="BD68" s="297"/>
      <c r="BE68" s="297"/>
      <c r="BF68" s="297"/>
    </row>
    <row r="69" spans="1:58" ht="12.75" customHeight="1">
      <c r="A69" s="346">
        <v>42</v>
      </c>
      <c r="B69" s="295">
        <v>1.1499999999999999</v>
      </c>
      <c r="C69" s="297"/>
      <c r="D69" s="297"/>
      <c r="E69" s="297"/>
      <c r="F69" s="297"/>
      <c r="G69" s="297"/>
      <c r="H69" s="297"/>
      <c r="I69" s="318" t="s">
        <v>102</v>
      </c>
      <c r="J69" s="293">
        <v>8</v>
      </c>
      <c r="K69" s="293">
        <v>13.5</v>
      </c>
      <c r="L69" s="293">
        <v>50</v>
      </c>
      <c r="M69" s="293">
        <f t="shared" ref="M69:M74" si="3">L69-K69-J69</f>
        <v>28.5</v>
      </c>
      <c r="N69" s="293">
        <f t="shared" ref="N69:N74" si="4">L69-J69</f>
        <v>42</v>
      </c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3">
        <v>900</v>
      </c>
      <c r="AL69" s="294">
        <f>'Veri Girişi'!C75</f>
        <v>700</v>
      </c>
      <c r="AM69" s="293">
        <f t="shared" si="0"/>
        <v>1600</v>
      </c>
      <c r="AN69" s="318" t="s">
        <v>1193</v>
      </c>
      <c r="AO69" s="318" t="s">
        <v>1171</v>
      </c>
      <c r="AP69" s="294">
        <f t="shared" si="1"/>
        <v>1150</v>
      </c>
      <c r="AQ69" s="318" t="s">
        <v>1192</v>
      </c>
      <c r="AR69" s="318" t="s">
        <v>1171</v>
      </c>
      <c r="AS69" s="297"/>
      <c r="AT69" s="297"/>
      <c r="AU69" s="329"/>
      <c r="AV69" s="329"/>
      <c r="AW69" s="297"/>
      <c r="AX69" s="297"/>
      <c r="AY69" s="297"/>
      <c r="AZ69" s="297"/>
      <c r="BA69" s="297"/>
      <c r="BB69" s="297"/>
      <c r="BC69" s="297"/>
      <c r="BD69" s="297"/>
      <c r="BE69" s="297"/>
      <c r="BF69" s="297"/>
    </row>
    <row r="70" spans="1:58" ht="12.75" customHeight="1">
      <c r="A70" s="346">
        <v>43</v>
      </c>
      <c r="B70" s="295">
        <v>1.1599999999999999</v>
      </c>
      <c r="C70" s="297"/>
      <c r="D70" s="297"/>
      <c r="E70" s="297"/>
      <c r="F70" s="297"/>
      <c r="G70" s="297"/>
      <c r="H70" s="297"/>
      <c r="I70" s="318" t="s">
        <v>983</v>
      </c>
      <c r="J70" s="293">
        <v>8</v>
      </c>
      <c r="K70" s="293">
        <v>17</v>
      </c>
      <c r="L70" s="293">
        <v>65</v>
      </c>
      <c r="M70" s="293">
        <f t="shared" si="3"/>
        <v>40</v>
      </c>
      <c r="N70" s="293">
        <f t="shared" si="4"/>
        <v>57</v>
      </c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  <c r="AH70" s="297"/>
      <c r="AI70" s="297"/>
      <c r="AJ70" s="297"/>
      <c r="AK70" s="293">
        <v>975</v>
      </c>
      <c r="AL70" s="294">
        <f>'Veri Girişi'!C75</f>
        <v>700</v>
      </c>
      <c r="AM70" s="293">
        <f t="shared" si="0"/>
        <v>1675</v>
      </c>
      <c r="AN70" s="318" t="s">
        <v>1193</v>
      </c>
      <c r="AO70" s="318" t="s">
        <v>1171</v>
      </c>
      <c r="AP70" s="294">
        <f t="shared" si="1"/>
        <v>1187.5</v>
      </c>
      <c r="AQ70" s="318" t="s">
        <v>1192</v>
      </c>
      <c r="AR70" s="318" t="s">
        <v>1171</v>
      </c>
      <c r="AS70" s="297"/>
      <c r="AT70" s="297"/>
      <c r="AU70" s="329"/>
      <c r="AV70" s="329"/>
      <c r="AW70" s="297"/>
      <c r="AX70" s="297"/>
      <c r="AY70" s="297"/>
      <c r="AZ70" s="297"/>
      <c r="BA70" s="297"/>
      <c r="BB70" s="297"/>
      <c r="BC70" s="297"/>
      <c r="BD70" s="297"/>
      <c r="BE70" s="297"/>
      <c r="BF70" s="297"/>
    </row>
    <row r="71" spans="1:58" ht="12.75" customHeight="1">
      <c r="A71" s="346">
        <v>44</v>
      </c>
      <c r="B71" s="295">
        <v>1.1599999999999999</v>
      </c>
      <c r="C71" s="297"/>
      <c r="D71" s="376"/>
      <c r="E71" s="376"/>
      <c r="F71" s="297"/>
      <c r="G71" s="297"/>
      <c r="H71" s="297"/>
      <c r="I71" s="318" t="s">
        <v>101</v>
      </c>
      <c r="J71" s="293">
        <v>11.1</v>
      </c>
      <c r="K71" s="293">
        <v>17</v>
      </c>
      <c r="L71" s="293">
        <v>62</v>
      </c>
      <c r="M71" s="293">
        <f t="shared" si="3"/>
        <v>33.9</v>
      </c>
      <c r="N71" s="293">
        <f t="shared" si="4"/>
        <v>50.9</v>
      </c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  <c r="AJ71" s="297"/>
      <c r="AK71" s="298">
        <v>1000</v>
      </c>
      <c r="AL71" s="378">
        <f>'Veri Girişi'!C75</f>
        <v>700</v>
      </c>
      <c r="AM71" s="298">
        <f t="shared" si="0"/>
        <v>1700</v>
      </c>
      <c r="AN71" s="379" t="s">
        <v>1193</v>
      </c>
      <c r="AO71" s="379" t="s">
        <v>1171</v>
      </c>
      <c r="AP71" s="378">
        <f t="shared" si="1"/>
        <v>1200</v>
      </c>
      <c r="AQ71" s="379" t="s">
        <v>1192</v>
      </c>
      <c r="AR71" s="379" t="s">
        <v>1171</v>
      </c>
      <c r="AS71" s="297"/>
      <c r="AT71" s="297"/>
      <c r="AU71" s="329"/>
      <c r="AV71" s="329"/>
      <c r="AW71" s="297"/>
      <c r="AX71" s="297"/>
      <c r="AY71" s="297"/>
      <c r="AZ71" s="297"/>
      <c r="BA71" s="297"/>
      <c r="BB71" s="297"/>
      <c r="BC71" s="297"/>
      <c r="BD71" s="297"/>
      <c r="BE71" s="297"/>
      <c r="BF71" s="297"/>
    </row>
    <row r="72" spans="1:58" ht="12.75" customHeight="1">
      <c r="A72" s="346">
        <v>45</v>
      </c>
      <c r="B72" s="295">
        <v>1.17</v>
      </c>
      <c r="C72" s="297"/>
      <c r="D72" s="297"/>
      <c r="E72" s="297"/>
      <c r="F72" s="297"/>
      <c r="G72" s="297"/>
      <c r="H72" s="297"/>
      <c r="I72" s="318" t="s">
        <v>987</v>
      </c>
      <c r="J72" s="293">
        <v>10</v>
      </c>
      <c r="K72" s="293">
        <v>21</v>
      </c>
      <c r="L72" s="293">
        <v>75</v>
      </c>
      <c r="M72" s="293">
        <f t="shared" si="3"/>
        <v>44</v>
      </c>
      <c r="N72" s="293">
        <f t="shared" si="4"/>
        <v>65</v>
      </c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  <c r="AJ72" s="297"/>
      <c r="AK72" s="293">
        <v>1125</v>
      </c>
      <c r="AL72" s="294">
        <f>'Veri Girişi'!C75</f>
        <v>700</v>
      </c>
      <c r="AM72" s="298">
        <f t="shared" si="0"/>
        <v>1825</v>
      </c>
      <c r="AN72" s="293"/>
      <c r="AO72" s="293"/>
      <c r="AP72" s="293"/>
      <c r="AQ72" s="293"/>
      <c r="AR72" s="293"/>
      <c r="AS72" s="297"/>
      <c r="AT72" s="297"/>
      <c r="AU72" s="297"/>
      <c r="AV72" s="297"/>
      <c r="AW72" s="297"/>
      <c r="AX72" s="297"/>
      <c r="AY72" s="297"/>
      <c r="AZ72" s="297"/>
      <c r="BA72" s="297"/>
      <c r="BB72" s="297"/>
      <c r="BC72" s="297"/>
      <c r="BD72" s="297"/>
      <c r="BE72" s="297"/>
      <c r="BF72" s="297"/>
    </row>
    <row r="73" spans="1:58" ht="12.75" customHeight="1">
      <c r="A73" s="346">
        <v>46</v>
      </c>
      <c r="B73" s="295">
        <v>1.18</v>
      </c>
      <c r="C73" s="297"/>
      <c r="D73" s="297"/>
      <c r="E73" s="297"/>
      <c r="F73" s="297"/>
      <c r="G73" s="297"/>
      <c r="H73" s="297"/>
      <c r="I73" s="318" t="s">
        <v>988</v>
      </c>
      <c r="J73" s="293">
        <v>12</v>
      </c>
      <c r="K73" s="293">
        <v>21</v>
      </c>
      <c r="L73" s="293">
        <v>82</v>
      </c>
      <c r="M73" s="293">
        <f t="shared" si="3"/>
        <v>49</v>
      </c>
      <c r="N73" s="293">
        <f t="shared" si="4"/>
        <v>70</v>
      </c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3">
        <v>1200</v>
      </c>
      <c r="AL73" s="294">
        <f>'Veri Girişi'!C75</f>
        <v>700</v>
      </c>
      <c r="AM73" s="298">
        <f t="shared" si="0"/>
        <v>1900</v>
      </c>
      <c r="AN73" s="293"/>
      <c r="AO73" s="293"/>
      <c r="AP73" s="293"/>
      <c r="AQ73" s="293"/>
      <c r="AR73" s="293"/>
      <c r="AS73" s="297"/>
      <c r="AT73" s="297"/>
      <c r="AU73" s="297"/>
      <c r="AV73" s="297"/>
      <c r="AW73" s="297"/>
      <c r="AX73" s="297"/>
      <c r="AY73" s="297"/>
      <c r="AZ73" s="297"/>
      <c r="BA73" s="297"/>
      <c r="BB73" s="297"/>
      <c r="BC73" s="297"/>
      <c r="BD73" s="297"/>
      <c r="BE73" s="297"/>
      <c r="BF73" s="297"/>
    </row>
    <row r="74" spans="1:58" ht="12.75" customHeight="1">
      <c r="A74" s="346">
        <v>47</v>
      </c>
      <c r="B74" s="295">
        <v>1.19</v>
      </c>
      <c r="C74" s="297"/>
      <c r="D74" s="297"/>
      <c r="E74" s="297"/>
      <c r="F74" s="297"/>
      <c r="G74" s="297"/>
      <c r="H74" s="297"/>
      <c r="I74" s="318" t="s">
        <v>989</v>
      </c>
      <c r="J74" s="293">
        <v>15.9</v>
      </c>
      <c r="K74" s="293">
        <v>25.5</v>
      </c>
      <c r="L74" s="293">
        <v>89</v>
      </c>
      <c r="M74" s="293">
        <f t="shared" si="3"/>
        <v>47.6</v>
      </c>
      <c r="N74" s="293">
        <f t="shared" si="4"/>
        <v>73.099999999999994</v>
      </c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  <c r="AI74" s="297"/>
      <c r="AJ74" s="297"/>
      <c r="AK74" s="293">
        <v>1275</v>
      </c>
      <c r="AL74" s="294">
        <f>'Veri Girişi'!C75</f>
        <v>700</v>
      </c>
      <c r="AM74" s="298">
        <f t="shared" si="0"/>
        <v>1975</v>
      </c>
      <c r="AN74" s="293"/>
      <c r="AO74" s="293"/>
      <c r="AP74" s="293"/>
      <c r="AQ74" s="293"/>
      <c r="AR74" s="293"/>
      <c r="AS74" s="297"/>
      <c r="AT74" s="297"/>
      <c r="AU74" s="297"/>
      <c r="AV74" s="297"/>
      <c r="AW74" s="297"/>
      <c r="AX74" s="297"/>
      <c r="AY74" s="297"/>
      <c r="AZ74" s="297"/>
      <c r="BA74" s="297"/>
      <c r="BB74" s="297"/>
      <c r="BC74" s="297"/>
      <c r="BD74" s="297"/>
      <c r="BE74" s="297"/>
      <c r="BF74" s="297"/>
    </row>
    <row r="75" spans="1:58" ht="12.75" customHeight="1">
      <c r="A75" s="346">
        <v>48</v>
      </c>
      <c r="B75" s="295">
        <v>1.19</v>
      </c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  <c r="AJ75" s="297"/>
      <c r="AK75" s="293">
        <v>1600</v>
      </c>
      <c r="AL75" s="294">
        <f>'Veri Girişi'!C75</f>
        <v>700</v>
      </c>
      <c r="AM75" s="298">
        <f t="shared" si="0"/>
        <v>2300</v>
      </c>
      <c r="AN75" s="293"/>
      <c r="AO75" s="293"/>
      <c r="AP75" s="293"/>
      <c r="AQ75" s="293"/>
      <c r="AR75" s="293"/>
      <c r="AS75" s="297"/>
      <c r="AT75" s="297"/>
      <c r="AU75" s="297"/>
      <c r="AV75" s="297"/>
      <c r="AW75" s="297"/>
      <c r="AX75" s="297"/>
      <c r="AY75" s="297"/>
      <c r="AZ75" s="297"/>
      <c r="BA75" s="297"/>
      <c r="BB75" s="297"/>
      <c r="BC75" s="297"/>
      <c r="BD75" s="297"/>
      <c r="BE75" s="297"/>
      <c r="BF75" s="297"/>
    </row>
    <row r="76" spans="1:58" ht="12.75" customHeight="1">
      <c r="A76" s="346">
        <v>49</v>
      </c>
      <c r="B76" s="295">
        <v>1.2</v>
      </c>
      <c r="C76" s="297"/>
      <c r="D76" s="297"/>
      <c r="E76" s="297"/>
      <c r="F76" s="297"/>
      <c r="G76" s="297"/>
      <c r="H76" s="345" t="s">
        <v>1205</v>
      </c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3">
        <v>2000</v>
      </c>
      <c r="AL76" s="294">
        <f>'Veri Girişi'!C75</f>
        <v>700</v>
      </c>
      <c r="AM76" s="298">
        <f t="shared" si="0"/>
        <v>2700</v>
      </c>
      <c r="AN76" s="293"/>
      <c r="AO76" s="293"/>
      <c r="AP76" s="293"/>
      <c r="AQ76" s="293"/>
      <c r="AR76" s="293"/>
      <c r="AS76" s="297"/>
      <c r="AT76" s="297"/>
      <c r="AU76" s="297"/>
      <c r="AV76" s="297"/>
      <c r="AW76" s="297"/>
      <c r="AX76" s="297"/>
      <c r="AY76" s="297"/>
      <c r="AZ76" s="297"/>
      <c r="BA76" s="297"/>
      <c r="BB76" s="297"/>
      <c r="BC76" s="297"/>
      <c r="BD76" s="297"/>
      <c r="BE76" s="297"/>
      <c r="BF76" s="297"/>
    </row>
    <row r="77" spans="1:58" ht="12.75" customHeight="1">
      <c r="A77" s="346">
        <v>50</v>
      </c>
      <c r="B77" s="295">
        <v>1.21</v>
      </c>
      <c r="C77" s="297"/>
      <c r="D77" s="297"/>
      <c r="E77" s="297"/>
      <c r="F77" s="297"/>
      <c r="G77" s="297"/>
      <c r="H77" s="357" t="s">
        <v>1206</v>
      </c>
      <c r="I77" s="357" t="s">
        <v>1207</v>
      </c>
      <c r="J77" s="357" t="s">
        <v>1208</v>
      </c>
      <c r="K77" s="357" t="s">
        <v>1209</v>
      </c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  <c r="AH77" s="297"/>
      <c r="AI77" s="297"/>
      <c r="AJ77" s="297"/>
      <c r="AK77" s="297"/>
      <c r="AL77" s="297"/>
      <c r="AM77" s="297"/>
      <c r="AN77" s="297"/>
      <c r="AO77" s="297"/>
      <c r="AP77" s="297"/>
      <c r="AQ77" s="297"/>
      <c r="AR77" s="297"/>
      <c r="AS77" s="297"/>
      <c r="AT77" s="297"/>
      <c r="AU77" s="297"/>
      <c r="AV77" s="297"/>
      <c r="AW77" s="297"/>
      <c r="AX77" s="297"/>
      <c r="AY77" s="297"/>
      <c r="AZ77" s="297"/>
      <c r="BA77" s="297"/>
      <c r="BB77" s="297"/>
      <c r="BC77" s="297"/>
      <c r="BD77" s="297"/>
      <c r="BE77" s="297"/>
      <c r="BF77" s="297"/>
    </row>
    <row r="78" spans="1:58" ht="12.75" customHeight="1">
      <c r="A78" s="346">
        <v>51</v>
      </c>
      <c r="B78" s="295">
        <v>1.22</v>
      </c>
      <c r="C78" s="297"/>
      <c r="D78" s="297"/>
      <c r="E78" s="297"/>
      <c r="F78" s="297"/>
      <c r="G78" s="297"/>
      <c r="H78" s="293">
        <v>180</v>
      </c>
      <c r="I78" s="293">
        <v>2</v>
      </c>
      <c r="J78" s="295">
        <v>0.57999999999999996</v>
      </c>
      <c r="K78" s="295">
        <v>0.49</v>
      </c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  <c r="AJ78" s="297"/>
      <c r="AK78" s="297"/>
      <c r="AL78" s="297"/>
      <c r="AM78" s="297"/>
      <c r="AN78" s="297"/>
      <c r="AO78" s="297"/>
      <c r="AP78" s="297"/>
      <c r="AQ78" s="297"/>
      <c r="AR78" s="297"/>
      <c r="AS78" s="297"/>
      <c r="AT78" s="297"/>
      <c r="AU78" s="297"/>
      <c r="AV78" s="297"/>
      <c r="AW78" s="297"/>
      <c r="AX78" s="297"/>
      <c r="AY78" s="297"/>
      <c r="AZ78" s="297"/>
      <c r="BA78" s="297"/>
      <c r="BB78" s="297"/>
      <c r="BC78" s="297"/>
      <c r="BD78" s="297"/>
      <c r="BE78" s="297"/>
      <c r="BF78" s="297"/>
    </row>
    <row r="79" spans="1:58" ht="12.75" customHeight="1">
      <c r="A79" s="346">
        <v>52</v>
      </c>
      <c r="B79" s="295">
        <v>1.23</v>
      </c>
      <c r="C79" s="297"/>
      <c r="D79" s="297"/>
      <c r="E79" s="297"/>
      <c r="F79" s="297"/>
      <c r="G79" s="297"/>
      <c r="H79" s="293">
        <v>225</v>
      </c>
      <c r="I79" s="293">
        <v>3</v>
      </c>
      <c r="J79" s="295">
        <v>0.7</v>
      </c>
      <c r="K79" s="295">
        <v>0.6</v>
      </c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  <c r="AJ79" s="297"/>
      <c r="AK79" s="297"/>
      <c r="AL79" s="297"/>
      <c r="AM79" s="297"/>
      <c r="AN79" s="297"/>
      <c r="AO79" s="297"/>
      <c r="AP79" s="297"/>
      <c r="AQ79" s="297"/>
      <c r="AR79" s="297"/>
      <c r="AS79" s="297"/>
      <c r="AT79" s="297"/>
      <c r="AU79" s="297"/>
      <c r="AV79" s="297"/>
      <c r="AW79" s="297"/>
      <c r="AX79" s="297"/>
      <c r="AY79" s="297"/>
      <c r="AZ79" s="297"/>
      <c r="BA79" s="297"/>
      <c r="BB79" s="297"/>
      <c r="BC79" s="297"/>
      <c r="BD79" s="297"/>
      <c r="BE79" s="297"/>
      <c r="BF79" s="297"/>
    </row>
    <row r="80" spans="1:58" ht="12.75" customHeight="1">
      <c r="A80" s="346">
        <v>53</v>
      </c>
      <c r="B80" s="295">
        <v>1.23</v>
      </c>
      <c r="C80" s="297"/>
      <c r="D80" s="297"/>
      <c r="E80" s="297"/>
      <c r="F80" s="297"/>
      <c r="G80" s="297"/>
      <c r="H80" s="293">
        <v>300</v>
      </c>
      <c r="I80" s="293">
        <v>4</v>
      </c>
      <c r="J80" s="295">
        <v>0.9</v>
      </c>
      <c r="K80" s="295">
        <v>0.79</v>
      </c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7"/>
      <c r="AM80" s="297"/>
      <c r="AN80" s="297"/>
      <c r="AO80" s="297"/>
      <c r="AP80" s="297"/>
      <c r="AQ80" s="297"/>
      <c r="AR80" s="297"/>
      <c r="AS80" s="297"/>
      <c r="AT80" s="297"/>
      <c r="AU80" s="297"/>
      <c r="AV80" s="297"/>
      <c r="AW80" s="297"/>
      <c r="AX80" s="297"/>
      <c r="AY80" s="297"/>
      <c r="AZ80" s="297"/>
      <c r="BA80" s="297"/>
      <c r="BB80" s="297"/>
      <c r="BC80" s="297"/>
      <c r="BD80" s="297"/>
      <c r="BE80" s="297"/>
      <c r="BF80" s="297"/>
    </row>
    <row r="81" spans="1:58" ht="12.75" customHeight="1">
      <c r="A81" s="346">
        <v>54</v>
      </c>
      <c r="B81" s="295">
        <v>1.24</v>
      </c>
      <c r="C81" s="297"/>
      <c r="D81" s="297"/>
      <c r="E81" s="297"/>
      <c r="F81" s="297"/>
      <c r="G81" s="297"/>
      <c r="H81" s="293">
        <v>320</v>
      </c>
      <c r="I81" s="293">
        <v>4</v>
      </c>
      <c r="J81" s="295">
        <v>0.97</v>
      </c>
      <c r="K81" s="295">
        <v>0.79</v>
      </c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  <c r="AI81" s="297"/>
      <c r="AJ81" s="297"/>
      <c r="AK81" s="297"/>
      <c r="AL81" s="297"/>
      <c r="AM81" s="297"/>
      <c r="AN81" s="297"/>
      <c r="AO81" s="297"/>
      <c r="AP81" s="297"/>
      <c r="AQ81" s="297"/>
      <c r="AR81" s="297"/>
      <c r="AS81" s="297"/>
      <c r="AT81" s="297"/>
      <c r="AU81" s="297"/>
      <c r="AV81" s="297"/>
      <c r="AW81" s="297"/>
      <c r="AX81" s="297"/>
      <c r="AY81" s="297"/>
      <c r="AZ81" s="297"/>
      <c r="BA81" s="297"/>
      <c r="BB81" s="297"/>
      <c r="BC81" s="297"/>
      <c r="BD81" s="297"/>
      <c r="BE81" s="297"/>
      <c r="BF81" s="297"/>
    </row>
    <row r="82" spans="1:58" ht="12.75" customHeight="1">
      <c r="A82" s="346">
        <v>55</v>
      </c>
      <c r="B82" s="295">
        <v>1.25</v>
      </c>
      <c r="C82" s="297"/>
      <c r="D82" s="297"/>
      <c r="E82" s="297"/>
      <c r="F82" s="297"/>
      <c r="G82" s="297"/>
      <c r="H82" s="293">
        <v>375</v>
      </c>
      <c r="I82" s="293">
        <v>5</v>
      </c>
      <c r="J82" s="295">
        <v>1.1000000000000001</v>
      </c>
      <c r="K82" s="295">
        <v>0.98</v>
      </c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7"/>
      <c r="AL82" s="297"/>
      <c r="AM82" s="297"/>
      <c r="AN82" s="297"/>
      <c r="AO82" s="297"/>
      <c r="AP82" s="297"/>
      <c r="AQ82" s="297"/>
      <c r="AR82" s="297"/>
      <c r="AS82" s="297"/>
      <c r="AT82" s="297"/>
      <c r="AU82" s="297"/>
      <c r="AV82" s="297"/>
      <c r="AW82" s="297"/>
      <c r="AX82" s="297"/>
      <c r="AY82" s="297"/>
      <c r="AZ82" s="297"/>
      <c r="BA82" s="297"/>
      <c r="BB82" s="297"/>
      <c r="BC82" s="297"/>
      <c r="BD82" s="297"/>
      <c r="BE82" s="297"/>
      <c r="BF82" s="297"/>
    </row>
    <row r="83" spans="1:58" ht="12.75" customHeight="1">
      <c r="A83" s="346">
        <v>56</v>
      </c>
      <c r="B83" s="295">
        <v>1.26</v>
      </c>
      <c r="C83" s="297"/>
      <c r="D83" s="297"/>
      <c r="E83" s="297"/>
      <c r="F83" s="297"/>
      <c r="G83" s="297"/>
      <c r="H83" s="293">
        <v>400</v>
      </c>
      <c r="I83" s="293">
        <v>5</v>
      </c>
      <c r="J83" s="295">
        <v>1.17</v>
      </c>
      <c r="K83" s="295">
        <v>0.98</v>
      </c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7"/>
      <c r="AM83" s="297"/>
      <c r="AN83" s="297"/>
      <c r="AO83" s="297"/>
      <c r="AP83" s="297"/>
      <c r="AQ83" s="297"/>
      <c r="AR83" s="297"/>
      <c r="AS83" s="297"/>
      <c r="AT83" s="297"/>
      <c r="AU83" s="297"/>
      <c r="AV83" s="297"/>
      <c r="AW83" s="297"/>
      <c r="AX83" s="297"/>
      <c r="AY83" s="297"/>
      <c r="AZ83" s="297"/>
      <c r="BA83" s="297"/>
      <c r="BB83" s="297"/>
      <c r="BC83" s="297"/>
      <c r="BD83" s="297"/>
      <c r="BE83" s="297"/>
      <c r="BF83" s="297"/>
    </row>
    <row r="84" spans="1:58" ht="12.75" customHeight="1">
      <c r="A84" s="346">
        <v>57</v>
      </c>
      <c r="B84" s="295">
        <v>1.27</v>
      </c>
      <c r="C84" s="297"/>
      <c r="D84" s="297"/>
      <c r="E84" s="297"/>
      <c r="F84" s="297"/>
      <c r="G84" s="297"/>
      <c r="H84" s="293">
        <v>450</v>
      </c>
      <c r="I84" s="293">
        <v>6</v>
      </c>
      <c r="J84" s="295">
        <v>1.3</v>
      </c>
      <c r="K84" s="295">
        <v>1.17</v>
      </c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  <c r="AI84" s="297"/>
      <c r="AJ84" s="297"/>
      <c r="AK84" s="297"/>
      <c r="AL84" s="297"/>
      <c r="AM84" s="297"/>
      <c r="AN84" s="297"/>
      <c r="AO84" s="297"/>
      <c r="AP84" s="297"/>
      <c r="AQ84" s="297"/>
      <c r="AR84" s="297"/>
      <c r="AS84" s="297"/>
      <c r="AT84" s="297"/>
      <c r="AU84" s="297"/>
      <c r="AV84" s="297"/>
      <c r="AW84" s="297"/>
      <c r="AX84" s="297"/>
      <c r="AY84" s="297"/>
      <c r="AZ84" s="297"/>
      <c r="BA84" s="297"/>
      <c r="BB84" s="297"/>
      <c r="BC84" s="297"/>
      <c r="BD84" s="297"/>
      <c r="BE84" s="297"/>
      <c r="BF84" s="297"/>
    </row>
    <row r="85" spans="1:58" ht="12.75" customHeight="1">
      <c r="A85" s="346">
        <v>58</v>
      </c>
      <c r="B85" s="295">
        <v>1.28</v>
      </c>
      <c r="C85" s="297"/>
      <c r="D85" s="297"/>
      <c r="E85" s="297"/>
      <c r="F85" s="297"/>
      <c r="G85" s="297"/>
      <c r="H85" s="293">
        <v>525</v>
      </c>
      <c r="I85" s="293">
        <v>7</v>
      </c>
      <c r="J85" s="295">
        <v>1.45</v>
      </c>
      <c r="K85" s="295">
        <v>1.31</v>
      </c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  <c r="AJ85" s="297"/>
      <c r="AK85" s="297"/>
      <c r="AL85" s="297"/>
      <c r="AM85" s="297"/>
      <c r="AN85" s="297"/>
      <c r="AO85" s="297"/>
      <c r="AP85" s="297"/>
      <c r="AQ85" s="297"/>
      <c r="AR85" s="297"/>
      <c r="AS85" s="297"/>
      <c r="AT85" s="297"/>
      <c r="AU85" s="297"/>
      <c r="AV85" s="297"/>
      <c r="AW85" s="297"/>
      <c r="AX85" s="297"/>
      <c r="AY85" s="297"/>
      <c r="AZ85" s="297"/>
      <c r="BA85" s="297"/>
      <c r="BB85" s="297"/>
      <c r="BC85" s="297"/>
      <c r="BD85" s="297"/>
      <c r="BE85" s="297"/>
      <c r="BF85" s="297"/>
    </row>
    <row r="86" spans="1:58" ht="12.75" customHeight="1">
      <c r="A86" s="346">
        <v>59</v>
      </c>
      <c r="B86" s="295">
        <v>1.29</v>
      </c>
      <c r="C86" s="297"/>
      <c r="D86" s="297"/>
      <c r="E86" s="297"/>
      <c r="F86" s="297"/>
      <c r="G86" s="297"/>
      <c r="H86" s="293">
        <v>600</v>
      </c>
      <c r="I86" s="293">
        <v>8</v>
      </c>
      <c r="J86" s="295">
        <v>1.6</v>
      </c>
      <c r="K86" s="295">
        <v>1.45</v>
      </c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297"/>
      <c r="AM86" s="297"/>
      <c r="AN86" s="297"/>
      <c r="AO86" s="297"/>
      <c r="AP86" s="297"/>
      <c r="AQ86" s="297"/>
      <c r="AR86" s="297"/>
      <c r="AS86" s="297"/>
      <c r="AT86" s="297"/>
      <c r="AU86" s="297"/>
      <c r="AV86" s="297"/>
      <c r="AW86" s="297"/>
      <c r="AX86" s="297"/>
      <c r="AY86" s="297"/>
      <c r="AZ86" s="297"/>
      <c r="BA86" s="297"/>
      <c r="BB86" s="297"/>
      <c r="BC86" s="297"/>
      <c r="BD86" s="297"/>
      <c r="BE86" s="297"/>
      <c r="BF86" s="297"/>
    </row>
    <row r="87" spans="1:58" ht="12.75" customHeight="1">
      <c r="A87" s="346">
        <v>60</v>
      </c>
      <c r="B87" s="295">
        <v>1.3</v>
      </c>
      <c r="C87" s="297"/>
      <c r="D87" s="297"/>
      <c r="E87" s="297"/>
      <c r="F87" s="297"/>
      <c r="G87" s="297"/>
      <c r="H87" s="293">
        <v>630</v>
      </c>
      <c r="I87" s="293">
        <v>8</v>
      </c>
      <c r="J87" s="295">
        <v>1.66</v>
      </c>
      <c r="K87" s="295">
        <v>1.45</v>
      </c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7"/>
      <c r="AK87" s="297"/>
      <c r="AL87" s="297"/>
      <c r="AM87" s="297"/>
      <c r="AN87" s="297"/>
      <c r="AO87" s="297"/>
      <c r="AP87" s="297"/>
      <c r="AQ87" s="297"/>
      <c r="AR87" s="297"/>
      <c r="AS87" s="297"/>
      <c r="AT87" s="297"/>
      <c r="AU87" s="297"/>
      <c r="AV87" s="297"/>
      <c r="AW87" s="297"/>
      <c r="AX87" s="297"/>
      <c r="AY87" s="297"/>
      <c r="AZ87" s="297"/>
      <c r="BA87" s="297"/>
      <c r="BB87" s="297"/>
      <c r="BC87" s="297"/>
      <c r="BD87" s="297"/>
      <c r="BE87" s="297"/>
      <c r="BF87" s="297"/>
    </row>
    <row r="88" spans="1:58" ht="12.75" customHeight="1">
      <c r="A88" s="346">
        <v>61</v>
      </c>
      <c r="B88" s="295">
        <v>1.31</v>
      </c>
      <c r="C88" s="297"/>
      <c r="D88" s="297"/>
      <c r="E88" s="297"/>
      <c r="F88" s="297"/>
      <c r="G88" s="297"/>
      <c r="H88" s="293">
        <v>675</v>
      </c>
      <c r="I88" s="293">
        <v>9</v>
      </c>
      <c r="J88" s="295">
        <v>1.75</v>
      </c>
      <c r="K88" s="295">
        <v>1.59</v>
      </c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7"/>
      <c r="AJ88" s="297"/>
      <c r="AK88" s="297"/>
      <c r="AL88" s="297"/>
      <c r="AM88" s="297"/>
      <c r="AN88" s="297"/>
      <c r="AO88" s="297"/>
      <c r="AP88" s="297"/>
      <c r="AQ88" s="297"/>
      <c r="AR88" s="297"/>
      <c r="AS88" s="297"/>
      <c r="AT88" s="297"/>
      <c r="AU88" s="297"/>
      <c r="AV88" s="297"/>
      <c r="AW88" s="297"/>
      <c r="AX88" s="297"/>
      <c r="AY88" s="297"/>
      <c r="AZ88" s="297"/>
      <c r="BA88" s="297"/>
      <c r="BB88" s="297"/>
      <c r="BC88" s="297"/>
      <c r="BD88" s="297"/>
      <c r="BE88" s="297"/>
      <c r="BF88" s="297"/>
    </row>
    <row r="89" spans="1:58" ht="12.75" customHeight="1">
      <c r="A89" s="346">
        <v>62</v>
      </c>
      <c r="B89" s="295">
        <v>1.32</v>
      </c>
      <c r="C89" s="297"/>
      <c r="D89" s="297"/>
      <c r="E89" s="297"/>
      <c r="F89" s="297"/>
      <c r="G89" s="297"/>
      <c r="H89" s="293">
        <v>750</v>
      </c>
      <c r="I89" s="293">
        <v>10</v>
      </c>
      <c r="J89" s="295">
        <v>1.9</v>
      </c>
      <c r="K89" s="295">
        <v>1.73</v>
      </c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  <c r="AH89" s="297"/>
      <c r="AI89" s="297"/>
      <c r="AJ89" s="297"/>
      <c r="AK89" s="297"/>
      <c r="AL89" s="297"/>
      <c r="AM89" s="297"/>
      <c r="AN89" s="297"/>
      <c r="AO89" s="297"/>
      <c r="AP89" s="297"/>
      <c r="AQ89" s="297"/>
      <c r="AR89" s="297"/>
      <c r="AS89" s="297"/>
      <c r="AT89" s="297"/>
      <c r="AU89" s="297"/>
      <c r="AV89" s="297"/>
      <c r="AW89" s="297"/>
      <c r="AX89" s="297"/>
      <c r="AY89" s="297"/>
      <c r="AZ89" s="297"/>
      <c r="BA89" s="297"/>
      <c r="BB89" s="297"/>
      <c r="BC89" s="297"/>
      <c r="BD89" s="297"/>
      <c r="BE89" s="297"/>
      <c r="BF89" s="297"/>
    </row>
    <row r="90" spans="1:58" ht="12.75" customHeight="1">
      <c r="A90" s="346">
        <v>63</v>
      </c>
      <c r="B90" s="295">
        <v>1.33</v>
      </c>
      <c r="C90" s="297"/>
      <c r="D90" s="297"/>
      <c r="E90" s="297"/>
      <c r="F90" s="297"/>
      <c r="G90" s="297"/>
      <c r="H90" s="293">
        <v>800</v>
      </c>
      <c r="I90" s="293">
        <v>10</v>
      </c>
      <c r="J90" s="295">
        <v>2</v>
      </c>
      <c r="K90" s="295">
        <v>1.73</v>
      </c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7"/>
      <c r="AN90" s="297"/>
      <c r="AO90" s="297"/>
      <c r="AP90" s="297"/>
      <c r="AQ90" s="297"/>
      <c r="AR90" s="297"/>
      <c r="AS90" s="297"/>
      <c r="AT90" s="297"/>
      <c r="AU90" s="297"/>
      <c r="AV90" s="297"/>
      <c r="AW90" s="297"/>
      <c r="AX90" s="297"/>
      <c r="AY90" s="297"/>
      <c r="AZ90" s="297"/>
      <c r="BA90" s="297"/>
      <c r="BB90" s="297"/>
      <c r="BC90" s="297"/>
      <c r="BD90" s="297"/>
      <c r="BE90" s="297"/>
      <c r="BF90" s="297"/>
    </row>
    <row r="91" spans="1:58" ht="12.75" customHeight="1">
      <c r="A91" s="346">
        <v>64</v>
      </c>
      <c r="B91" s="295">
        <v>1.34</v>
      </c>
      <c r="C91" s="297"/>
      <c r="D91" s="297"/>
      <c r="E91" s="297"/>
      <c r="F91" s="297"/>
      <c r="G91" s="297"/>
      <c r="H91" s="293">
        <v>825</v>
      </c>
      <c r="I91" s="293">
        <v>11</v>
      </c>
      <c r="J91" s="295">
        <v>2.0499999999999998</v>
      </c>
      <c r="K91" s="295">
        <v>1.87</v>
      </c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  <c r="AI91" s="297"/>
      <c r="AJ91" s="297"/>
      <c r="AK91" s="297"/>
      <c r="AL91" s="297"/>
      <c r="AM91" s="297"/>
      <c r="AN91" s="297"/>
      <c r="AO91" s="297"/>
      <c r="AP91" s="297"/>
      <c r="AQ91" s="297"/>
      <c r="AR91" s="297"/>
      <c r="AS91" s="297"/>
      <c r="AT91" s="297"/>
      <c r="AU91" s="297"/>
      <c r="AV91" s="297"/>
      <c r="AW91" s="297"/>
      <c r="AX91" s="297"/>
      <c r="AY91" s="297"/>
      <c r="AZ91" s="297"/>
      <c r="BA91" s="297"/>
      <c r="BB91" s="297"/>
      <c r="BC91" s="297"/>
      <c r="BD91" s="297"/>
      <c r="BE91" s="297"/>
      <c r="BF91" s="297"/>
    </row>
    <row r="92" spans="1:58" ht="12.75" customHeight="1">
      <c r="A92" s="346">
        <v>65</v>
      </c>
      <c r="B92" s="295">
        <v>1.35</v>
      </c>
      <c r="C92" s="297"/>
      <c r="D92" s="297"/>
      <c r="E92" s="297"/>
      <c r="F92" s="297"/>
      <c r="G92" s="297"/>
      <c r="H92" s="293">
        <v>900</v>
      </c>
      <c r="I92" s="293">
        <v>12</v>
      </c>
      <c r="J92" s="295">
        <v>2.2000000000000002</v>
      </c>
      <c r="K92" s="295">
        <v>2.0099999999999998</v>
      </c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  <c r="AO92" s="297"/>
      <c r="AP92" s="297"/>
      <c r="AQ92" s="297"/>
      <c r="AR92" s="297"/>
      <c r="AS92" s="297"/>
      <c r="AT92" s="297"/>
      <c r="AU92" s="297"/>
      <c r="AV92" s="297"/>
      <c r="AW92" s="297"/>
      <c r="AX92" s="297"/>
      <c r="AY92" s="297"/>
      <c r="AZ92" s="297"/>
      <c r="BA92" s="297"/>
      <c r="BB92" s="297"/>
      <c r="BC92" s="297"/>
      <c r="BD92" s="297"/>
      <c r="BE92" s="297"/>
      <c r="BF92" s="297"/>
    </row>
    <row r="93" spans="1:58" ht="12.75" customHeight="1">
      <c r="A93" s="346">
        <v>66</v>
      </c>
      <c r="B93" s="295">
        <v>1.36</v>
      </c>
      <c r="C93" s="297"/>
      <c r="D93" s="297"/>
      <c r="E93" s="297"/>
      <c r="F93" s="297"/>
      <c r="G93" s="297"/>
      <c r="H93" s="298">
        <v>975</v>
      </c>
      <c r="I93" s="298">
        <v>13</v>
      </c>
      <c r="J93" s="380">
        <v>2.35</v>
      </c>
      <c r="K93" s="380">
        <v>2.15</v>
      </c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7"/>
      <c r="AK93" s="297"/>
      <c r="AL93" s="297"/>
      <c r="AM93" s="297"/>
      <c r="AN93" s="297"/>
      <c r="AO93" s="297"/>
      <c r="AP93" s="297"/>
      <c r="AQ93" s="297"/>
      <c r="AR93" s="297"/>
      <c r="AS93" s="297"/>
      <c r="AT93" s="297"/>
      <c r="AU93" s="297"/>
      <c r="AV93" s="297"/>
      <c r="AW93" s="297"/>
      <c r="AX93" s="297"/>
      <c r="AY93" s="297"/>
      <c r="AZ93" s="297"/>
      <c r="BA93" s="297"/>
      <c r="BB93" s="297"/>
      <c r="BC93" s="297"/>
      <c r="BD93" s="297"/>
      <c r="BE93" s="297"/>
      <c r="BF93" s="297"/>
    </row>
    <row r="94" spans="1:58" ht="12.75" customHeight="1">
      <c r="A94" s="346">
        <v>67</v>
      </c>
      <c r="B94" s="295">
        <v>1.37</v>
      </c>
      <c r="C94" s="297"/>
      <c r="D94" s="297"/>
      <c r="E94" s="297"/>
      <c r="F94" s="297"/>
      <c r="G94" s="297"/>
      <c r="H94" s="293">
        <v>1000</v>
      </c>
      <c r="I94" s="293">
        <v>13</v>
      </c>
      <c r="J94" s="295">
        <v>2.4</v>
      </c>
      <c r="K94" s="295">
        <v>2.15</v>
      </c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7"/>
      <c r="AQ94" s="297"/>
      <c r="AR94" s="297"/>
      <c r="AS94" s="297"/>
      <c r="AT94" s="297"/>
      <c r="AU94" s="297"/>
      <c r="AV94" s="297"/>
      <c r="AW94" s="297"/>
      <c r="AX94" s="297"/>
      <c r="AY94" s="297"/>
      <c r="AZ94" s="297"/>
      <c r="BA94" s="297"/>
      <c r="BB94" s="297"/>
      <c r="BC94" s="297"/>
      <c r="BD94" s="297"/>
      <c r="BE94" s="297"/>
      <c r="BF94" s="297"/>
    </row>
    <row r="95" spans="1:58" ht="12.75" customHeight="1">
      <c r="A95" s="346">
        <v>68</v>
      </c>
      <c r="B95" s="295">
        <v>1.39</v>
      </c>
      <c r="C95" s="297"/>
      <c r="D95" s="297"/>
      <c r="E95" s="297"/>
      <c r="F95" s="297"/>
      <c r="G95" s="297"/>
      <c r="H95" s="293">
        <v>1125</v>
      </c>
      <c r="I95" s="293">
        <v>15</v>
      </c>
      <c r="J95" s="293">
        <v>2.65</v>
      </c>
      <c r="K95" s="293">
        <v>2.4300000000000002</v>
      </c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  <c r="AJ95" s="297"/>
      <c r="AK95" s="297"/>
      <c r="AL95" s="297"/>
      <c r="AM95" s="297"/>
      <c r="AN95" s="297"/>
      <c r="AO95" s="297"/>
      <c r="AP95" s="297"/>
      <c r="AQ95" s="297"/>
      <c r="AR95" s="297"/>
      <c r="AS95" s="297"/>
      <c r="AT95" s="297"/>
      <c r="AU95" s="297"/>
      <c r="AV95" s="297"/>
      <c r="AW95" s="297"/>
      <c r="AX95" s="297"/>
      <c r="AY95" s="297"/>
      <c r="AZ95" s="297"/>
      <c r="BA95" s="297"/>
      <c r="BB95" s="297"/>
      <c r="BC95" s="297"/>
      <c r="BD95" s="297"/>
      <c r="BE95" s="297"/>
      <c r="BF95" s="297"/>
    </row>
    <row r="96" spans="1:58" ht="12.75" customHeight="1">
      <c r="A96" s="346">
        <v>69</v>
      </c>
      <c r="B96" s="295">
        <v>1.4</v>
      </c>
      <c r="C96" s="297"/>
      <c r="D96" s="297"/>
      <c r="E96" s="297"/>
      <c r="F96" s="297"/>
      <c r="G96" s="297"/>
      <c r="H96" s="293">
        <v>1200</v>
      </c>
      <c r="I96" s="293">
        <v>16</v>
      </c>
      <c r="J96" s="293">
        <v>2.8</v>
      </c>
      <c r="K96" s="293">
        <v>2.57</v>
      </c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  <c r="AI96" s="297"/>
      <c r="AJ96" s="297"/>
      <c r="AK96" s="297"/>
      <c r="AL96" s="297"/>
      <c r="AM96" s="297"/>
      <c r="AN96" s="297"/>
      <c r="AO96" s="297"/>
      <c r="AP96" s="297"/>
      <c r="AQ96" s="297"/>
      <c r="AR96" s="297"/>
      <c r="AS96" s="297"/>
      <c r="AT96" s="297"/>
      <c r="AU96" s="297"/>
      <c r="AV96" s="297"/>
      <c r="AW96" s="297"/>
      <c r="AX96" s="297"/>
      <c r="AY96" s="297"/>
      <c r="AZ96" s="297"/>
      <c r="BA96" s="297"/>
      <c r="BB96" s="297"/>
      <c r="BC96" s="297"/>
      <c r="BD96" s="297"/>
      <c r="BE96" s="297"/>
      <c r="BF96" s="297"/>
    </row>
    <row r="97" spans="1:58" ht="12.75" customHeight="1">
      <c r="A97" s="346">
        <v>70</v>
      </c>
      <c r="B97" s="295">
        <v>1.41</v>
      </c>
      <c r="C97" s="297"/>
      <c r="D97" s="297"/>
      <c r="E97" s="297"/>
      <c r="F97" s="297"/>
      <c r="G97" s="297"/>
      <c r="H97" s="293">
        <v>1275</v>
      </c>
      <c r="I97" s="293">
        <v>17</v>
      </c>
      <c r="J97" s="293">
        <v>2.95</v>
      </c>
      <c r="K97" s="293">
        <v>2.71</v>
      </c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  <c r="AH97" s="297"/>
      <c r="AI97" s="297"/>
      <c r="AJ97" s="297"/>
      <c r="AK97" s="297"/>
      <c r="AL97" s="297"/>
      <c r="AM97" s="297"/>
      <c r="AN97" s="297"/>
      <c r="AO97" s="297"/>
      <c r="AP97" s="297"/>
      <c r="AQ97" s="297"/>
      <c r="AR97" s="297"/>
      <c r="AS97" s="297"/>
      <c r="AT97" s="297"/>
      <c r="AU97" s="297"/>
      <c r="AV97" s="297"/>
      <c r="AW97" s="297"/>
      <c r="AX97" s="297"/>
      <c r="AY97" s="297"/>
      <c r="AZ97" s="297"/>
      <c r="BA97" s="297"/>
      <c r="BB97" s="297"/>
      <c r="BC97" s="297"/>
      <c r="BD97" s="297"/>
      <c r="BE97" s="297"/>
      <c r="BF97" s="297"/>
    </row>
    <row r="98" spans="1:58" ht="12.75" customHeight="1">
      <c r="A98" s="346">
        <v>71</v>
      </c>
      <c r="B98" s="295">
        <v>1.42</v>
      </c>
      <c r="C98" s="297"/>
      <c r="D98" s="297"/>
      <c r="E98" s="297"/>
      <c r="F98" s="297"/>
      <c r="G98" s="297"/>
      <c r="H98" s="293">
        <v>1600</v>
      </c>
      <c r="I98" s="293">
        <v>21</v>
      </c>
      <c r="J98" s="293">
        <v>3.56</v>
      </c>
      <c r="K98" s="293">
        <v>3.2450000000000001</v>
      </c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  <c r="AC98" s="297"/>
      <c r="AD98" s="297"/>
      <c r="AE98" s="297"/>
      <c r="AF98" s="297"/>
      <c r="AG98" s="297"/>
      <c r="AH98" s="297"/>
      <c r="AI98" s="297"/>
      <c r="AJ98" s="297"/>
      <c r="AK98" s="297"/>
      <c r="AL98" s="297"/>
      <c r="AM98" s="297"/>
      <c r="AN98" s="297"/>
      <c r="AO98" s="297"/>
      <c r="AP98" s="297"/>
      <c r="AQ98" s="297"/>
      <c r="AR98" s="297"/>
      <c r="AS98" s="297"/>
      <c r="AT98" s="297"/>
      <c r="AU98" s="297"/>
      <c r="AV98" s="297"/>
      <c r="AW98" s="297"/>
      <c r="AX98" s="297"/>
      <c r="AY98" s="297"/>
      <c r="AZ98" s="297"/>
      <c r="BA98" s="297"/>
      <c r="BB98" s="297"/>
      <c r="BC98" s="297"/>
      <c r="BD98" s="297"/>
      <c r="BE98" s="297"/>
      <c r="BF98" s="297"/>
    </row>
    <row r="99" spans="1:58" ht="12.75" customHeight="1">
      <c r="A99" s="346">
        <v>72</v>
      </c>
      <c r="B99" s="295">
        <v>1.44</v>
      </c>
      <c r="C99" s="297"/>
      <c r="D99" s="297"/>
      <c r="E99" s="297"/>
      <c r="F99" s="297"/>
      <c r="G99" s="297"/>
      <c r="H99" s="293">
        <v>2000</v>
      </c>
      <c r="I99" s="293">
        <v>26</v>
      </c>
      <c r="J99" s="293">
        <v>4.2</v>
      </c>
      <c r="K99" s="293">
        <v>3.82</v>
      </c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  <c r="AH99" s="297"/>
      <c r="AI99" s="297"/>
      <c r="AJ99" s="297"/>
      <c r="AK99" s="297"/>
      <c r="AL99" s="297"/>
      <c r="AM99" s="297"/>
      <c r="AN99" s="297"/>
      <c r="AO99" s="297"/>
      <c r="AP99" s="297"/>
      <c r="AQ99" s="297"/>
      <c r="AR99" s="297"/>
      <c r="AS99" s="297"/>
      <c r="AT99" s="297"/>
      <c r="AU99" s="297"/>
      <c r="AV99" s="297"/>
      <c r="AW99" s="297"/>
      <c r="AX99" s="297"/>
      <c r="AY99" s="297"/>
      <c r="AZ99" s="297"/>
      <c r="BA99" s="297"/>
      <c r="BB99" s="297"/>
      <c r="BC99" s="297"/>
      <c r="BD99" s="297"/>
      <c r="BE99" s="297"/>
      <c r="BF99" s="297"/>
    </row>
    <row r="100" spans="1:58" ht="12.75" customHeight="1">
      <c r="A100" s="346">
        <v>73</v>
      </c>
      <c r="B100" s="295">
        <v>1.45</v>
      </c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  <c r="AC100" s="297"/>
      <c r="AD100" s="297"/>
      <c r="AE100" s="297"/>
      <c r="AF100" s="297"/>
      <c r="AG100" s="297"/>
      <c r="AH100" s="297"/>
      <c r="AI100" s="297"/>
      <c r="AJ100" s="297"/>
      <c r="AK100" s="297"/>
      <c r="AL100" s="297"/>
      <c r="AM100" s="297"/>
      <c r="AN100" s="297"/>
      <c r="AO100" s="297"/>
      <c r="AP100" s="297"/>
      <c r="AQ100" s="297"/>
      <c r="AR100" s="297"/>
      <c r="AS100" s="297"/>
      <c r="AT100" s="297"/>
      <c r="AU100" s="297"/>
      <c r="AV100" s="297"/>
      <c r="AW100" s="297"/>
      <c r="AX100" s="297"/>
      <c r="AY100" s="297"/>
      <c r="AZ100" s="297"/>
      <c r="BA100" s="297"/>
      <c r="BB100" s="297"/>
      <c r="BC100" s="297"/>
      <c r="BD100" s="297"/>
      <c r="BE100" s="297"/>
      <c r="BF100" s="297"/>
    </row>
    <row r="101" spans="1:58" ht="12.75" customHeight="1">
      <c r="A101" s="346">
        <v>74</v>
      </c>
      <c r="B101" s="295">
        <v>1.46</v>
      </c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  <c r="AH101" s="297"/>
      <c r="AI101" s="297"/>
      <c r="AJ101" s="297"/>
      <c r="AK101" s="297"/>
      <c r="AL101" s="297"/>
      <c r="AM101" s="297"/>
      <c r="AN101" s="297"/>
      <c r="AO101" s="297"/>
      <c r="AP101" s="297"/>
      <c r="AQ101" s="297"/>
      <c r="AR101" s="297"/>
      <c r="AS101" s="297"/>
      <c r="AT101" s="297"/>
      <c r="AU101" s="297"/>
      <c r="AV101" s="297"/>
      <c r="AW101" s="297"/>
      <c r="AX101" s="297"/>
      <c r="AY101" s="297"/>
      <c r="AZ101" s="297"/>
      <c r="BA101" s="297"/>
      <c r="BB101" s="297"/>
      <c r="BC101" s="297"/>
      <c r="BD101" s="297"/>
      <c r="BE101" s="297"/>
      <c r="BF101" s="297"/>
    </row>
    <row r="102" spans="1:58" ht="12.75" customHeight="1">
      <c r="A102" s="346">
        <v>75</v>
      </c>
      <c r="B102" s="295">
        <v>1.48</v>
      </c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  <c r="AC102" s="297"/>
      <c r="AD102" s="297"/>
      <c r="AE102" s="297"/>
      <c r="AF102" s="297"/>
      <c r="AG102" s="297"/>
      <c r="AH102" s="297"/>
      <c r="AI102" s="297"/>
      <c r="AJ102" s="297"/>
      <c r="AK102" s="297"/>
      <c r="AL102" s="297"/>
      <c r="AM102" s="297"/>
      <c r="AN102" s="297"/>
      <c r="AO102" s="297"/>
      <c r="AP102" s="297"/>
      <c r="AQ102" s="297"/>
      <c r="AR102" s="297"/>
      <c r="AS102" s="297"/>
      <c r="AT102" s="297"/>
      <c r="AU102" s="297"/>
      <c r="AV102" s="297"/>
      <c r="AW102" s="297"/>
      <c r="AX102" s="297"/>
      <c r="AY102" s="297"/>
      <c r="AZ102" s="297"/>
      <c r="BA102" s="297"/>
      <c r="BB102" s="297"/>
      <c r="BC102" s="297"/>
      <c r="BD102" s="297"/>
      <c r="BE102" s="297"/>
      <c r="BF102" s="297"/>
    </row>
    <row r="103" spans="1:58" ht="12.75" customHeight="1">
      <c r="A103" s="346">
        <v>76</v>
      </c>
      <c r="B103" s="295">
        <v>1.49</v>
      </c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  <c r="AH103" s="297"/>
      <c r="AI103" s="297"/>
      <c r="AJ103" s="297"/>
      <c r="AK103" s="297"/>
      <c r="AL103" s="297"/>
      <c r="AM103" s="297"/>
      <c r="AN103" s="297"/>
      <c r="AO103" s="297"/>
      <c r="AP103" s="297"/>
      <c r="AQ103" s="297"/>
      <c r="AR103" s="297"/>
      <c r="AS103" s="297"/>
      <c r="AT103" s="297"/>
      <c r="AU103" s="297"/>
      <c r="AV103" s="297"/>
      <c r="AW103" s="297"/>
      <c r="AX103" s="297"/>
      <c r="AY103" s="297"/>
      <c r="AZ103" s="297"/>
      <c r="BA103" s="297"/>
      <c r="BB103" s="297"/>
      <c r="BC103" s="297"/>
      <c r="BD103" s="297"/>
      <c r="BE103" s="297"/>
      <c r="BF103" s="297"/>
    </row>
    <row r="104" spans="1:58" ht="12.75" customHeight="1">
      <c r="A104" s="346">
        <v>77</v>
      </c>
      <c r="B104" s="295">
        <v>1.5</v>
      </c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  <c r="AI104" s="297"/>
      <c r="AJ104" s="297"/>
      <c r="AK104" s="297"/>
      <c r="AL104" s="297"/>
      <c r="AM104" s="297"/>
      <c r="AN104" s="297"/>
      <c r="AO104" s="297"/>
      <c r="AP104" s="297"/>
      <c r="AQ104" s="297"/>
      <c r="AR104" s="297"/>
      <c r="AS104" s="297"/>
      <c r="AT104" s="297"/>
      <c r="AU104" s="297"/>
      <c r="AV104" s="297"/>
      <c r="AW104" s="297"/>
      <c r="AX104" s="297"/>
      <c r="AY104" s="297"/>
      <c r="AZ104" s="297"/>
      <c r="BA104" s="297"/>
      <c r="BB104" s="297"/>
      <c r="BC104" s="297"/>
      <c r="BD104" s="297"/>
      <c r="BE104" s="297"/>
      <c r="BF104" s="297"/>
    </row>
    <row r="105" spans="1:58" ht="12.75" customHeight="1">
      <c r="A105" s="346">
        <v>78</v>
      </c>
      <c r="B105" s="295">
        <v>1.52</v>
      </c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  <c r="AC105" s="297"/>
      <c r="AD105" s="297"/>
      <c r="AE105" s="297"/>
      <c r="AF105" s="297"/>
      <c r="AG105" s="297"/>
      <c r="AH105" s="297"/>
      <c r="AI105" s="297"/>
      <c r="AJ105" s="297"/>
      <c r="AK105" s="297"/>
      <c r="AL105" s="297"/>
      <c r="AM105" s="297"/>
      <c r="AN105" s="297"/>
      <c r="AO105" s="297"/>
      <c r="AP105" s="297"/>
      <c r="AQ105" s="297"/>
      <c r="AR105" s="297"/>
      <c r="AS105" s="297"/>
      <c r="AT105" s="297"/>
      <c r="AU105" s="297"/>
      <c r="AV105" s="297"/>
      <c r="AW105" s="297"/>
      <c r="AX105" s="297"/>
      <c r="AY105" s="297"/>
      <c r="AZ105" s="297"/>
      <c r="BA105" s="297"/>
      <c r="BB105" s="297"/>
      <c r="BC105" s="297"/>
      <c r="BD105" s="297"/>
      <c r="BE105" s="297"/>
      <c r="BF105" s="297"/>
    </row>
    <row r="106" spans="1:58" ht="12.75" customHeight="1">
      <c r="A106" s="346">
        <v>79</v>
      </c>
      <c r="B106" s="295">
        <v>1.53</v>
      </c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  <c r="AC106" s="297"/>
      <c r="AD106" s="297"/>
      <c r="AE106" s="297"/>
      <c r="AF106" s="297"/>
      <c r="AG106" s="297"/>
      <c r="AH106" s="297"/>
      <c r="AI106" s="297"/>
      <c r="AJ106" s="297"/>
      <c r="AK106" s="297"/>
      <c r="AL106" s="297"/>
      <c r="AM106" s="297"/>
      <c r="AN106" s="297"/>
      <c r="AO106" s="297"/>
      <c r="AP106" s="297"/>
      <c r="AQ106" s="297"/>
      <c r="AR106" s="297"/>
      <c r="AS106" s="297"/>
      <c r="AT106" s="297"/>
      <c r="AU106" s="297"/>
      <c r="AV106" s="297"/>
      <c r="AW106" s="297"/>
      <c r="AX106" s="297"/>
      <c r="AY106" s="297"/>
      <c r="AZ106" s="297"/>
      <c r="BA106" s="297"/>
      <c r="BB106" s="297"/>
      <c r="BC106" s="297"/>
      <c r="BD106" s="297"/>
      <c r="BE106" s="297"/>
      <c r="BF106" s="297"/>
    </row>
    <row r="107" spans="1:58" ht="12.75" customHeight="1">
      <c r="A107" s="346">
        <v>80</v>
      </c>
      <c r="B107" s="295">
        <v>1.55</v>
      </c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  <c r="AH107" s="297"/>
      <c r="AI107" s="297"/>
      <c r="AJ107" s="297"/>
      <c r="AK107" s="297"/>
      <c r="AL107" s="297"/>
      <c r="AM107" s="297"/>
      <c r="AN107" s="297"/>
      <c r="AO107" s="297"/>
      <c r="AP107" s="297"/>
      <c r="AQ107" s="297"/>
      <c r="AR107" s="297"/>
      <c r="AS107" s="297"/>
      <c r="AT107" s="297"/>
      <c r="AU107" s="297"/>
      <c r="AV107" s="297"/>
      <c r="AW107" s="297"/>
      <c r="AX107" s="297"/>
      <c r="AY107" s="297"/>
      <c r="AZ107" s="297"/>
      <c r="BA107" s="297"/>
      <c r="BB107" s="297"/>
      <c r="BC107" s="297"/>
      <c r="BD107" s="297"/>
      <c r="BE107" s="297"/>
      <c r="BF107" s="297"/>
    </row>
    <row r="108" spans="1:58" ht="12.75" customHeight="1">
      <c r="A108" s="346">
        <v>81</v>
      </c>
      <c r="B108" s="295">
        <v>1.56</v>
      </c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  <c r="AH108" s="297"/>
      <c r="AI108" s="297"/>
      <c r="AJ108" s="297"/>
      <c r="AK108" s="297"/>
      <c r="AL108" s="297"/>
      <c r="AM108" s="297"/>
      <c r="AN108" s="297"/>
      <c r="AO108" s="297"/>
      <c r="AP108" s="297"/>
      <c r="AQ108" s="297"/>
      <c r="AR108" s="297"/>
      <c r="AS108" s="297"/>
      <c r="AT108" s="297"/>
      <c r="AU108" s="297"/>
      <c r="AV108" s="297"/>
      <c r="AW108" s="297"/>
      <c r="AX108" s="297"/>
      <c r="AY108" s="297"/>
      <c r="AZ108" s="297"/>
      <c r="BA108" s="297"/>
      <c r="BB108" s="297"/>
      <c r="BC108" s="297"/>
      <c r="BD108" s="297"/>
      <c r="BE108" s="297"/>
      <c r="BF108" s="297"/>
    </row>
    <row r="109" spans="1:58" ht="12.75" customHeight="1">
      <c r="A109" s="346">
        <v>82</v>
      </c>
      <c r="B109" s="295">
        <v>1.58</v>
      </c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  <c r="AJ109" s="297"/>
      <c r="AK109" s="297"/>
      <c r="AL109" s="297"/>
      <c r="AM109" s="297"/>
      <c r="AN109" s="297"/>
      <c r="AO109" s="297"/>
      <c r="AP109" s="297"/>
      <c r="AQ109" s="297"/>
      <c r="AR109" s="297"/>
      <c r="AS109" s="297"/>
      <c r="AT109" s="297"/>
      <c r="AU109" s="297"/>
      <c r="AV109" s="297"/>
      <c r="AW109" s="297"/>
      <c r="AX109" s="297"/>
      <c r="AY109" s="297"/>
      <c r="AZ109" s="297"/>
      <c r="BA109" s="297"/>
      <c r="BB109" s="297"/>
      <c r="BC109" s="297"/>
      <c r="BD109" s="297"/>
      <c r="BE109" s="297"/>
      <c r="BF109" s="297"/>
    </row>
    <row r="110" spans="1:58" ht="12.75" customHeight="1">
      <c r="A110" s="346">
        <v>83</v>
      </c>
      <c r="B110" s="295">
        <v>1.59</v>
      </c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  <c r="AI110" s="297"/>
      <c r="AJ110" s="297"/>
      <c r="AK110" s="297"/>
      <c r="AL110" s="297"/>
      <c r="AM110" s="297"/>
      <c r="AN110" s="297"/>
      <c r="AO110" s="297"/>
      <c r="AP110" s="297"/>
      <c r="AQ110" s="297"/>
      <c r="AR110" s="297"/>
      <c r="AS110" s="297"/>
      <c r="AT110" s="297"/>
      <c r="AU110" s="297"/>
      <c r="AV110" s="297"/>
      <c r="AW110" s="297"/>
      <c r="AX110" s="297"/>
      <c r="AY110" s="297"/>
      <c r="AZ110" s="297"/>
      <c r="BA110" s="297"/>
      <c r="BB110" s="297"/>
      <c r="BC110" s="297"/>
      <c r="BD110" s="297"/>
      <c r="BE110" s="297"/>
      <c r="BF110" s="297"/>
    </row>
    <row r="111" spans="1:58" ht="12.75" customHeight="1">
      <c r="A111" s="346">
        <v>84</v>
      </c>
      <c r="B111" s="295">
        <v>1.61</v>
      </c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  <c r="AI111" s="297"/>
      <c r="AJ111" s="297"/>
      <c r="AK111" s="297"/>
      <c r="AL111" s="297"/>
      <c r="AM111" s="297"/>
      <c r="AN111" s="297"/>
      <c r="AO111" s="297"/>
      <c r="AP111" s="297"/>
      <c r="AQ111" s="297"/>
      <c r="AR111" s="297"/>
      <c r="AS111" s="297"/>
      <c r="AT111" s="297"/>
      <c r="AU111" s="297"/>
      <c r="AV111" s="297"/>
      <c r="AW111" s="297"/>
      <c r="AX111" s="297"/>
      <c r="AY111" s="297"/>
      <c r="AZ111" s="297"/>
      <c r="BA111" s="297"/>
      <c r="BB111" s="297"/>
      <c r="BC111" s="297"/>
      <c r="BD111" s="297"/>
      <c r="BE111" s="297"/>
      <c r="BF111" s="297"/>
    </row>
    <row r="112" spans="1:58" ht="12.75" customHeight="1">
      <c r="A112" s="346">
        <v>85</v>
      </c>
      <c r="B112" s="295">
        <v>1.62</v>
      </c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  <c r="AJ112" s="297"/>
      <c r="AK112" s="297"/>
      <c r="AL112" s="297"/>
      <c r="AM112" s="297"/>
      <c r="AN112" s="297"/>
      <c r="AO112" s="297"/>
      <c r="AP112" s="297"/>
      <c r="AQ112" s="297"/>
      <c r="AR112" s="297"/>
      <c r="AS112" s="297"/>
      <c r="AT112" s="297"/>
      <c r="AU112" s="297"/>
      <c r="AV112" s="297"/>
      <c r="AW112" s="297"/>
      <c r="AX112" s="297"/>
      <c r="AY112" s="297"/>
      <c r="AZ112" s="297"/>
      <c r="BA112" s="297"/>
      <c r="BB112" s="297"/>
      <c r="BC112" s="297"/>
      <c r="BD112" s="297"/>
      <c r="BE112" s="297"/>
      <c r="BF112" s="297"/>
    </row>
    <row r="113" spans="1:58" ht="12.75" customHeight="1">
      <c r="A113" s="346">
        <v>86</v>
      </c>
      <c r="B113" s="295">
        <v>1.64</v>
      </c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  <c r="AJ113" s="297"/>
      <c r="AK113" s="297"/>
      <c r="AL113" s="297"/>
      <c r="AM113" s="297"/>
      <c r="AN113" s="297"/>
      <c r="AO113" s="297"/>
      <c r="AP113" s="297"/>
      <c r="AQ113" s="297"/>
      <c r="AR113" s="297"/>
      <c r="AS113" s="297"/>
      <c r="AT113" s="297"/>
      <c r="AU113" s="297"/>
      <c r="AV113" s="297"/>
      <c r="AW113" s="297"/>
      <c r="AX113" s="297"/>
      <c r="AY113" s="297"/>
      <c r="AZ113" s="297"/>
      <c r="BA113" s="297"/>
      <c r="BB113" s="297"/>
      <c r="BC113" s="297"/>
      <c r="BD113" s="297"/>
      <c r="BE113" s="297"/>
      <c r="BF113" s="297"/>
    </row>
    <row r="114" spans="1:58" ht="12.75" customHeight="1">
      <c r="A114" s="346">
        <v>87</v>
      </c>
      <c r="B114" s="295">
        <v>1.66</v>
      </c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  <c r="AH114" s="297"/>
      <c r="AI114" s="297"/>
      <c r="AJ114" s="297"/>
      <c r="AK114" s="297"/>
      <c r="AL114" s="297"/>
      <c r="AM114" s="297"/>
      <c r="AN114" s="297"/>
      <c r="AO114" s="297"/>
      <c r="AP114" s="297"/>
      <c r="AQ114" s="297"/>
      <c r="AR114" s="297"/>
      <c r="AS114" s="297"/>
      <c r="AT114" s="297"/>
      <c r="AU114" s="297"/>
      <c r="AV114" s="297"/>
      <c r="AW114" s="297"/>
      <c r="AX114" s="297"/>
      <c r="AY114" s="297"/>
      <c r="AZ114" s="297"/>
      <c r="BA114" s="297"/>
      <c r="BB114" s="297"/>
      <c r="BC114" s="297"/>
      <c r="BD114" s="297"/>
      <c r="BE114" s="297"/>
      <c r="BF114" s="297"/>
    </row>
    <row r="115" spans="1:58" ht="12.75" customHeight="1">
      <c r="A115" s="346">
        <v>88</v>
      </c>
      <c r="B115" s="295">
        <v>1.68</v>
      </c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  <c r="AH115" s="297"/>
      <c r="AI115" s="297"/>
      <c r="AJ115" s="297"/>
      <c r="AK115" s="297"/>
      <c r="AL115" s="297"/>
      <c r="AM115" s="297"/>
      <c r="AN115" s="297"/>
      <c r="AO115" s="297"/>
      <c r="AP115" s="297"/>
      <c r="AQ115" s="297"/>
      <c r="AR115" s="297"/>
      <c r="AS115" s="297"/>
      <c r="AT115" s="297"/>
      <c r="AU115" s="297"/>
      <c r="AV115" s="297"/>
      <c r="AW115" s="297"/>
      <c r="AX115" s="297"/>
      <c r="AY115" s="297"/>
      <c r="AZ115" s="297"/>
      <c r="BA115" s="297"/>
      <c r="BB115" s="297"/>
      <c r="BC115" s="297"/>
      <c r="BD115" s="297"/>
      <c r="BE115" s="297"/>
      <c r="BF115" s="297"/>
    </row>
    <row r="116" spans="1:58" ht="12.75" customHeight="1">
      <c r="A116" s="346">
        <v>89</v>
      </c>
      <c r="B116" s="295">
        <v>1.69</v>
      </c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  <c r="AC116" s="297"/>
      <c r="AD116" s="297"/>
      <c r="AE116" s="297"/>
      <c r="AF116" s="297"/>
      <c r="AG116" s="297"/>
      <c r="AH116" s="297"/>
      <c r="AI116" s="297"/>
      <c r="AJ116" s="297"/>
      <c r="AK116" s="297"/>
      <c r="AL116" s="297"/>
      <c r="AM116" s="297"/>
      <c r="AN116" s="297"/>
      <c r="AO116" s="297"/>
      <c r="AP116" s="297"/>
      <c r="AQ116" s="297"/>
      <c r="AR116" s="297"/>
      <c r="AS116" s="297"/>
      <c r="AT116" s="297"/>
      <c r="AU116" s="297"/>
      <c r="AV116" s="297"/>
      <c r="AW116" s="297"/>
      <c r="AX116" s="297"/>
      <c r="AY116" s="297"/>
      <c r="AZ116" s="297"/>
      <c r="BA116" s="297"/>
      <c r="BB116" s="297"/>
      <c r="BC116" s="297"/>
      <c r="BD116" s="297"/>
      <c r="BE116" s="297"/>
      <c r="BF116" s="297"/>
    </row>
    <row r="117" spans="1:58" ht="12.75" customHeight="1">
      <c r="A117" s="346">
        <v>90</v>
      </c>
      <c r="B117" s="295">
        <v>1.71</v>
      </c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  <c r="AH117" s="297"/>
      <c r="AI117" s="297"/>
      <c r="AJ117" s="297"/>
      <c r="AK117" s="297"/>
      <c r="AL117" s="297"/>
      <c r="AM117" s="297"/>
      <c r="AN117" s="297"/>
      <c r="AO117" s="297"/>
      <c r="AP117" s="297"/>
      <c r="AQ117" s="297"/>
      <c r="AR117" s="297"/>
      <c r="AS117" s="297"/>
      <c r="AT117" s="297"/>
      <c r="AU117" s="297"/>
      <c r="AV117" s="297"/>
      <c r="AW117" s="297"/>
      <c r="AX117" s="297"/>
      <c r="AY117" s="297"/>
      <c r="AZ117" s="297"/>
      <c r="BA117" s="297"/>
      <c r="BB117" s="297"/>
      <c r="BC117" s="297"/>
      <c r="BD117" s="297"/>
      <c r="BE117" s="297"/>
      <c r="BF117" s="297"/>
    </row>
    <row r="118" spans="1:58" ht="12.75" customHeight="1">
      <c r="A118" s="346">
        <v>91</v>
      </c>
      <c r="B118" s="295">
        <v>1.73</v>
      </c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  <c r="AC118" s="297"/>
      <c r="AD118" s="297"/>
      <c r="AE118" s="297"/>
      <c r="AF118" s="297"/>
      <c r="AG118" s="297"/>
      <c r="AH118" s="297"/>
      <c r="AI118" s="297"/>
      <c r="AJ118" s="297"/>
      <c r="AK118" s="297"/>
      <c r="AL118" s="297"/>
      <c r="AM118" s="297"/>
      <c r="AN118" s="297"/>
      <c r="AO118" s="297"/>
      <c r="AP118" s="297"/>
      <c r="AQ118" s="297"/>
      <c r="AR118" s="297"/>
      <c r="AS118" s="297"/>
      <c r="AT118" s="297"/>
      <c r="AU118" s="297"/>
      <c r="AV118" s="297"/>
      <c r="AW118" s="297"/>
      <c r="AX118" s="297"/>
      <c r="AY118" s="297"/>
      <c r="AZ118" s="297"/>
      <c r="BA118" s="297"/>
      <c r="BB118" s="297"/>
      <c r="BC118" s="297"/>
      <c r="BD118" s="297"/>
      <c r="BE118" s="297"/>
      <c r="BF118" s="297"/>
    </row>
    <row r="119" spans="1:58" ht="12.75" customHeight="1">
      <c r="A119" s="346">
        <v>92</v>
      </c>
      <c r="B119" s="295">
        <v>1.74</v>
      </c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  <c r="AC119" s="297"/>
      <c r="AD119" s="297"/>
      <c r="AE119" s="297"/>
      <c r="AF119" s="297"/>
      <c r="AG119" s="297"/>
      <c r="AH119" s="297"/>
      <c r="AI119" s="297"/>
      <c r="AJ119" s="297"/>
      <c r="AK119" s="297"/>
      <c r="AL119" s="297"/>
      <c r="AM119" s="297"/>
      <c r="AN119" s="297"/>
      <c r="AO119" s="297"/>
      <c r="AP119" s="297"/>
      <c r="AQ119" s="297"/>
      <c r="AR119" s="297"/>
      <c r="AS119" s="297"/>
      <c r="AT119" s="297"/>
      <c r="AU119" s="297"/>
      <c r="AV119" s="297"/>
      <c r="AW119" s="297"/>
      <c r="AX119" s="297"/>
      <c r="AY119" s="297"/>
      <c r="AZ119" s="297"/>
      <c r="BA119" s="297"/>
      <c r="BB119" s="297"/>
      <c r="BC119" s="297"/>
      <c r="BD119" s="297"/>
      <c r="BE119" s="297"/>
      <c r="BF119" s="297"/>
    </row>
    <row r="120" spans="1:58" ht="12.75" customHeight="1">
      <c r="A120" s="346">
        <v>93</v>
      </c>
      <c r="B120" s="295">
        <v>1.76</v>
      </c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  <c r="AC120" s="297"/>
      <c r="AD120" s="297"/>
      <c r="AE120" s="297"/>
      <c r="AF120" s="297"/>
      <c r="AG120" s="297"/>
      <c r="AH120" s="297"/>
      <c r="AI120" s="297"/>
      <c r="AJ120" s="297"/>
      <c r="AK120" s="297"/>
      <c r="AL120" s="297"/>
      <c r="AM120" s="297"/>
      <c r="AN120" s="297"/>
      <c r="AO120" s="297"/>
      <c r="AP120" s="297"/>
      <c r="AQ120" s="297"/>
      <c r="AR120" s="297"/>
      <c r="AS120" s="297"/>
      <c r="AT120" s="297"/>
      <c r="AU120" s="297"/>
      <c r="AV120" s="297"/>
      <c r="AW120" s="297"/>
      <c r="AX120" s="297"/>
      <c r="AY120" s="297"/>
      <c r="AZ120" s="297"/>
      <c r="BA120" s="297"/>
      <c r="BB120" s="297"/>
      <c r="BC120" s="297"/>
      <c r="BD120" s="297"/>
      <c r="BE120" s="297"/>
      <c r="BF120" s="297"/>
    </row>
    <row r="121" spans="1:58" ht="12.75" customHeight="1">
      <c r="A121" s="346">
        <v>94</v>
      </c>
      <c r="B121" s="295">
        <v>1.78</v>
      </c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  <c r="AC121" s="297"/>
      <c r="AD121" s="297"/>
      <c r="AE121" s="297"/>
      <c r="AF121" s="297"/>
      <c r="AG121" s="297"/>
      <c r="AH121" s="297"/>
      <c r="AI121" s="297"/>
      <c r="AJ121" s="297"/>
      <c r="AK121" s="297"/>
      <c r="AL121" s="297"/>
      <c r="AM121" s="297"/>
      <c r="AN121" s="297"/>
      <c r="AO121" s="297"/>
      <c r="AP121" s="297"/>
      <c r="AQ121" s="297"/>
      <c r="AR121" s="297"/>
      <c r="AS121" s="297"/>
      <c r="AT121" s="297"/>
      <c r="AU121" s="297"/>
      <c r="AV121" s="297"/>
      <c r="AW121" s="297"/>
      <c r="AX121" s="297"/>
      <c r="AY121" s="297"/>
      <c r="AZ121" s="297"/>
      <c r="BA121" s="297"/>
      <c r="BB121" s="297"/>
      <c r="BC121" s="297"/>
      <c r="BD121" s="297"/>
      <c r="BE121" s="297"/>
      <c r="BF121" s="297"/>
    </row>
    <row r="122" spans="1:58" ht="12.75" customHeight="1">
      <c r="A122" s="346">
        <v>95</v>
      </c>
      <c r="B122" s="295">
        <v>1.8</v>
      </c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  <c r="AC122" s="297"/>
      <c r="AD122" s="297"/>
      <c r="AE122" s="297"/>
      <c r="AF122" s="297"/>
      <c r="AG122" s="297"/>
      <c r="AH122" s="297"/>
      <c r="AI122" s="297"/>
      <c r="AJ122" s="297"/>
      <c r="AK122" s="297"/>
      <c r="AL122" s="297"/>
      <c r="AM122" s="297"/>
      <c r="AN122" s="297"/>
      <c r="AO122" s="297"/>
      <c r="AP122" s="297"/>
      <c r="AQ122" s="297"/>
      <c r="AR122" s="297"/>
      <c r="AS122" s="297"/>
      <c r="AT122" s="297"/>
      <c r="AU122" s="297"/>
      <c r="AV122" s="297"/>
      <c r="AW122" s="297"/>
      <c r="AX122" s="297"/>
      <c r="AY122" s="297"/>
      <c r="AZ122" s="297"/>
      <c r="BA122" s="297"/>
      <c r="BB122" s="297"/>
      <c r="BC122" s="297"/>
      <c r="BD122" s="297"/>
      <c r="BE122" s="297"/>
      <c r="BF122" s="297"/>
    </row>
    <row r="123" spans="1:58" ht="12.75" customHeight="1">
      <c r="A123" s="346">
        <v>96</v>
      </c>
      <c r="B123" s="295">
        <v>1.82</v>
      </c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297"/>
      <c r="AB123" s="297"/>
      <c r="AC123" s="297"/>
      <c r="AD123" s="297"/>
      <c r="AE123" s="297"/>
      <c r="AF123" s="297"/>
      <c r="AG123" s="297"/>
      <c r="AH123" s="297"/>
      <c r="AI123" s="297"/>
      <c r="AJ123" s="297"/>
      <c r="AK123" s="297"/>
      <c r="AL123" s="297"/>
      <c r="AM123" s="297"/>
      <c r="AN123" s="297"/>
      <c r="AO123" s="297"/>
      <c r="AP123" s="297"/>
      <c r="AQ123" s="297"/>
      <c r="AR123" s="297"/>
      <c r="AS123" s="297"/>
      <c r="AT123" s="297"/>
      <c r="AU123" s="297"/>
      <c r="AV123" s="297"/>
      <c r="AW123" s="297"/>
      <c r="AX123" s="297"/>
      <c r="AY123" s="297"/>
      <c r="AZ123" s="297"/>
      <c r="BA123" s="297"/>
      <c r="BB123" s="297"/>
      <c r="BC123" s="297"/>
      <c r="BD123" s="297"/>
      <c r="BE123" s="297"/>
      <c r="BF123" s="297"/>
    </row>
    <row r="124" spans="1:58" ht="12.75" customHeight="1">
      <c r="A124" s="346">
        <v>97</v>
      </c>
      <c r="B124" s="295">
        <v>1.84</v>
      </c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97"/>
      <c r="AB124" s="297"/>
      <c r="AC124" s="297"/>
      <c r="AD124" s="297"/>
      <c r="AE124" s="297"/>
      <c r="AF124" s="297"/>
      <c r="AG124" s="297"/>
      <c r="AH124" s="297"/>
      <c r="AI124" s="297"/>
      <c r="AJ124" s="297"/>
      <c r="AK124" s="297"/>
      <c r="AL124" s="297"/>
      <c r="AM124" s="297"/>
      <c r="AN124" s="297"/>
      <c r="AO124" s="297"/>
      <c r="AP124" s="297"/>
      <c r="AQ124" s="297"/>
      <c r="AR124" s="297"/>
      <c r="AS124" s="297"/>
      <c r="AT124" s="297"/>
      <c r="AU124" s="297"/>
      <c r="AV124" s="297"/>
      <c r="AW124" s="297"/>
      <c r="AX124" s="297"/>
      <c r="AY124" s="297"/>
      <c r="AZ124" s="297"/>
      <c r="BA124" s="297"/>
      <c r="BB124" s="297"/>
      <c r="BC124" s="297"/>
      <c r="BD124" s="297"/>
      <c r="BE124" s="297"/>
      <c r="BF124" s="297"/>
    </row>
    <row r="125" spans="1:58" ht="12.75" customHeight="1">
      <c r="A125" s="346">
        <v>98</v>
      </c>
      <c r="B125" s="295">
        <v>1.86</v>
      </c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  <c r="AA125" s="297"/>
      <c r="AB125" s="297"/>
      <c r="AC125" s="297"/>
      <c r="AD125" s="297"/>
      <c r="AE125" s="297"/>
      <c r="AF125" s="297"/>
      <c r="AG125" s="297"/>
      <c r="AH125" s="297"/>
      <c r="AI125" s="297"/>
      <c r="AJ125" s="297"/>
      <c r="AK125" s="297"/>
      <c r="AL125" s="297"/>
      <c r="AM125" s="297"/>
      <c r="AN125" s="297"/>
      <c r="AO125" s="297"/>
      <c r="AP125" s="297"/>
      <c r="AQ125" s="297"/>
      <c r="AR125" s="297"/>
      <c r="AS125" s="297"/>
      <c r="AT125" s="297"/>
      <c r="AU125" s="297"/>
      <c r="AV125" s="297"/>
      <c r="AW125" s="297"/>
      <c r="AX125" s="297"/>
      <c r="AY125" s="297"/>
      <c r="AZ125" s="297"/>
      <c r="BA125" s="297"/>
      <c r="BB125" s="297"/>
      <c r="BC125" s="297"/>
      <c r="BD125" s="297"/>
      <c r="BE125" s="297"/>
      <c r="BF125" s="297"/>
    </row>
    <row r="126" spans="1:58" ht="12.75" customHeight="1">
      <c r="A126" s="346">
        <v>99</v>
      </c>
      <c r="B126" s="295">
        <v>1.88</v>
      </c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297"/>
      <c r="AB126" s="297"/>
      <c r="AC126" s="297"/>
      <c r="AD126" s="297"/>
      <c r="AE126" s="297"/>
      <c r="AF126" s="297"/>
      <c r="AG126" s="297"/>
      <c r="AH126" s="297"/>
      <c r="AI126" s="297"/>
      <c r="AJ126" s="297"/>
      <c r="AK126" s="297"/>
      <c r="AL126" s="297"/>
      <c r="AM126" s="297"/>
      <c r="AN126" s="297"/>
      <c r="AO126" s="297"/>
      <c r="AP126" s="297"/>
      <c r="AQ126" s="297"/>
      <c r="AR126" s="297"/>
      <c r="AS126" s="297"/>
      <c r="AT126" s="297"/>
      <c r="AU126" s="297"/>
      <c r="AV126" s="297"/>
      <c r="AW126" s="297"/>
      <c r="AX126" s="297"/>
      <c r="AY126" s="297"/>
      <c r="AZ126" s="297"/>
      <c r="BA126" s="297"/>
      <c r="BB126" s="297"/>
      <c r="BC126" s="297"/>
      <c r="BD126" s="297"/>
      <c r="BE126" s="297"/>
      <c r="BF126" s="297"/>
    </row>
    <row r="127" spans="1:58" ht="12.75" customHeight="1">
      <c r="A127" s="346">
        <v>100</v>
      </c>
      <c r="B127" s="295">
        <v>1.9</v>
      </c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297"/>
      <c r="AB127" s="297"/>
      <c r="AC127" s="297"/>
      <c r="AD127" s="297"/>
      <c r="AE127" s="297"/>
      <c r="AF127" s="297"/>
      <c r="AG127" s="297"/>
      <c r="AH127" s="297"/>
      <c r="AI127" s="297"/>
      <c r="AJ127" s="297"/>
      <c r="AK127" s="297"/>
      <c r="AL127" s="297"/>
      <c r="AM127" s="297"/>
      <c r="AN127" s="297"/>
      <c r="AO127" s="297"/>
      <c r="AP127" s="297"/>
      <c r="AQ127" s="297"/>
      <c r="AR127" s="297"/>
      <c r="AS127" s="297"/>
      <c r="AT127" s="297"/>
      <c r="AU127" s="297"/>
      <c r="AV127" s="297"/>
      <c r="AW127" s="297"/>
      <c r="AX127" s="297"/>
      <c r="AY127" s="297"/>
      <c r="AZ127" s="297"/>
      <c r="BA127" s="297"/>
      <c r="BB127" s="297"/>
      <c r="BC127" s="297"/>
      <c r="BD127" s="297"/>
      <c r="BE127" s="297"/>
      <c r="BF127" s="297"/>
    </row>
    <row r="128" spans="1:58" ht="12.75" customHeight="1">
      <c r="A128" s="346">
        <v>101</v>
      </c>
      <c r="B128" s="295">
        <v>1.92</v>
      </c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297"/>
      <c r="AB128" s="297"/>
      <c r="AC128" s="297"/>
      <c r="AD128" s="297"/>
      <c r="AE128" s="297"/>
      <c r="AF128" s="297"/>
      <c r="AG128" s="297"/>
      <c r="AH128" s="297"/>
      <c r="AI128" s="297"/>
      <c r="AJ128" s="297"/>
      <c r="AK128" s="297"/>
      <c r="AL128" s="297"/>
      <c r="AM128" s="297"/>
      <c r="AN128" s="297"/>
      <c r="AO128" s="297"/>
      <c r="AP128" s="297"/>
      <c r="AQ128" s="297"/>
      <c r="AR128" s="297"/>
      <c r="AS128" s="297"/>
      <c r="AT128" s="297"/>
      <c r="AU128" s="297"/>
      <c r="AV128" s="297"/>
      <c r="AW128" s="297"/>
      <c r="AX128" s="297"/>
      <c r="AY128" s="297"/>
      <c r="AZ128" s="297"/>
      <c r="BA128" s="297"/>
      <c r="BB128" s="297"/>
      <c r="BC128" s="297"/>
      <c r="BD128" s="297"/>
      <c r="BE128" s="297"/>
      <c r="BF128" s="297"/>
    </row>
    <row r="129" spans="1:58" ht="12.75" customHeight="1">
      <c r="A129" s="346">
        <v>102</v>
      </c>
      <c r="B129" s="295">
        <v>1.94</v>
      </c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297"/>
      <c r="AB129" s="297"/>
      <c r="AC129" s="297"/>
      <c r="AD129" s="297"/>
      <c r="AE129" s="297"/>
      <c r="AF129" s="297"/>
      <c r="AG129" s="297"/>
      <c r="AH129" s="297"/>
      <c r="AI129" s="297"/>
      <c r="AJ129" s="297"/>
      <c r="AK129" s="297"/>
      <c r="AL129" s="297"/>
      <c r="AM129" s="297"/>
      <c r="AN129" s="297"/>
      <c r="AO129" s="297"/>
      <c r="AP129" s="297"/>
      <c r="AQ129" s="297"/>
      <c r="AR129" s="297"/>
      <c r="AS129" s="297"/>
      <c r="AT129" s="297"/>
      <c r="AU129" s="297"/>
      <c r="AV129" s="297"/>
      <c r="AW129" s="297"/>
      <c r="AX129" s="297"/>
      <c r="AY129" s="297"/>
      <c r="AZ129" s="297"/>
      <c r="BA129" s="297"/>
      <c r="BB129" s="297"/>
      <c r="BC129" s="297"/>
      <c r="BD129" s="297"/>
      <c r="BE129" s="297"/>
      <c r="BF129" s="297"/>
    </row>
    <row r="130" spans="1:58" ht="12.75" customHeight="1">
      <c r="A130" s="346">
        <v>103</v>
      </c>
      <c r="B130" s="295">
        <v>1.96</v>
      </c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297"/>
      <c r="AB130" s="297"/>
      <c r="AC130" s="297"/>
      <c r="AD130" s="297"/>
      <c r="AE130" s="297"/>
      <c r="AF130" s="297"/>
      <c r="AG130" s="297"/>
      <c r="AH130" s="297"/>
      <c r="AI130" s="297"/>
      <c r="AJ130" s="297"/>
      <c r="AK130" s="297"/>
      <c r="AL130" s="297"/>
      <c r="AM130" s="297"/>
      <c r="AN130" s="297"/>
      <c r="AO130" s="297"/>
      <c r="AP130" s="297"/>
      <c r="AQ130" s="297"/>
      <c r="AR130" s="297"/>
      <c r="AS130" s="297"/>
      <c r="AT130" s="297"/>
      <c r="AU130" s="297"/>
      <c r="AV130" s="297"/>
      <c r="AW130" s="297"/>
      <c r="AX130" s="297"/>
      <c r="AY130" s="297"/>
      <c r="AZ130" s="297"/>
      <c r="BA130" s="297"/>
      <c r="BB130" s="297"/>
      <c r="BC130" s="297"/>
      <c r="BD130" s="297"/>
      <c r="BE130" s="297"/>
      <c r="BF130" s="297"/>
    </row>
    <row r="131" spans="1:58" ht="12.75" customHeight="1">
      <c r="A131" s="346">
        <v>104</v>
      </c>
      <c r="B131" s="295">
        <v>1.98</v>
      </c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297"/>
      <c r="AB131" s="297"/>
      <c r="AC131" s="297"/>
      <c r="AD131" s="297"/>
      <c r="AE131" s="297"/>
      <c r="AF131" s="297"/>
      <c r="AG131" s="297"/>
      <c r="AH131" s="297"/>
      <c r="AI131" s="297"/>
      <c r="AJ131" s="297"/>
      <c r="AK131" s="297"/>
      <c r="AL131" s="297"/>
      <c r="AM131" s="297"/>
      <c r="AN131" s="297"/>
      <c r="AO131" s="297"/>
      <c r="AP131" s="297"/>
      <c r="AQ131" s="297"/>
      <c r="AR131" s="297"/>
      <c r="AS131" s="297"/>
      <c r="AT131" s="297"/>
      <c r="AU131" s="297"/>
      <c r="AV131" s="297"/>
      <c r="AW131" s="297"/>
      <c r="AX131" s="297"/>
      <c r="AY131" s="297"/>
      <c r="AZ131" s="297"/>
      <c r="BA131" s="297"/>
      <c r="BB131" s="297"/>
      <c r="BC131" s="297"/>
      <c r="BD131" s="297"/>
      <c r="BE131" s="297"/>
      <c r="BF131" s="297"/>
    </row>
    <row r="132" spans="1:58" ht="12.75" customHeight="1">
      <c r="A132" s="346">
        <v>105</v>
      </c>
      <c r="B132" s="295">
        <v>2</v>
      </c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297"/>
      <c r="AB132" s="297"/>
      <c r="AC132" s="297"/>
      <c r="AD132" s="297"/>
      <c r="AE132" s="297"/>
      <c r="AF132" s="297"/>
      <c r="AG132" s="297"/>
      <c r="AH132" s="297"/>
      <c r="AI132" s="297"/>
      <c r="AJ132" s="297"/>
      <c r="AK132" s="297"/>
      <c r="AL132" s="297"/>
      <c r="AM132" s="297"/>
      <c r="AN132" s="297"/>
      <c r="AO132" s="297"/>
      <c r="AP132" s="297"/>
      <c r="AQ132" s="297"/>
      <c r="AR132" s="297"/>
      <c r="AS132" s="297"/>
      <c r="AT132" s="297"/>
      <c r="AU132" s="297"/>
      <c r="AV132" s="297"/>
      <c r="AW132" s="297"/>
      <c r="AX132" s="297"/>
      <c r="AY132" s="297"/>
      <c r="AZ132" s="297"/>
      <c r="BA132" s="297"/>
      <c r="BB132" s="297"/>
      <c r="BC132" s="297"/>
      <c r="BD132" s="297"/>
      <c r="BE132" s="297"/>
      <c r="BF132" s="297"/>
    </row>
    <row r="133" spans="1:58" ht="12.75" customHeight="1">
      <c r="A133" s="346">
        <v>106</v>
      </c>
      <c r="B133" s="295">
        <v>2.02</v>
      </c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297"/>
      <c r="AB133" s="297"/>
      <c r="AC133" s="297"/>
      <c r="AD133" s="297"/>
      <c r="AE133" s="297"/>
      <c r="AF133" s="297"/>
      <c r="AG133" s="297"/>
      <c r="AH133" s="297"/>
      <c r="AI133" s="297"/>
      <c r="AJ133" s="297"/>
      <c r="AK133" s="297"/>
      <c r="AL133" s="297"/>
      <c r="AM133" s="297"/>
      <c r="AN133" s="297"/>
      <c r="AO133" s="297"/>
      <c r="AP133" s="297"/>
      <c r="AQ133" s="297"/>
      <c r="AR133" s="297"/>
      <c r="AS133" s="297"/>
      <c r="AT133" s="297"/>
      <c r="AU133" s="297"/>
      <c r="AV133" s="297"/>
      <c r="AW133" s="297"/>
      <c r="AX133" s="297"/>
      <c r="AY133" s="297"/>
      <c r="AZ133" s="297"/>
      <c r="BA133" s="297"/>
      <c r="BB133" s="297"/>
      <c r="BC133" s="297"/>
      <c r="BD133" s="297"/>
      <c r="BE133" s="297"/>
      <c r="BF133" s="297"/>
    </row>
    <row r="134" spans="1:58" ht="12.75" customHeight="1">
      <c r="A134" s="346">
        <v>107</v>
      </c>
      <c r="B134" s="295">
        <v>2.0499999999999998</v>
      </c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297"/>
      <c r="AC134" s="297"/>
      <c r="AD134" s="297"/>
      <c r="AE134" s="297"/>
      <c r="AF134" s="297"/>
      <c r="AG134" s="297"/>
      <c r="AH134" s="297"/>
      <c r="AI134" s="297"/>
      <c r="AJ134" s="297"/>
      <c r="AK134" s="297"/>
      <c r="AL134" s="297"/>
      <c r="AM134" s="297"/>
      <c r="AN134" s="297"/>
      <c r="AO134" s="297"/>
      <c r="AP134" s="297"/>
      <c r="AQ134" s="297"/>
      <c r="AR134" s="297"/>
      <c r="AS134" s="297"/>
      <c r="AT134" s="297"/>
      <c r="AU134" s="297"/>
      <c r="AV134" s="297"/>
      <c r="AW134" s="297"/>
      <c r="AX134" s="297"/>
      <c r="AY134" s="297"/>
      <c r="AZ134" s="297"/>
      <c r="BA134" s="297"/>
      <c r="BB134" s="297"/>
      <c r="BC134" s="297"/>
      <c r="BD134" s="297"/>
      <c r="BE134" s="297"/>
      <c r="BF134" s="297"/>
    </row>
    <row r="135" spans="1:58" ht="12.75" customHeight="1">
      <c r="A135" s="346">
        <v>108</v>
      </c>
      <c r="B135" s="295">
        <v>2.0699999999999998</v>
      </c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297"/>
      <c r="AB135" s="297"/>
      <c r="AC135" s="297"/>
      <c r="AD135" s="297"/>
      <c r="AE135" s="297"/>
      <c r="AF135" s="297"/>
      <c r="AG135" s="297"/>
      <c r="AH135" s="297"/>
      <c r="AI135" s="297"/>
      <c r="AJ135" s="297"/>
      <c r="AK135" s="297"/>
      <c r="AL135" s="297"/>
      <c r="AM135" s="297"/>
      <c r="AN135" s="297"/>
      <c r="AO135" s="297"/>
      <c r="AP135" s="297"/>
      <c r="AQ135" s="297"/>
      <c r="AR135" s="297"/>
      <c r="AS135" s="297"/>
      <c r="AT135" s="297"/>
      <c r="AU135" s="297"/>
      <c r="AV135" s="297"/>
      <c r="AW135" s="297"/>
      <c r="AX135" s="297"/>
      <c r="AY135" s="297"/>
      <c r="AZ135" s="297"/>
      <c r="BA135" s="297"/>
      <c r="BB135" s="297"/>
      <c r="BC135" s="297"/>
      <c r="BD135" s="297"/>
      <c r="BE135" s="297"/>
      <c r="BF135" s="297"/>
    </row>
    <row r="136" spans="1:58" ht="12.75" customHeight="1">
      <c r="A136" s="346">
        <v>109</v>
      </c>
      <c r="B136" s="295">
        <v>2.09</v>
      </c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297"/>
      <c r="AB136" s="297"/>
      <c r="AC136" s="297"/>
      <c r="AD136" s="297"/>
      <c r="AE136" s="297"/>
      <c r="AF136" s="297"/>
      <c r="AG136" s="297"/>
      <c r="AH136" s="297"/>
      <c r="AI136" s="297"/>
      <c r="AJ136" s="297"/>
      <c r="AK136" s="297"/>
      <c r="AL136" s="297"/>
      <c r="AM136" s="297"/>
      <c r="AN136" s="297"/>
      <c r="AO136" s="297"/>
      <c r="AP136" s="297"/>
      <c r="AQ136" s="297"/>
      <c r="AR136" s="297"/>
      <c r="AS136" s="297"/>
      <c r="AT136" s="297"/>
      <c r="AU136" s="297"/>
      <c r="AV136" s="297"/>
      <c r="AW136" s="297"/>
      <c r="AX136" s="297"/>
      <c r="AY136" s="297"/>
      <c r="AZ136" s="297"/>
      <c r="BA136" s="297"/>
      <c r="BB136" s="297"/>
      <c r="BC136" s="297"/>
      <c r="BD136" s="297"/>
      <c r="BE136" s="297"/>
      <c r="BF136" s="297"/>
    </row>
    <row r="137" spans="1:58" ht="12.75" customHeight="1">
      <c r="A137" s="346">
        <v>110</v>
      </c>
      <c r="B137" s="295">
        <v>2.11</v>
      </c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  <c r="AC137" s="297"/>
      <c r="AD137" s="297"/>
      <c r="AE137" s="297"/>
      <c r="AF137" s="297"/>
      <c r="AG137" s="297"/>
      <c r="AH137" s="297"/>
      <c r="AI137" s="297"/>
      <c r="AJ137" s="297"/>
      <c r="AK137" s="297"/>
      <c r="AL137" s="297"/>
      <c r="AM137" s="297"/>
      <c r="AN137" s="297"/>
      <c r="AO137" s="297"/>
      <c r="AP137" s="297"/>
      <c r="AQ137" s="297"/>
      <c r="AR137" s="297"/>
      <c r="AS137" s="297"/>
      <c r="AT137" s="297"/>
      <c r="AU137" s="297"/>
      <c r="AV137" s="297"/>
      <c r="AW137" s="297"/>
      <c r="AX137" s="297"/>
      <c r="AY137" s="297"/>
      <c r="AZ137" s="297"/>
      <c r="BA137" s="297"/>
      <c r="BB137" s="297"/>
      <c r="BC137" s="297"/>
      <c r="BD137" s="297"/>
      <c r="BE137" s="297"/>
      <c r="BF137" s="297"/>
    </row>
    <row r="138" spans="1:58" ht="12.75" customHeight="1">
      <c r="A138" s="346">
        <v>111</v>
      </c>
      <c r="B138" s="295">
        <v>2.14</v>
      </c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297"/>
      <c r="AB138" s="297"/>
      <c r="AC138" s="297"/>
      <c r="AD138" s="297"/>
      <c r="AE138" s="297"/>
      <c r="AF138" s="297"/>
      <c r="AG138" s="297"/>
      <c r="AH138" s="297"/>
      <c r="AI138" s="297"/>
      <c r="AJ138" s="297"/>
      <c r="AK138" s="297"/>
      <c r="AL138" s="297"/>
      <c r="AM138" s="297"/>
      <c r="AN138" s="297"/>
      <c r="AO138" s="297"/>
      <c r="AP138" s="297"/>
      <c r="AQ138" s="297"/>
      <c r="AR138" s="297"/>
      <c r="AS138" s="297"/>
      <c r="AT138" s="297"/>
      <c r="AU138" s="297"/>
      <c r="AV138" s="297"/>
      <c r="AW138" s="297"/>
      <c r="AX138" s="297"/>
      <c r="AY138" s="297"/>
      <c r="AZ138" s="297"/>
      <c r="BA138" s="297"/>
      <c r="BB138" s="297"/>
      <c r="BC138" s="297"/>
      <c r="BD138" s="297"/>
      <c r="BE138" s="297"/>
      <c r="BF138" s="297"/>
    </row>
    <row r="139" spans="1:58" ht="12.75" customHeight="1">
      <c r="A139" s="346">
        <v>112</v>
      </c>
      <c r="B139" s="295">
        <v>2.16</v>
      </c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  <c r="AC139" s="297"/>
      <c r="AD139" s="297"/>
      <c r="AE139" s="297"/>
      <c r="AF139" s="297"/>
      <c r="AG139" s="297"/>
      <c r="AH139" s="297"/>
      <c r="AI139" s="297"/>
      <c r="AJ139" s="297"/>
      <c r="AK139" s="297"/>
      <c r="AL139" s="297"/>
      <c r="AM139" s="297"/>
      <c r="AN139" s="297"/>
      <c r="AO139" s="297"/>
      <c r="AP139" s="297"/>
      <c r="AQ139" s="297"/>
      <c r="AR139" s="297"/>
      <c r="AS139" s="297"/>
      <c r="AT139" s="297"/>
      <c r="AU139" s="297"/>
      <c r="AV139" s="297"/>
      <c r="AW139" s="297"/>
      <c r="AX139" s="297"/>
      <c r="AY139" s="297"/>
      <c r="AZ139" s="297"/>
      <c r="BA139" s="297"/>
      <c r="BB139" s="297"/>
      <c r="BC139" s="297"/>
      <c r="BD139" s="297"/>
      <c r="BE139" s="297"/>
      <c r="BF139" s="297"/>
    </row>
    <row r="140" spans="1:58" ht="12.75" customHeight="1">
      <c r="A140" s="346">
        <v>113</v>
      </c>
      <c r="B140" s="295">
        <v>2.1800000000000002</v>
      </c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97"/>
      <c r="AB140" s="297"/>
      <c r="AC140" s="297"/>
      <c r="AD140" s="297"/>
      <c r="AE140" s="297"/>
      <c r="AF140" s="297"/>
      <c r="AG140" s="297"/>
      <c r="AH140" s="297"/>
      <c r="AI140" s="297"/>
      <c r="AJ140" s="297"/>
      <c r="AK140" s="297"/>
      <c r="AL140" s="297"/>
      <c r="AM140" s="297"/>
      <c r="AN140" s="297"/>
      <c r="AO140" s="297"/>
      <c r="AP140" s="297"/>
      <c r="AQ140" s="297"/>
      <c r="AR140" s="297"/>
      <c r="AS140" s="297"/>
      <c r="AT140" s="297"/>
      <c r="AU140" s="297"/>
      <c r="AV140" s="297"/>
      <c r="AW140" s="297"/>
      <c r="AX140" s="297"/>
      <c r="AY140" s="297"/>
      <c r="AZ140" s="297"/>
      <c r="BA140" s="297"/>
      <c r="BB140" s="297"/>
      <c r="BC140" s="297"/>
      <c r="BD140" s="297"/>
      <c r="BE140" s="297"/>
      <c r="BF140" s="297"/>
    </row>
    <row r="141" spans="1:58" ht="12.75" customHeight="1">
      <c r="A141" s="346">
        <v>114</v>
      </c>
      <c r="B141" s="295">
        <v>2.21</v>
      </c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297"/>
      <c r="AB141" s="297"/>
      <c r="AC141" s="297"/>
      <c r="AD141" s="297"/>
      <c r="AE141" s="297"/>
      <c r="AF141" s="297"/>
      <c r="AG141" s="297"/>
      <c r="AH141" s="297"/>
      <c r="AI141" s="297"/>
      <c r="AJ141" s="297"/>
      <c r="AK141" s="297"/>
      <c r="AL141" s="297"/>
      <c r="AM141" s="297"/>
      <c r="AN141" s="297"/>
      <c r="AO141" s="297"/>
      <c r="AP141" s="297"/>
      <c r="AQ141" s="297"/>
      <c r="AR141" s="297"/>
      <c r="AS141" s="297"/>
      <c r="AT141" s="297"/>
      <c r="AU141" s="297"/>
      <c r="AV141" s="297"/>
      <c r="AW141" s="297"/>
      <c r="AX141" s="297"/>
      <c r="AY141" s="297"/>
      <c r="AZ141" s="297"/>
      <c r="BA141" s="297"/>
      <c r="BB141" s="297"/>
      <c r="BC141" s="297"/>
      <c r="BD141" s="297"/>
      <c r="BE141" s="297"/>
      <c r="BF141" s="297"/>
    </row>
    <row r="142" spans="1:58" ht="12.75" customHeight="1">
      <c r="A142" s="346">
        <v>115</v>
      </c>
      <c r="B142" s="295">
        <v>2.23</v>
      </c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  <c r="Z142" s="297"/>
      <c r="AA142" s="297"/>
      <c r="AB142" s="297"/>
      <c r="AC142" s="297"/>
      <c r="AD142" s="297"/>
      <c r="AE142" s="297"/>
      <c r="AF142" s="297"/>
      <c r="AG142" s="297"/>
      <c r="AH142" s="297"/>
      <c r="AI142" s="297"/>
      <c r="AJ142" s="297"/>
      <c r="AK142" s="297"/>
      <c r="AL142" s="297"/>
      <c r="AM142" s="297"/>
      <c r="AN142" s="297"/>
      <c r="AO142" s="297"/>
      <c r="AP142" s="297"/>
      <c r="AQ142" s="297"/>
      <c r="AR142" s="297"/>
      <c r="AS142" s="297"/>
      <c r="AT142" s="297"/>
      <c r="AU142" s="297"/>
      <c r="AV142" s="297"/>
      <c r="AW142" s="297"/>
      <c r="AX142" s="297"/>
      <c r="AY142" s="297"/>
      <c r="AZ142" s="297"/>
      <c r="BA142" s="297"/>
      <c r="BB142" s="297"/>
      <c r="BC142" s="297"/>
      <c r="BD142" s="297"/>
      <c r="BE142" s="297"/>
      <c r="BF142" s="297"/>
    </row>
    <row r="143" spans="1:58" ht="12.75" customHeight="1">
      <c r="A143" s="346">
        <v>116</v>
      </c>
      <c r="B143" s="295">
        <v>2.27</v>
      </c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  <c r="AC143" s="297"/>
      <c r="AD143" s="297"/>
      <c r="AE143" s="297"/>
      <c r="AF143" s="297"/>
      <c r="AG143" s="297"/>
      <c r="AH143" s="297"/>
      <c r="AI143" s="297"/>
      <c r="AJ143" s="297"/>
      <c r="AK143" s="297"/>
      <c r="AL143" s="297"/>
      <c r="AM143" s="297"/>
      <c r="AN143" s="297"/>
      <c r="AO143" s="297"/>
      <c r="AP143" s="297"/>
      <c r="AQ143" s="297"/>
      <c r="AR143" s="297"/>
      <c r="AS143" s="297"/>
      <c r="AT143" s="297"/>
      <c r="AU143" s="297"/>
      <c r="AV143" s="297"/>
      <c r="AW143" s="297"/>
      <c r="AX143" s="297"/>
      <c r="AY143" s="297"/>
      <c r="AZ143" s="297"/>
      <c r="BA143" s="297"/>
      <c r="BB143" s="297"/>
      <c r="BC143" s="297"/>
      <c r="BD143" s="297"/>
      <c r="BE143" s="297"/>
      <c r="BF143" s="297"/>
    </row>
    <row r="144" spans="1:58" ht="12.75" customHeight="1">
      <c r="A144" s="346">
        <v>117</v>
      </c>
      <c r="B144" s="295">
        <v>2.31</v>
      </c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7"/>
      <c r="AB144" s="297"/>
      <c r="AC144" s="297"/>
      <c r="AD144" s="297"/>
      <c r="AE144" s="297"/>
      <c r="AF144" s="297"/>
      <c r="AG144" s="297"/>
      <c r="AH144" s="297"/>
      <c r="AI144" s="297"/>
      <c r="AJ144" s="297"/>
      <c r="AK144" s="297"/>
      <c r="AL144" s="297"/>
      <c r="AM144" s="297"/>
      <c r="AN144" s="297"/>
      <c r="AO144" s="297"/>
      <c r="AP144" s="297"/>
      <c r="AQ144" s="297"/>
      <c r="AR144" s="297"/>
      <c r="AS144" s="297"/>
      <c r="AT144" s="297"/>
      <c r="AU144" s="297"/>
      <c r="AV144" s="297"/>
      <c r="AW144" s="297"/>
      <c r="AX144" s="297"/>
      <c r="AY144" s="297"/>
      <c r="AZ144" s="297"/>
      <c r="BA144" s="297"/>
      <c r="BB144" s="297"/>
      <c r="BC144" s="297"/>
      <c r="BD144" s="297"/>
      <c r="BE144" s="297"/>
      <c r="BF144" s="297"/>
    </row>
    <row r="145" spans="1:58" ht="12.75" customHeight="1">
      <c r="A145" s="346">
        <v>118</v>
      </c>
      <c r="B145" s="295">
        <v>2.35</v>
      </c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  <c r="AA145" s="297"/>
      <c r="AB145" s="297"/>
      <c r="AC145" s="297"/>
      <c r="AD145" s="297"/>
      <c r="AE145" s="297"/>
      <c r="AF145" s="297"/>
      <c r="AG145" s="297"/>
      <c r="AH145" s="297"/>
      <c r="AI145" s="297"/>
      <c r="AJ145" s="297"/>
      <c r="AK145" s="297"/>
      <c r="AL145" s="297"/>
      <c r="AM145" s="297"/>
      <c r="AN145" s="297"/>
      <c r="AO145" s="297"/>
      <c r="AP145" s="297"/>
      <c r="AQ145" s="297"/>
      <c r="AR145" s="297"/>
      <c r="AS145" s="297"/>
      <c r="AT145" s="297"/>
      <c r="AU145" s="297"/>
      <c r="AV145" s="297"/>
      <c r="AW145" s="297"/>
      <c r="AX145" s="297"/>
      <c r="AY145" s="297"/>
      <c r="AZ145" s="297"/>
      <c r="BA145" s="297"/>
      <c r="BB145" s="297"/>
      <c r="BC145" s="297"/>
      <c r="BD145" s="297"/>
      <c r="BE145" s="297"/>
      <c r="BF145" s="297"/>
    </row>
    <row r="146" spans="1:58" ht="12.75" customHeight="1">
      <c r="A146" s="346">
        <v>119</v>
      </c>
      <c r="B146" s="295">
        <v>2.39</v>
      </c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97"/>
      <c r="AB146" s="297"/>
      <c r="AC146" s="297"/>
      <c r="AD146" s="297"/>
      <c r="AE146" s="297"/>
      <c r="AF146" s="297"/>
      <c r="AG146" s="297"/>
      <c r="AH146" s="297"/>
      <c r="AI146" s="297"/>
      <c r="AJ146" s="297"/>
      <c r="AK146" s="297"/>
      <c r="AL146" s="297"/>
      <c r="AM146" s="297"/>
      <c r="AN146" s="297"/>
      <c r="AO146" s="297"/>
      <c r="AP146" s="297"/>
      <c r="AQ146" s="297"/>
      <c r="AR146" s="297"/>
      <c r="AS146" s="297"/>
      <c r="AT146" s="297"/>
      <c r="AU146" s="297"/>
      <c r="AV146" s="297"/>
      <c r="AW146" s="297"/>
      <c r="AX146" s="297"/>
      <c r="AY146" s="297"/>
      <c r="AZ146" s="297"/>
      <c r="BA146" s="297"/>
      <c r="BB146" s="297"/>
      <c r="BC146" s="297"/>
      <c r="BD146" s="297"/>
      <c r="BE146" s="297"/>
      <c r="BF146" s="297"/>
    </row>
    <row r="147" spans="1:58" ht="12.75" customHeight="1">
      <c r="A147" s="346">
        <v>120</v>
      </c>
      <c r="B147" s="295">
        <v>2.4300000000000002</v>
      </c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7"/>
      <c r="AB147" s="297"/>
      <c r="AC147" s="297"/>
      <c r="AD147" s="297"/>
      <c r="AE147" s="297"/>
      <c r="AF147" s="297"/>
      <c r="AG147" s="297"/>
      <c r="AH147" s="297"/>
      <c r="AI147" s="297"/>
      <c r="AJ147" s="297"/>
      <c r="AK147" s="297"/>
      <c r="AL147" s="297"/>
      <c r="AM147" s="297"/>
      <c r="AN147" s="297"/>
      <c r="AO147" s="297"/>
      <c r="AP147" s="297"/>
      <c r="AQ147" s="297"/>
      <c r="AR147" s="297"/>
      <c r="AS147" s="297"/>
      <c r="AT147" s="297"/>
      <c r="AU147" s="297"/>
      <c r="AV147" s="297"/>
      <c r="AW147" s="297"/>
      <c r="AX147" s="297"/>
      <c r="AY147" s="297"/>
      <c r="AZ147" s="297"/>
      <c r="BA147" s="297"/>
      <c r="BB147" s="297"/>
      <c r="BC147" s="297"/>
      <c r="BD147" s="297"/>
      <c r="BE147" s="297"/>
      <c r="BF147" s="297"/>
    </row>
    <row r="148" spans="1:58" ht="12.75" customHeight="1">
      <c r="A148" s="346">
        <v>121</v>
      </c>
      <c r="B148" s="295">
        <v>2.4700000000000002</v>
      </c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297"/>
      <c r="AB148" s="297"/>
      <c r="AC148" s="297"/>
      <c r="AD148" s="297"/>
      <c r="AE148" s="297"/>
      <c r="AF148" s="297"/>
      <c r="AG148" s="297"/>
      <c r="AH148" s="297"/>
      <c r="AI148" s="297"/>
      <c r="AJ148" s="297"/>
      <c r="AK148" s="297"/>
      <c r="AL148" s="297"/>
      <c r="AM148" s="297"/>
      <c r="AN148" s="297"/>
      <c r="AO148" s="297"/>
      <c r="AP148" s="297"/>
      <c r="AQ148" s="297"/>
      <c r="AR148" s="297"/>
      <c r="AS148" s="297"/>
      <c r="AT148" s="297"/>
      <c r="AU148" s="297"/>
      <c r="AV148" s="297"/>
      <c r="AW148" s="297"/>
      <c r="AX148" s="297"/>
      <c r="AY148" s="297"/>
      <c r="AZ148" s="297"/>
      <c r="BA148" s="297"/>
      <c r="BB148" s="297"/>
      <c r="BC148" s="297"/>
      <c r="BD148" s="297"/>
      <c r="BE148" s="297"/>
      <c r="BF148" s="297"/>
    </row>
    <row r="149" spans="1:58" ht="12.75" customHeight="1">
      <c r="A149" s="346">
        <v>122</v>
      </c>
      <c r="B149" s="295">
        <v>2.5099999999999998</v>
      </c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  <c r="AA149" s="297"/>
      <c r="AB149" s="297"/>
      <c r="AC149" s="297"/>
      <c r="AD149" s="297"/>
      <c r="AE149" s="297"/>
      <c r="AF149" s="297"/>
      <c r="AG149" s="297"/>
      <c r="AH149" s="297"/>
      <c r="AI149" s="297"/>
      <c r="AJ149" s="297"/>
      <c r="AK149" s="297"/>
      <c r="AL149" s="297"/>
      <c r="AM149" s="297"/>
      <c r="AN149" s="297"/>
      <c r="AO149" s="297"/>
      <c r="AP149" s="297"/>
      <c r="AQ149" s="297"/>
      <c r="AR149" s="297"/>
      <c r="AS149" s="297"/>
      <c r="AT149" s="297"/>
      <c r="AU149" s="297"/>
      <c r="AV149" s="297"/>
      <c r="AW149" s="297"/>
      <c r="AX149" s="297"/>
      <c r="AY149" s="297"/>
      <c r="AZ149" s="297"/>
      <c r="BA149" s="297"/>
      <c r="BB149" s="297"/>
      <c r="BC149" s="297"/>
      <c r="BD149" s="297"/>
      <c r="BE149" s="297"/>
      <c r="BF149" s="297"/>
    </row>
    <row r="150" spans="1:58" ht="12.75" customHeight="1">
      <c r="A150" s="346">
        <v>123</v>
      </c>
      <c r="B150" s="295">
        <v>2.5499999999999998</v>
      </c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297"/>
      <c r="AB150" s="297"/>
      <c r="AC150" s="297"/>
      <c r="AD150" s="297"/>
      <c r="AE150" s="297"/>
      <c r="AF150" s="297"/>
      <c r="AG150" s="297"/>
      <c r="AH150" s="297"/>
      <c r="AI150" s="297"/>
      <c r="AJ150" s="297"/>
      <c r="AK150" s="297"/>
      <c r="AL150" s="297"/>
      <c r="AM150" s="297"/>
      <c r="AN150" s="297"/>
      <c r="AO150" s="297"/>
      <c r="AP150" s="297"/>
      <c r="AQ150" s="297"/>
      <c r="AR150" s="297"/>
      <c r="AS150" s="297"/>
      <c r="AT150" s="297"/>
      <c r="AU150" s="297"/>
      <c r="AV150" s="297"/>
      <c r="AW150" s="297"/>
      <c r="AX150" s="297"/>
      <c r="AY150" s="297"/>
      <c r="AZ150" s="297"/>
      <c r="BA150" s="297"/>
      <c r="BB150" s="297"/>
      <c r="BC150" s="297"/>
      <c r="BD150" s="297"/>
      <c r="BE150" s="297"/>
      <c r="BF150" s="297"/>
    </row>
    <row r="151" spans="1:58" ht="12.75" customHeight="1">
      <c r="A151" s="346">
        <v>124</v>
      </c>
      <c r="B151" s="295">
        <v>2.6</v>
      </c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7"/>
      <c r="AB151" s="297"/>
      <c r="AC151" s="297"/>
      <c r="AD151" s="297"/>
      <c r="AE151" s="297"/>
      <c r="AF151" s="297"/>
      <c r="AG151" s="297"/>
      <c r="AH151" s="297"/>
      <c r="AI151" s="297"/>
      <c r="AJ151" s="297"/>
      <c r="AK151" s="297"/>
      <c r="AL151" s="297"/>
      <c r="AM151" s="297"/>
      <c r="AN151" s="297"/>
      <c r="AO151" s="297"/>
      <c r="AP151" s="297"/>
      <c r="AQ151" s="297"/>
      <c r="AR151" s="297"/>
      <c r="AS151" s="297"/>
      <c r="AT151" s="297"/>
      <c r="AU151" s="297"/>
      <c r="AV151" s="297"/>
      <c r="AW151" s="297"/>
      <c r="AX151" s="297"/>
      <c r="AY151" s="297"/>
      <c r="AZ151" s="297"/>
      <c r="BA151" s="297"/>
      <c r="BB151" s="297"/>
      <c r="BC151" s="297"/>
      <c r="BD151" s="297"/>
      <c r="BE151" s="297"/>
      <c r="BF151" s="297"/>
    </row>
    <row r="152" spans="1:58" ht="12.75" customHeight="1">
      <c r="A152" s="346">
        <v>125</v>
      </c>
      <c r="B152" s="295">
        <v>2.64</v>
      </c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97"/>
      <c r="AB152" s="297"/>
      <c r="AC152" s="297"/>
      <c r="AD152" s="297"/>
      <c r="AE152" s="297"/>
      <c r="AF152" s="297"/>
      <c r="AG152" s="297"/>
      <c r="AH152" s="297"/>
      <c r="AI152" s="297"/>
      <c r="AJ152" s="297"/>
      <c r="AK152" s="297"/>
      <c r="AL152" s="297"/>
      <c r="AM152" s="297"/>
      <c r="AN152" s="297"/>
      <c r="AO152" s="297"/>
      <c r="AP152" s="297"/>
      <c r="AQ152" s="297"/>
      <c r="AR152" s="297"/>
      <c r="AS152" s="297"/>
      <c r="AT152" s="297"/>
      <c r="AU152" s="297"/>
      <c r="AV152" s="297"/>
      <c r="AW152" s="297"/>
      <c r="AX152" s="297"/>
      <c r="AY152" s="297"/>
      <c r="AZ152" s="297"/>
      <c r="BA152" s="297"/>
      <c r="BB152" s="297"/>
      <c r="BC152" s="297"/>
      <c r="BD152" s="297"/>
      <c r="BE152" s="297"/>
      <c r="BF152" s="297"/>
    </row>
    <row r="153" spans="1:58" ht="12.75" customHeight="1">
      <c r="A153" s="346">
        <v>126</v>
      </c>
      <c r="B153" s="295">
        <v>2.68</v>
      </c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  <c r="AC153" s="297"/>
      <c r="AD153" s="297"/>
      <c r="AE153" s="297"/>
      <c r="AF153" s="297"/>
      <c r="AG153" s="297"/>
      <c r="AH153" s="297"/>
      <c r="AI153" s="297"/>
      <c r="AJ153" s="297"/>
      <c r="AK153" s="297"/>
      <c r="AL153" s="297"/>
      <c r="AM153" s="297"/>
      <c r="AN153" s="297"/>
      <c r="AO153" s="297"/>
      <c r="AP153" s="297"/>
      <c r="AQ153" s="297"/>
      <c r="AR153" s="297"/>
      <c r="AS153" s="297"/>
      <c r="AT153" s="297"/>
      <c r="AU153" s="297"/>
      <c r="AV153" s="297"/>
      <c r="AW153" s="297"/>
      <c r="AX153" s="297"/>
      <c r="AY153" s="297"/>
      <c r="AZ153" s="297"/>
      <c r="BA153" s="297"/>
      <c r="BB153" s="297"/>
      <c r="BC153" s="297"/>
      <c r="BD153" s="297"/>
      <c r="BE153" s="297"/>
      <c r="BF153" s="297"/>
    </row>
    <row r="154" spans="1:58" ht="12.75" customHeight="1">
      <c r="A154" s="346">
        <v>127</v>
      </c>
      <c r="B154" s="295">
        <v>2.72</v>
      </c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  <c r="AA154" s="297"/>
      <c r="AB154" s="297"/>
      <c r="AC154" s="297"/>
      <c r="AD154" s="297"/>
      <c r="AE154" s="297"/>
      <c r="AF154" s="297"/>
      <c r="AG154" s="297"/>
      <c r="AH154" s="297"/>
      <c r="AI154" s="297"/>
      <c r="AJ154" s="297"/>
      <c r="AK154" s="297"/>
      <c r="AL154" s="297"/>
      <c r="AM154" s="297"/>
      <c r="AN154" s="297"/>
      <c r="AO154" s="297"/>
      <c r="AP154" s="297"/>
      <c r="AQ154" s="297"/>
      <c r="AR154" s="297"/>
      <c r="AS154" s="297"/>
      <c r="AT154" s="297"/>
      <c r="AU154" s="297"/>
      <c r="AV154" s="297"/>
      <c r="AW154" s="297"/>
      <c r="AX154" s="297"/>
      <c r="AY154" s="297"/>
      <c r="AZ154" s="297"/>
      <c r="BA154" s="297"/>
      <c r="BB154" s="297"/>
      <c r="BC154" s="297"/>
      <c r="BD154" s="297"/>
      <c r="BE154" s="297"/>
      <c r="BF154" s="297"/>
    </row>
    <row r="155" spans="1:58" ht="12.75" customHeight="1">
      <c r="A155" s="346">
        <v>128</v>
      </c>
      <c r="B155" s="295">
        <v>2.77</v>
      </c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297"/>
      <c r="AB155" s="297"/>
      <c r="AC155" s="297"/>
      <c r="AD155" s="297"/>
      <c r="AE155" s="297"/>
      <c r="AF155" s="297"/>
      <c r="AG155" s="297"/>
      <c r="AH155" s="297"/>
      <c r="AI155" s="297"/>
      <c r="AJ155" s="297"/>
      <c r="AK155" s="297"/>
      <c r="AL155" s="297"/>
      <c r="AM155" s="297"/>
      <c r="AN155" s="297"/>
      <c r="AO155" s="297"/>
      <c r="AP155" s="297"/>
      <c r="AQ155" s="297"/>
      <c r="AR155" s="297"/>
      <c r="AS155" s="297"/>
      <c r="AT155" s="297"/>
      <c r="AU155" s="297"/>
      <c r="AV155" s="297"/>
      <c r="AW155" s="297"/>
      <c r="AX155" s="297"/>
      <c r="AY155" s="297"/>
      <c r="AZ155" s="297"/>
      <c r="BA155" s="297"/>
      <c r="BB155" s="297"/>
      <c r="BC155" s="297"/>
      <c r="BD155" s="297"/>
      <c r="BE155" s="297"/>
      <c r="BF155" s="297"/>
    </row>
    <row r="156" spans="1:58" ht="12.75" customHeight="1">
      <c r="A156" s="346">
        <v>129</v>
      </c>
      <c r="B156" s="295">
        <v>2.81</v>
      </c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  <c r="AA156" s="297"/>
      <c r="AB156" s="297"/>
      <c r="AC156" s="297"/>
      <c r="AD156" s="297"/>
      <c r="AE156" s="297"/>
      <c r="AF156" s="297"/>
      <c r="AG156" s="297"/>
      <c r="AH156" s="297"/>
      <c r="AI156" s="297"/>
      <c r="AJ156" s="297"/>
      <c r="AK156" s="297"/>
      <c r="AL156" s="297"/>
      <c r="AM156" s="297"/>
      <c r="AN156" s="297"/>
      <c r="AO156" s="297"/>
      <c r="AP156" s="297"/>
      <c r="AQ156" s="297"/>
      <c r="AR156" s="297"/>
      <c r="AS156" s="297"/>
      <c r="AT156" s="297"/>
      <c r="AU156" s="297"/>
      <c r="AV156" s="297"/>
      <c r="AW156" s="297"/>
      <c r="AX156" s="297"/>
      <c r="AY156" s="297"/>
      <c r="AZ156" s="297"/>
      <c r="BA156" s="297"/>
      <c r="BB156" s="297"/>
      <c r="BC156" s="297"/>
      <c r="BD156" s="297"/>
      <c r="BE156" s="297"/>
      <c r="BF156" s="297"/>
    </row>
    <row r="157" spans="1:58" ht="12.75" customHeight="1">
      <c r="A157" s="346">
        <v>130</v>
      </c>
      <c r="B157" s="295">
        <v>2.85</v>
      </c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  <c r="Z157" s="297"/>
      <c r="AA157" s="297"/>
      <c r="AB157" s="297"/>
      <c r="AC157" s="297"/>
      <c r="AD157" s="297"/>
      <c r="AE157" s="297"/>
      <c r="AF157" s="297"/>
      <c r="AG157" s="297"/>
      <c r="AH157" s="297"/>
      <c r="AI157" s="297"/>
      <c r="AJ157" s="297"/>
      <c r="AK157" s="297"/>
      <c r="AL157" s="297"/>
      <c r="AM157" s="297"/>
      <c r="AN157" s="297"/>
      <c r="AO157" s="297"/>
      <c r="AP157" s="297"/>
      <c r="AQ157" s="297"/>
      <c r="AR157" s="297"/>
      <c r="AS157" s="297"/>
      <c r="AT157" s="297"/>
      <c r="AU157" s="297"/>
      <c r="AV157" s="297"/>
      <c r="AW157" s="297"/>
      <c r="AX157" s="297"/>
      <c r="AY157" s="297"/>
      <c r="AZ157" s="297"/>
      <c r="BA157" s="297"/>
      <c r="BB157" s="297"/>
      <c r="BC157" s="297"/>
      <c r="BD157" s="297"/>
      <c r="BE157" s="297"/>
      <c r="BF157" s="297"/>
    </row>
    <row r="158" spans="1:58" ht="12.75" customHeight="1">
      <c r="A158" s="346">
        <v>131</v>
      </c>
      <c r="B158" s="295">
        <v>2.9</v>
      </c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297"/>
      <c r="AB158" s="297"/>
      <c r="AC158" s="297"/>
      <c r="AD158" s="297"/>
      <c r="AE158" s="297"/>
      <c r="AF158" s="297"/>
      <c r="AG158" s="297"/>
      <c r="AH158" s="297"/>
      <c r="AI158" s="297"/>
      <c r="AJ158" s="297"/>
      <c r="AK158" s="297"/>
      <c r="AL158" s="297"/>
      <c r="AM158" s="297"/>
      <c r="AN158" s="297"/>
      <c r="AO158" s="297"/>
      <c r="AP158" s="297"/>
      <c r="AQ158" s="297"/>
      <c r="AR158" s="297"/>
      <c r="AS158" s="297"/>
      <c r="AT158" s="297"/>
      <c r="AU158" s="297"/>
      <c r="AV158" s="297"/>
      <c r="AW158" s="297"/>
      <c r="AX158" s="297"/>
      <c r="AY158" s="297"/>
      <c r="AZ158" s="297"/>
      <c r="BA158" s="297"/>
      <c r="BB158" s="297"/>
      <c r="BC158" s="297"/>
      <c r="BD158" s="297"/>
      <c r="BE158" s="297"/>
      <c r="BF158" s="297"/>
    </row>
    <row r="159" spans="1:58" ht="12.75" customHeight="1">
      <c r="A159" s="346">
        <v>132</v>
      </c>
      <c r="B159" s="295">
        <v>2.94</v>
      </c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297"/>
      <c r="AB159" s="297"/>
      <c r="AC159" s="297"/>
      <c r="AD159" s="297"/>
      <c r="AE159" s="297"/>
      <c r="AF159" s="297"/>
      <c r="AG159" s="297"/>
      <c r="AH159" s="297"/>
      <c r="AI159" s="297"/>
      <c r="AJ159" s="297"/>
      <c r="AK159" s="297"/>
      <c r="AL159" s="297"/>
      <c r="AM159" s="297"/>
      <c r="AN159" s="297"/>
      <c r="AO159" s="297"/>
      <c r="AP159" s="297"/>
      <c r="AQ159" s="297"/>
      <c r="AR159" s="297"/>
      <c r="AS159" s="297"/>
      <c r="AT159" s="297"/>
      <c r="AU159" s="297"/>
      <c r="AV159" s="297"/>
      <c r="AW159" s="297"/>
      <c r="AX159" s="297"/>
      <c r="AY159" s="297"/>
      <c r="AZ159" s="297"/>
      <c r="BA159" s="297"/>
      <c r="BB159" s="297"/>
      <c r="BC159" s="297"/>
      <c r="BD159" s="297"/>
      <c r="BE159" s="297"/>
      <c r="BF159" s="297"/>
    </row>
    <row r="160" spans="1:58" ht="12.75" customHeight="1">
      <c r="A160" s="346">
        <v>133</v>
      </c>
      <c r="B160" s="295">
        <v>2.99</v>
      </c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297"/>
      <c r="AB160" s="297"/>
      <c r="AC160" s="297"/>
      <c r="AD160" s="297"/>
      <c r="AE160" s="297"/>
      <c r="AF160" s="297"/>
      <c r="AG160" s="297"/>
      <c r="AH160" s="297"/>
      <c r="AI160" s="297"/>
      <c r="AJ160" s="297"/>
      <c r="AK160" s="297"/>
      <c r="AL160" s="297"/>
      <c r="AM160" s="297"/>
      <c r="AN160" s="297"/>
      <c r="AO160" s="297"/>
      <c r="AP160" s="297"/>
      <c r="AQ160" s="297"/>
      <c r="AR160" s="297"/>
      <c r="AS160" s="297"/>
      <c r="AT160" s="297"/>
      <c r="AU160" s="297"/>
      <c r="AV160" s="297"/>
      <c r="AW160" s="297"/>
      <c r="AX160" s="297"/>
      <c r="AY160" s="297"/>
      <c r="AZ160" s="297"/>
      <c r="BA160" s="297"/>
      <c r="BB160" s="297"/>
      <c r="BC160" s="297"/>
      <c r="BD160" s="297"/>
      <c r="BE160" s="297"/>
      <c r="BF160" s="297"/>
    </row>
    <row r="161" spans="1:58" ht="12.75" customHeight="1">
      <c r="A161" s="346">
        <v>134</v>
      </c>
      <c r="B161" s="295">
        <v>3.03</v>
      </c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297"/>
      <c r="AB161" s="297"/>
      <c r="AC161" s="297"/>
      <c r="AD161" s="297"/>
      <c r="AE161" s="297"/>
      <c r="AF161" s="297"/>
      <c r="AG161" s="297"/>
      <c r="AH161" s="297"/>
      <c r="AI161" s="297"/>
      <c r="AJ161" s="297"/>
      <c r="AK161" s="297"/>
      <c r="AL161" s="297"/>
      <c r="AM161" s="297"/>
      <c r="AN161" s="297"/>
      <c r="AO161" s="297"/>
      <c r="AP161" s="297"/>
      <c r="AQ161" s="297"/>
      <c r="AR161" s="297"/>
      <c r="AS161" s="297"/>
      <c r="AT161" s="297"/>
      <c r="AU161" s="297"/>
      <c r="AV161" s="297"/>
      <c r="AW161" s="297"/>
      <c r="AX161" s="297"/>
      <c r="AY161" s="297"/>
      <c r="AZ161" s="297"/>
      <c r="BA161" s="297"/>
      <c r="BB161" s="297"/>
      <c r="BC161" s="297"/>
      <c r="BD161" s="297"/>
      <c r="BE161" s="297"/>
      <c r="BF161" s="297"/>
    </row>
    <row r="162" spans="1:58" ht="12.75" customHeight="1">
      <c r="A162" s="346">
        <v>135</v>
      </c>
      <c r="B162" s="295">
        <v>3.08</v>
      </c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  <c r="AA162" s="297"/>
      <c r="AB162" s="297"/>
      <c r="AC162" s="297"/>
      <c r="AD162" s="297"/>
      <c r="AE162" s="297"/>
      <c r="AF162" s="297"/>
      <c r="AG162" s="297"/>
      <c r="AH162" s="297"/>
      <c r="AI162" s="297"/>
      <c r="AJ162" s="297"/>
      <c r="AK162" s="297"/>
      <c r="AL162" s="297"/>
      <c r="AM162" s="297"/>
      <c r="AN162" s="297"/>
      <c r="AO162" s="297"/>
      <c r="AP162" s="297"/>
      <c r="AQ162" s="297"/>
      <c r="AR162" s="297"/>
      <c r="AS162" s="297"/>
      <c r="AT162" s="297"/>
      <c r="AU162" s="297"/>
      <c r="AV162" s="297"/>
      <c r="AW162" s="297"/>
      <c r="AX162" s="297"/>
      <c r="AY162" s="297"/>
      <c r="AZ162" s="297"/>
      <c r="BA162" s="297"/>
      <c r="BB162" s="297"/>
      <c r="BC162" s="297"/>
      <c r="BD162" s="297"/>
      <c r="BE162" s="297"/>
      <c r="BF162" s="297"/>
    </row>
    <row r="163" spans="1:58" ht="12.75" customHeight="1">
      <c r="A163" s="346">
        <v>136</v>
      </c>
      <c r="B163" s="295">
        <v>3.12</v>
      </c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  <c r="AA163" s="297"/>
      <c r="AB163" s="297"/>
      <c r="AC163" s="297"/>
      <c r="AD163" s="297"/>
      <c r="AE163" s="297"/>
      <c r="AF163" s="297"/>
      <c r="AG163" s="297"/>
      <c r="AH163" s="297"/>
      <c r="AI163" s="297"/>
      <c r="AJ163" s="297"/>
      <c r="AK163" s="297"/>
      <c r="AL163" s="297"/>
      <c r="AM163" s="297"/>
      <c r="AN163" s="297"/>
      <c r="AO163" s="297"/>
      <c r="AP163" s="297"/>
      <c r="AQ163" s="297"/>
      <c r="AR163" s="297"/>
      <c r="AS163" s="297"/>
      <c r="AT163" s="297"/>
      <c r="AU163" s="297"/>
      <c r="AV163" s="297"/>
      <c r="AW163" s="297"/>
      <c r="AX163" s="297"/>
      <c r="AY163" s="297"/>
      <c r="AZ163" s="297"/>
      <c r="BA163" s="297"/>
      <c r="BB163" s="297"/>
      <c r="BC163" s="297"/>
      <c r="BD163" s="297"/>
      <c r="BE163" s="297"/>
      <c r="BF163" s="297"/>
    </row>
    <row r="164" spans="1:58" ht="12.75" customHeight="1">
      <c r="A164" s="346">
        <v>137</v>
      </c>
      <c r="B164" s="295">
        <v>3.17</v>
      </c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97"/>
      <c r="AB164" s="297"/>
      <c r="AC164" s="297"/>
      <c r="AD164" s="297"/>
      <c r="AE164" s="297"/>
      <c r="AF164" s="297"/>
      <c r="AG164" s="297"/>
      <c r="AH164" s="297"/>
      <c r="AI164" s="297"/>
      <c r="AJ164" s="297"/>
      <c r="AK164" s="297"/>
      <c r="AL164" s="297"/>
      <c r="AM164" s="297"/>
      <c r="AN164" s="297"/>
      <c r="AO164" s="297"/>
      <c r="AP164" s="297"/>
      <c r="AQ164" s="297"/>
      <c r="AR164" s="297"/>
      <c r="AS164" s="297"/>
      <c r="AT164" s="297"/>
      <c r="AU164" s="297"/>
      <c r="AV164" s="297"/>
      <c r="AW164" s="297"/>
      <c r="AX164" s="297"/>
      <c r="AY164" s="297"/>
      <c r="AZ164" s="297"/>
      <c r="BA164" s="297"/>
      <c r="BB164" s="297"/>
      <c r="BC164" s="297"/>
      <c r="BD164" s="297"/>
      <c r="BE164" s="297"/>
      <c r="BF164" s="297"/>
    </row>
    <row r="165" spans="1:58" ht="12.75" customHeight="1">
      <c r="A165" s="346">
        <v>138</v>
      </c>
      <c r="B165" s="295">
        <v>3.22</v>
      </c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97"/>
      <c r="AB165" s="297"/>
      <c r="AC165" s="297"/>
      <c r="AD165" s="297"/>
      <c r="AE165" s="297"/>
      <c r="AF165" s="297"/>
      <c r="AG165" s="297"/>
      <c r="AH165" s="297"/>
      <c r="AI165" s="297"/>
      <c r="AJ165" s="297"/>
      <c r="AK165" s="297"/>
      <c r="AL165" s="297"/>
      <c r="AM165" s="297"/>
      <c r="AN165" s="297"/>
      <c r="AO165" s="297"/>
      <c r="AP165" s="297"/>
      <c r="AQ165" s="297"/>
      <c r="AR165" s="297"/>
      <c r="AS165" s="297"/>
      <c r="AT165" s="297"/>
      <c r="AU165" s="297"/>
      <c r="AV165" s="297"/>
      <c r="AW165" s="297"/>
      <c r="AX165" s="297"/>
      <c r="AY165" s="297"/>
      <c r="AZ165" s="297"/>
      <c r="BA165" s="297"/>
      <c r="BB165" s="297"/>
      <c r="BC165" s="297"/>
      <c r="BD165" s="297"/>
      <c r="BE165" s="297"/>
      <c r="BF165" s="297"/>
    </row>
    <row r="166" spans="1:58" ht="12.75" customHeight="1">
      <c r="A166" s="346">
        <v>139</v>
      </c>
      <c r="B166" s="295">
        <v>3.26</v>
      </c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297"/>
      <c r="AB166" s="297"/>
      <c r="AC166" s="297"/>
      <c r="AD166" s="297"/>
      <c r="AE166" s="297"/>
      <c r="AF166" s="297"/>
      <c r="AG166" s="297"/>
      <c r="AH166" s="297"/>
      <c r="AI166" s="297"/>
      <c r="AJ166" s="297"/>
      <c r="AK166" s="297"/>
      <c r="AL166" s="297"/>
      <c r="AM166" s="297"/>
      <c r="AN166" s="297"/>
      <c r="AO166" s="297"/>
      <c r="AP166" s="297"/>
      <c r="AQ166" s="297"/>
      <c r="AR166" s="297"/>
      <c r="AS166" s="297"/>
      <c r="AT166" s="297"/>
      <c r="AU166" s="297"/>
      <c r="AV166" s="297"/>
      <c r="AW166" s="297"/>
      <c r="AX166" s="297"/>
      <c r="AY166" s="297"/>
      <c r="AZ166" s="297"/>
      <c r="BA166" s="297"/>
      <c r="BB166" s="297"/>
      <c r="BC166" s="297"/>
      <c r="BD166" s="297"/>
      <c r="BE166" s="297"/>
      <c r="BF166" s="297"/>
    </row>
    <row r="167" spans="1:58" ht="12.75" customHeight="1">
      <c r="A167" s="346">
        <v>140</v>
      </c>
      <c r="B167" s="295">
        <v>3.31</v>
      </c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  <c r="AA167" s="297"/>
      <c r="AB167" s="297"/>
      <c r="AC167" s="297"/>
      <c r="AD167" s="297"/>
      <c r="AE167" s="297"/>
      <c r="AF167" s="297"/>
      <c r="AG167" s="297"/>
      <c r="AH167" s="297"/>
      <c r="AI167" s="297"/>
      <c r="AJ167" s="297"/>
      <c r="AK167" s="297"/>
      <c r="AL167" s="297"/>
      <c r="AM167" s="297"/>
      <c r="AN167" s="297"/>
      <c r="AO167" s="297"/>
      <c r="AP167" s="297"/>
      <c r="AQ167" s="297"/>
      <c r="AR167" s="297"/>
      <c r="AS167" s="297"/>
      <c r="AT167" s="297"/>
      <c r="AU167" s="297"/>
      <c r="AV167" s="297"/>
      <c r="AW167" s="297"/>
      <c r="AX167" s="297"/>
      <c r="AY167" s="297"/>
      <c r="AZ167" s="297"/>
      <c r="BA167" s="297"/>
      <c r="BB167" s="297"/>
      <c r="BC167" s="297"/>
      <c r="BD167" s="297"/>
      <c r="BE167" s="297"/>
      <c r="BF167" s="297"/>
    </row>
    <row r="168" spans="1:58" ht="12.75" customHeight="1">
      <c r="A168" s="346">
        <v>141</v>
      </c>
      <c r="B168" s="295">
        <v>3.36</v>
      </c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  <c r="AA168" s="297"/>
      <c r="AB168" s="297"/>
      <c r="AC168" s="297"/>
      <c r="AD168" s="297"/>
      <c r="AE168" s="297"/>
      <c r="AF168" s="297"/>
      <c r="AG168" s="297"/>
      <c r="AH168" s="297"/>
      <c r="AI168" s="297"/>
      <c r="AJ168" s="297"/>
      <c r="AK168" s="297"/>
      <c r="AL168" s="297"/>
      <c r="AM168" s="297"/>
      <c r="AN168" s="297"/>
      <c r="AO168" s="297"/>
      <c r="AP168" s="297"/>
      <c r="AQ168" s="297"/>
      <c r="AR168" s="297"/>
      <c r="AS168" s="297"/>
      <c r="AT168" s="297"/>
      <c r="AU168" s="297"/>
      <c r="AV168" s="297"/>
      <c r="AW168" s="297"/>
      <c r="AX168" s="297"/>
      <c r="AY168" s="297"/>
      <c r="AZ168" s="297"/>
      <c r="BA168" s="297"/>
      <c r="BB168" s="297"/>
      <c r="BC168" s="297"/>
      <c r="BD168" s="297"/>
      <c r="BE168" s="297"/>
      <c r="BF168" s="297"/>
    </row>
    <row r="169" spans="1:58" ht="12.75" customHeight="1">
      <c r="A169" s="346">
        <v>142</v>
      </c>
      <c r="B169" s="295">
        <v>3.41</v>
      </c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297"/>
      <c r="AB169" s="297"/>
      <c r="AC169" s="297"/>
      <c r="AD169" s="297"/>
      <c r="AE169" s="297"/>
      <c r="AF169" s="297"/>
      <c r="AG169" s="297"/>
      <c r="AH169" s="297"/>
      <c r="AI169" s="297"/>
      <c r="AJ169" s="297"/>
      <c r="AK169" s="297"/>
      <c r="AL169" s="297"/>
      <c r="AM169" s="297"/>
      <c r="AN169" s="297"/>
      <c r="AO169" s="297"/>
      <c r="AP169" s="297"/>
      <c r="AQ169" s="297"/>
      <c r="AR169" s="297"/>
      <c r="AS169" s="297"/>
      <c r="AT169" s="297"/>
      <c r="AU169" s="297"/>
      <c r="AV169" s="297"/>
      <c r="AW169" s="297"/>
      <c r="AX169" s="297"/>
      <c r="AY169" s="297"/>
      <c r="AZ169" s="297"/>
      <c r="BA169" s="297"/>
      <c r="BB169" s="297"/>
      <c r="BC169" s="297"/>
      <c r="BD169" s="297"/>
      <c r="BE169" s="297"/>
      <c r="BF169" s="297"/>
    </row>
    <row r="170" spans="1:58" ht="12.75" customHeight="1">
      <c r="A170" s="346">
        <v>143</v>
      </c>
      <c r="B170" s="295">
        <v>3.45</v>
      </c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  <c r="AC170" s="297"/>
      <c r="AD170" s="297"/>
      <c r="AE170" s="297"/>
      <c r="AF170" s="297"/>
      <c r="AG170" s="297"/>
      <c r="AH170" s="297"/>
      <c r="AI170" s="297"/>
      <c r="AJ170" s="297"/>
      <c r="AK170" s="297"/>
      <c r="AL170" s="297"/>
      <c r="AM170" s="297"/>
      <c r="AN170" s="297"/>
      <c r="AO170" s="297"/>
      <c r="AP170" s="297"/>
      <c r="AQ170" s="297"/>
      <c r="AR170" s="297"/>
      <c r="AS170" s="297"/>
      <c r="AT170" s="297"/>
      <c r="AU170" s="297"/>
      <c r="AV170" s="297"/>
      <c r="AW170" s="297"/>
      <c r="AX170" s="297"/>
      <c r="AY170" s="297"/>
      <c r="AZ170" s="297"/>
      <c r="BA170" s="297"/>
      <c r="BB170" s="297"/>
      <c r="BC170" s="297"/>
      <c r="BD170" s="297"/>
      <c r="BE170" s="297"/>
      <c r="BF170" s="297"/>
    </row>
    <row r="171" spans="1:58" ht="12.75" customHeight="1">
      <c r="A171" s="346">
        <v>144</v>
      </c>
      <c r="B171" s="295">
        <v>3.5</v>
      </c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297"/>
      <c r="AB171" s="297"/>
      <c r="AC171" s="297"/>
      <c r="AD171" s="297"/>
      <c r="AE171" s="297"/>
      <c r="AF171" s="297"/>
      <c r="AG171" s="297"/>
      <c r="AH171" s="297"/>
      <c r="AI171" s="297"/>
      <c r="AJ171" s="297"/>
      <c r="AK171" s="297"/>
      <c r="AL171" s="297"/>
      <c r="AM171" s="297"/>
      <c r="AN171" s="297"/>
      <c r="AO171" s="297"/>
      <c r="AP171" s="297"/>
      <c r="AQ171" s="297"/>
      <c r="AR171" s="297"/>
      <c r="AS171" s="297"/>
      <c r="AT171" s="297"/>
      <c r="AU171" s="297"/>
      <c r="AV171" s="297"/>
      <c r="AW171" s="297"/>
      <c r="AX171" s="297"/>
      <c r="AY171" s="297"/>
      <c r="AZ171" s="297"/>
      <c r="BA171" s="297"/>
      <c r="BB171" s="297"/>
      <c r="BC171" s="297"/>
      <c r="BD171" s="297"/>
      <c r="BE171" s="297"/>
      <c r="BF171" s="297"/>
    </row>
    <row r="172" spans="1:58" ht="12.75" customHeight="1">
      <c r="A172" s="346">
        <v>145</v>
      </c>
      <c r="B172" s="295">
        <v>3.55</v>
      </c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297"/>
      <c r="AB172" s="297"/>
      <c r="AC172" s="297"/>
      <c r="AD172" s="297"/>
      <c r="AE172" s="297"/>
      <c r="AF172" s="297"/>
      <c r="AG172" s="297"/>
      <c r="AH172" s="297"/>
      <c r="AI172" s="297"/>
      <c r="AJ172" s="297"/>
      <c r="AK172" s="297"/>
      <c r="AL172" s="297"/>
      <c r="AM172" s="297"/>
      <c r="AN172" s="297"/>
      <c r="AO172" s="297"/>
      <c r="AP172" s="297"/>
      <c r="AQ172" s="297"/>
      <c r="AR172" s="297"/>
      <c r="AS172" s="297"/>
      <c r="AT172" s="297"/>
      <c r="AU172" s="297"/>
      <c r="AV172" s="297"/>
      <c r="AW172" s="297"/>
      <c r="AX172" s="297"/>
      <c r="AY172" s="297"/>
      <c r="AZ172" s="297"/>
      <c r="BA172" s="297"/>
      <c r="BB172" s="297"/>
      <c r="BC172" s="297"/>
      <c r="BD172" s="297"/>
      <c r="BE172" s="297"/>
      <c r="BF172" s="297"/>
    </row>
    <row r="173" spans="1:58" ht="12.75" customHeight="1">
      <c r="A173" s="346">
        <v>146</v>
      </c>
      <c r="B173" s="295">
        <v>3.6</v>
      </c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  <c r="AA173" s="297"/>
      <c r="AB173" s="297"/>
      <c r="AC173" s="297"/>
      <c r="AD173" s="297"/>
      <c r="AE173" s="297"/>
      <c r="AF173" s="297"/>
      <c r="AG173" s="297"/>
      <c r="AH173" s="297"/>
      <c r="AI173" s="297"/>
      <c r="AJ173" s="297"/>
      <c r="AK173" s="297"/>
      <c r="AL173" s="297"/>
      <c r="AM173" s="297"/>
      <c r="AN173" s="297"/>
      <c r="AO173" s="297"/>
      <c r="AP173" s="297"/>
      <c r="AQ173" s="297"/>
      <c r="AR173" s="297"/>
      <c r="AS173" s="297"/>
      <c r="AT173" s="297"/>
      <c r="AU173" s="297"/>
      <c r="AV173" s="297"/>
      <c r="AW173" s="297"/>
      <c r="AX173" s="297"/>
      <c r="AY173" s="297"/>
      <c r="AZ173" s="297"/>
      <c r="BA173" s="297"/>
      <c r="BB173" s="297"/>
      <c r="BC173" s="297"/>
      <c r="BD173" s="297"/>
      <c r="BE173" s="297"/>
      <c r="BF173" s="297"/>
    </row>
    <row r="174" spans="1:58" ht="12.75" customHeight="1">
      <c r="A174" s="346">
        <v>147</v>
      </c>
      <c r="B174" s="295">
        <v>3.65</v>
      </c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297"/>
      <c r="AB174" s="297"/>
      <c r="AC174" s="297"/>
      <c r="AD174" s="297"/>
      <c r="AE174" s="297"/>
      <c r="AF174" s="297"/>
      <c r="AG174" s="297"/>
      <c r="AH174" s="297"/>
      <c r="AI174" s="297"/>
      <c r="AJ174" s="297"/>
      <c r="AK174" s="297"/>
      <c r="AL174" s="297"/>
      <c r="AM174" s="297"/>
      <c r="AN174" s="297"/>
      <c r="AO174" s="297"/>
      <c r="AP174" s="297"/>
      <c r="AQ174" s="297"/>
      <c r="AR174" s="297"/>
      <c r="AS174" s="297"/>
      <c r="AT174" s="297"/>
      <c r="AU174" s="297"/>
      <c r="AV174" s="297"/>
      <c r="AW174" s="297"/>
      <c r="AX174" s="297"/>
      <c r="AY174" s="297"/>
      <c r="AZ174" s="297"/>
      <c r="BA174" s="297"/>
      <c r="BB174" s="297"/>
      <c r="BC174" s="297"/>
      <c r="BD174" s="297"/>
      <c r="BE174" s="297"/>
      <c r="BF174" s="297"/>
    </row>
    <row r="175" spans="1:58" ht="12.75" customHeight="1">
      <c r="A175" s="346">
        <v>148</v>
      </c>
      <c r="B175" s="295">
        <v>3.7</v>
      </c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297"/>
      <c r="AB175" s="297"/>
      <c r="AC175" s="297"/>
      <c r="AD175" s="297"/>
      <c r="AE175" s="297"/>
      <c r="AF175" s="297"/>
      <c r="AG175" s="297"/>
      <c r="AH175" s="297"/>
      <c r="AI175" s="297"/>
      <c r="AJ175" s="297"/>
      <c r="AK175" s="297"/>
      <c r="AL175" s="297"/>
      <c r="AM175" s="297"/>
      <c r="AN175" s="297"/>
      <c r="AO175" s="297"/>
      <c r="AP175" s="297"/>
      <c r="AQ175" s="297"/>
      <c r="AR175" s="297"/>
      <c r="AS175" s="297"/>
      <c r="AT175" s="297"/>
      <c r="AU175" s="297"/>
      <c r="AV175" s="297"/>
      <c r="AW175" s="297"/>
      <c r="AX175" s="297"/>
      <c r="AY175" s="297"/>
      <c r="AZ175" s="297"/>
      <c r="BA175" s="297"/>
      <c r="BB175" s="297"/>
      <c r="BC175" s="297"/>
      <c r="BD175" s="297"/>
      <c r="BE175" s="297"/>
      <c r="BF175" s="297"/>
    </row>
    <row r="176" spans="1:58" ht="12.75" customHeight="1">
      <c r="A176" s="346">
        <v>149</v>
      </c>
      <c r="B176" s="295">
        <v>3.75</v>
      </c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  <c r="AA176" s="297"/>
      <c r="AB176" s="297"/>
      <c r="AC176" s="297"/>
      <c r="AD176" s="297"/>
      <c r="AE176" s="297"/>
      <c r="AF176" s="297"/>
      <c r="AG176" s="297"/>
      <c r="AH176" s="297"/>
      <c r="AI176" s="297"/>
      <c r="AJ176" s="297"/>
      <c r="AK176" s="297"/>
      <c r="AL176" s="297"/>
      <c r="AM176" s="297"/>
      <c r="AN176" s="297"/>
      <c r="AO176" s="297"/>
      <c r="AP176" s="297"/>
      <c r="AQ176" s="297"/>
      <c r="AR176" s="297"/>
      <c r="AS176" s="297"/>
      <c r="AT176" s="297"/>
      <c r="AU176" s="297"/>
      <c r="AV176" s="297"/>
      <c r="AW176" s="297"/>
      <c r="AX176" s="297"/>
      <c r="AY176" s="297"/>
      <c r="AZ176" s="297"/>
      <c r="BA176" s="297"/>
      <c r="BB176" s="297"/>
      <c r="BC176" s="297"/>
      <c r="BD176" s="297"/>
      <c r="BE176" s="297"/>
      <c r="BF176" s="297"/>
    </row>
    <row r="177" spans="1:58" ht="12.75" customHeight="1">
      <c r="A177" s="346">
        <v>150</v>
      </c>
      <c r="B177" s="295">
        <v>3.8</v>
      </c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  <c r="AA177" s="297"/>
      <c r="AB177" s="297"/>
      <c r="AC177" s="297"/>
      <c r="AD177" s="297"/>
      <c r="AE177" s="297"/>
      <c r="AF177" s="297"/>
      <c r="AG177" s="297"/>
      <c r="AH177" s="297"/>
      <c r="AI177" s="297"/>
      <c r="AJ177" s="297"/>
      <c r="AK177" s="297"/>
      <c r="AL177" s="297"/>
      <c r="AM177" s="297"/>
      <c r="AN177" s="297"/>
      <c r="AO177" s="297"/>
      <c r="AP177" s="297"/>
      <c r="AQ177" s="297"/>
      <c r="AR177" s="297"/>
      <c r="AS177" s="297"/>
      <c r="AT177" s="297"/>
      <c r="AU177" s="297"/>
      <c r="AV177" s="297"/>
      <c r="AW177" s="297"/>
      <c r="AX177" s="297"/>
      <c r="AY177" s="297"/>
      <c r="AZ177" s="297"/>
      <c r="BA177" s="297"/>
      <c r="BB177" s="297"/>
      <c r="BC177" s="297"/>
      <c r="BD177" s="297"/>
      <c r="BE177" s="297"/>
      <c r="BF177" s="297"/>
    </row>
    <row r="178" spans="1:58">
      <c r="A178" s="346">
        <v>151</v>
      </c>
      <c r="B178" s="295">
        <f>0.00016887*A178^2</f>
        <v>3.8504048700000002</v>
      </c>
    </row>
    <row r="179" spans="1:58">
      <c r="A179" s="384">
        <f>A178+1</f>
        <v>152</v>
      </c>
      <c r="B179" s="295">
        <f t="shared" ref="B179:B242" si="5">0.00016887*A179^2</f>
        <v>3.90157248</v>
      </c>
    </row>
    <row r="180" spans="1:58">
      <c r="A180" s="384">
        <f t="shared" ref="A180:A243" si="6">A179+1</f>
        <v>153</v>
      </c>
      <c r="B180" s="295">
        <f t="shared" si="5"/>
        <v>3.9530778300000002</v>
      </c>
    </row>
    <row r="181" spans="1:58">
      <c r="A181" s="384">
        <f t="shared" si="6"/>
        <v>154</v>
      </c>
      <c r="B181" s="295">
        <f t="shared" si="5"/>
        <v>4.00492092</v>
      </c>
    </row>
    <row r="182" spans="1:58">
      <c r="A182" s="384">
        <f t="shared" si="6"/>
        <v>155</v>
      </c>
      <c r="B182" s="295">
        <f t="shared" si="5"/>
        <v>4.0571017500000002</v>
      </c>
    </row>
    <row r="183" spans="1:58">
      <c r="A183" s="384">
        <f t="shared" si="6"/>
        <v>156</v>
      </c>
      <c r="B183" s="295">
        <f t="shared" si="5"/>
        <v>4.1096203200000003</v>
      </c>
    </row>
    <row r="184" spans="1:58">
      <c r="A184" s="384">
        <f t="shared" si="6"/>
        <v>157</v>
      </c>
      <c r="B184" s="295">
        <f t="shared" si="5"/>
        <v>4.1624766300000005</v>
      </c>
    </row>
    <row r="185" spans="1:58">
      <c r="A185" s="384">
        <f t="shared" si="6"/>
        <v>158</v>
      </c>
      <c r="B185" s="295">
        <f t="shared" si="5"/>
        <v>4.2156706799999997</v>
      </c>
    </row>
    <row r="186" spans="1:58">
      <c r="A186" s="384">
        <f t="shared" si="6"/>
        <v>159</v>
      </c>
      <c r="B186" s="295">
        <f t="shared" si="5"/>
        <v>4.2692024699999997</v>
      </c>
    </row>
    <row r="187" spans="1:58">
      <c r="A187" s="384">
        <f t="shared" si="6"/>
        <v>160</v>
      </c>
      <c r="B187" s="295">
        <f t="shared" si="5"/>
        <v>4.3230719999999998</v>
      </c>
    </row>
    <row r="188" spans="1:58">
      <c r="A188" s="384">
        <f t="shared" si="6"/>
        <v>161</v>
      </c>
      <c r="B188" s="295">
        <f t="shared" si="5"/>
        <v>4.3772792699999998</v>
      </c>
    </row>
    <row r="189" spans="1:58">
      <c r="A189" s="384">
        <f t="shared" si="6"/>
        <v>162</v>
      </c>
      <c r="B189" s="295">
        <f t="shared" si="5"/>
        <v>4.4318242799999998</v>
      </c>
    </row>
    <row r="190" spans="1:58">
      <c r="A190" s="384">
        <f t="shared" si="6"/>
        <v>163</v>
      </c>
      <c r="B190" s="295">
        <f t="shared" si="5"/>
        <v>4.4867070299999998</v>
      </c>
    </row>
    <row r="191" spans="1:58">
      <c r="A191" s="384">
        <f t="shared" si="6"/>
        <v>164</v>
      </c>
      <c r="B191" s="295">
        <f t="shared" si="5"/>
        <v>4.5419275199999998</v>
      </c>
    </row>
    <row r="192" spans="1:58">
      <c r="A192" s="384">
        <f t="shared" si="6"/>
        <v>165</v>
      </c>
      <c r="B192" s="295">
        <f t="shared" si="5"/>
        <v>4.5974857499999997</v>
      </c>
    </row>
    <row r="193" spans="1:2">
      <c r="A193" s="384">
        <f t="shared" si="6"/>
        <v>166</v>
      </c>
      <c r="B193" s="295">
        <f t="shared" si="5"/>
        <v>4.6533817199999996</v>
      </c>
    </row>
    <row r="194" spans="1:2">
      <c r="A194" s="384">
        <f t="shared" si="6"/>
        <v>167</v>
      </c>
      <c r="B194" s="295">
        <f t="shared" si="5"/>
        <v>4.7096154300000004</v>
      </c>
    </row>
    <row r="195" spans="1:2">
      <c r="A195" s="384">
        <f t="shared" si="6"/>
        <v>168</v>
      </c>
      <c r="B195" s="295">
        <f t="shared" si="5"/>
        <v>4.7661868800000002</v>
      </c>
    </row>
    <row r="196" spans="1:2">
      <c r="A196" s="384">
        <f t="shared" si="6"/>
        <v>169</v>
      </c>
      <c r="B196" s="295">
        <f t="shared" si="5"/>
        <v>4.8230960700000001</v>
      </c>
    </row>
    <row r="197" spans="1:2">
      <c r="A197" s="384">
        <f t="shared" si="6"/>
        <v>170</v>
      </c>
      <c r="B197" s="295">
        <f t="shared" si="5"/>
        <v>4.8803429999999999</v>
      </c>
    </row>
    <row r="198" spans="1:2">
      <c r="A198" s="384">
        <f t="shared" si="6"/>
        <v>171</v>
      </c>
      <c r="B198" s="295">
        <f t="shared" si="5"/>
        <v>4.9379276699999997</v>
      </c>
    </row>
    <row r="199" spans="1:2">
      <c r="A199" s="384">
        <f t="shared" si="6"/>
        <v>172</v>
      </c>
      <c r="B199" s="295">
        <f t="shared" si="5"/>
        <v>4.9958500800000003</v>
      </c>
    </row>
    <row r="200" spans="1:2">
      <c r="A200" s="384">
        <f t="shared" si="6"/>
        <v>173</v>
      </c>
      <c r="B200" s="295">
        <f t="shared" si="5"/>
        <v>5.05411023</v>
      </c>
    </row>
    <row r="201" spans="1:2">
      <c r="A201" s="384">
        <f t="shared" si="6"/>
        <v>174</v>
      </c>
      <c r="B201" s="295">
        <f t="shared" si="5"/>
        <v>5.1127081199999997</v>
      </c>
    </row>
    <row r="202" spans="1:2">
      <c r="A202" s="384">
        <f t="shared" si="6"/>
        <v>175</v>
      </c>
      <c r="B202" s="295">
        <f t="shared" si="5"/>
        <v>5.1716437500000003</v>
      </c>
    </row>
    <row r="203" spans="1:2">
      <c r="A203" s="384">
        <f t="shared" si="6"/>
        <v>176</v>
      </c>
      <c r="B203" s="295">
        <f t="shared" si="5"/>
        <v>5.23091712</v>
      </c>
    </row>
    <row r="204" spans="1:2">
      <c r="A204" s="384">
        <f t="shared" si="6"/>
        <v>177</v>
      </c>
      <c r="B204" s="295">
        <f t="shared" si="5"/>
        <v>5.2905282299999996</v>
      </c>
    </row>
    <row r="205" spans="1:2">
      <c r="A205" s="384">
        <f t="shared" si="6"/>
        <v>178</v>
      </c>
      <c r="B205" s="295">
        <f t="shared" si="5"/>
        <v>5.3504770800000001</v>
      </c>
    </row>
    <row r="206" spans="1:2">
      <c r="A206" s="384">
        <f t="shared" si="6"/>
        <v>179</v>
      </c>
      <c r="B206" s="295">
        <f t="shared" si="5"/>
        <v>5.4107636699999997</v>
      </c>
    </row>
    <row r="207" spans="1:2">
      <c r="A207" s="384">
        <f t="shared" si="6"/>
        <v>180</v>
      </c>
      <c r="B207" s="295">
        <f t="shared" si="5"/>
        <v>5.4713880000000001</v>
      </c>
    </row>
    <row r="208" spans="1:2">
      <c r="A208" s="384">
        <f t="shared" si="6"/>
        <v>181</v>
      </c>
      <c r="B208" s="295">
        <f t="shared" si="5"/>
        <v>5.5323500699999997</v>
      </c>
    </row>
    <row r="209" spans="1:2">
      <c r="A209" s="384">
        <f t="shared" si="6"/>
        <v>182</v>
      </c>
      <c r="B209" s="295">
        <f t="shared" si="5"/>
        <v>5.5936498800000001</v>
      </c>
    </row>
    <row r="210" spans="1:2">
      <c r="A210" s="384">
        <f t="shared" si="6"/>
        <v>183</v>
      </c>
      <c r="B210" s="295">
        <f t="shared" si="5"/>
        <v>5.6552874300000004</v>
      </c>
    </row>
    <row r="211" spans="1:2">
      <c r="A211" s="384">
        <f t="shared" si="6"/>
        <v>184</v>
      </c>
      <c r="B211" s="295">
        <f t="shared" si="5"/>
        <v>5.7172627199999999</v>
      </c>
    </row>
    <row r="212" spans="1:2">
      <c r="A212" s="384">
        <f t="shared" si="6"/>
        <v>185</v>
      </c>
      <c r="B212" s="295">
        <f t="shared" si="5"/>
        <v>5.7795757500000002</v>
      </c>
    </row>
    <row r="213" spans="1:2">
      <c r="A213" s="384">
        <f t="shared" si="6"/>
        <v>186</v>
      </c>
      <c r="B213" s="295">
        <f t="shared" si="5"/>
        <v>5.8422265199999996</v>
      </c>
    </row>
    <row r="214" spans="1:2">
      <c r="A214" s="384">
        <f t="shared" si="6"/>
        <v>187</v>
      </c>
      <c r="B214" s="295">
        <f t="shared" si="5"/>
        <v>5.9052150299999999</v>
      </c>
    </row>
    <row r="215" spans="1:2">
      <c r="A215" s="384">
        <f t="shared" si="6"/>
        <v>188</v>
      </c>
      <c r="B215" s="295">
        <f t="shared" si="5"/>
        <v>5.9685412800000002</v>
      </c>
    </row>
    <row r="216" spans="1:2">
      <c r="A216" s="384">
        <f t="shared" si="6"/>
        <v>189</v>
      </c>
      <c r="B216" s="295">
        <f t="shared" si="5"/>
        <v>6.0322052700000004</v>
      </c>
    </row>
    <row r="217" spans="1:2">
      <c r="A217" s="384">
        <f t="shared" si="6"/>
        <v>190</v>
      </c>
      <c r="B217" s="295">
        <f t="shared" si="5"/>
        <v>6.0962069999999997</v>
      </c>
    </row>
    <row r="218" spans="1:2">
      <c r="A218" s="384">
        <f t="shared" si="6"/>
        <v>191</v>
      </c>
      <c r="B218" s="295">
        <f t="shared" si="5"/>
        <v>6.1605464699999999</v>
      </c>
    </row>
    <row r="219" spans="1:2">
      <c r="A219" s="384">
        <f t="shared" si="6"/>
        <v>192</v>
      </c>
      <c r="B219" s="295">
        <f t="shared" si="5"/>
        <v>6.22522368</v>
      </c>
    </row>
    <row r="220" spans="1:2">
      <c r="A220" s="384">
        <f t="shared" si="6"/>
        <v>193</v>
      </c>
      <c r="B220" s="295">
        <f t="shared" si="5"/>
        <v>6.2902386300000002</v>
      </c>
    </row>
    <row r="221" spans="1:2">
      <c r="A221" s="384">
        <f t="shared" si="6"/>
        <v>194</v>
      </c>
      <c r="B221" s="295">
        <f t="shared" si="5"/>
        <v>6.3555913200000003</v>
      </c>
    </row>
    <row r="222" spans="1:2">
      <c r="A222" s="384">
        <f t="shared" si="6"/>
        <v>195</v>
      </c>
      <c r="B222" s="295">
        <f t="shared" si="5"/>
        <v>6.4212817500000003</v>
      </c>
    </row>
    <row r="223" spans="1:2">
      <c r="A223" s="384">
        <f t="shared" si="6"/>
        <v>196</v>
      </c>
      <c r="B223" s="295">
        <f t="shared" si="5"/>
        <v>6.4873099200000004</v>
      </c>
    </row>
    <row r="224" spans="1:2">
      <c r="A224" s="384">
        <f t="shared" si="6"/>
        <v>197</v>
      </c>
      <c r="B224" s="295">
        <f t="shared" si="5"/>
        <v>6.5536758300000004</v>
      </c>
    </row>
    <row r="225" spans="1:2">
      <c r="A225" s="384">
        <f t="shared" si="6"/>
        <v>198</v>
      </c>
      <c r="B225" s="295">
        <f t="shared" si="5"/>
        <v>6.6203794800000004</v>
      </c>
    </row>
    <row r="226" spans="1:2">
      <c r="A226" s="384">
        <f t="shared" si="6"/>
        <v>199</v>
      </c>
      <c r="B226" s="295">
        <f t="shared" si="5"/>
        <v>6.6874208700000004</v>
      </c>
    </row>
    <row r="227" spans="1:2">
      <c r="A227" s="384">
        <f t="shared" si="6"/>
        <v>200</v>
      </c>
      <c r="B227" s="295">
        <f t="shared" si="5"/>
        <v>6.7548000000000004</v>
      </c>
    </row>
    <row r="228" spans="1:2">
      <c r="A228" s="384">
        <f t="shared" si="6"/>
        <v>201</v>
      </c>
      <c r="B228" s="295">
        <f t="shared" si="5"/>
        <v>6.8225168700000003</v>
      </c>
    </row>
    <row r="229" spans="1:2">
      <c r="A229" s="384">
        <f t="shared" si="6"/>
        <v>202</v>
      </c>
      <c r="B229" s="295">
        <f t="shared" si="5"/>
        <v>6.8905714800000002</v>
      </c>
    </row>
    <row r="230" spans="1:2">
      <c r="A230" s="384">
        <f t="shared" si="6"/>
        <v>203</v>
      </c>
      <c r="B230" s="295">
        <f t="shared" si="5"/>
        <v>6.9589638300000001</v>
      </c>
    </row>
    <row r="231" spans="1:2">
      <c r="A231" s="384">
        <f t="shared" si="6"/>
        <v>204</v>
      </c>
      <c r="B231" s="295">
        <f t="shared" si="5"/>
        <v>7.0276939199999999</v>
      </c>
    </row>
    <row r="232" spans="1:2">
      <c r="A232" s="384">
        <f t="shared" si="6"/>
        <v>205</v>
      </c>
      <c r="B232" s="295">
        <f t="shared" si="5"/>
        <v>7.0967617499999998</v>
      </c>
    </row>
    <row r="233" spans="1:2">
      <c r="A233" s="384">
        <f t="shared" si="6"/>
        <v>206</v>
      </c>
      <c r="B233" s="295">
        <f t="shared" si="5"/>
        <v>7.1661673200000005</v>
      </c>
    </row>
    <row r="234" spans="1:2">
      <c r="A234" s="384">
        <f t="shared" si="6"/>
        <v>207</v>
      </c>
      <c r="B234" s="295">
        <f t="shared" si="5"/>
        <v>7.2359106300000002</v>
      </c>
    </row>
    <row r="235" spans="1:2">
      <c r="A235" s="384">
        <f t="shared" si="6"/>
        <v>208</v>
      </c>
      <c r="B235" s="295">
        <f t="shared" si="5"/>
        <v>7.30599168</v>
      </c>
    </row>
    <row r="236" spans="1:2">
      <c r="A236" s="384">
        <f t="shared" si="6"/>
        <v>209</v>
      </c>
      <c r="B236" s="295">
        <f t="shared" si="5"/>
        <v>7.3764104699999997</v>
      </c>
    </row>
    <row r="237" spans="1:2">
      <c r="A237" s="384">
        <f t="shared" si="6"/>
        <v>210</v>
      </c>
      <c r="B237" s="295">
        <f t="shared" si="5"/>
        <v>7.4471670000000003</v>
      </c>
    </row>
    <row r="238" spans="1:2">
      <c r="A238" s="384">
        <f t="shared" si="6"/>
        <v>211</v>
      </c>
      <c r="B238" s="295">
        <f t="shared" si="5"/>
        <v>7.51826127</v>
      </c>
    </row>
    <row r="239" spans="1:2">
      <c r="A239" s="384">
        <f t="shared" si="6"/>
        <v>212</v>
      </c>
      <c r="B239" s="295">
        <f t="shared" si="5"/>
        <v>7.5896932799999997</v>
      </c>
    </row>
    <row r="240" spans="1:2">
      <c r="A240" s="384">
        <f t="shared" si="6"/>
        <v>213</v>
      </c>
      <c r="B240" s="295">
        <f t="shared" si="5"/>
        <v>7.6614630300000002</v>
      </c>
    </row>
    <row r="241" spans="1:2">
      <c r="A241" s="384">
        <f t="shared" si="6"/>
        <v>214</v>
      </c>
      <c r="B241" s="295">
        <f t="shared" si="5"/>
        <v>7.7335705199999998</v>
      </c>
    </row>
    <row r="242" spans="1:2">
      <c r="A242" s="384">
        <f t="shared" si="6"/>
        <v>215</v>
      </c>
      <c r="B242" s="295">
        <f t="shared" si="5"/>
        <v>7.8060157500000003</v>
      </c>
    </row>
    <row r="243" spans="1:2">
      <c r="A243" s="384">
        <f t="shared" si="6"/>
        <v>216</v>
      </c>
      <c r="B243" s="295">
        <f t="shared" ref="B243:B277" si="7">0.00016887*A243^2</f>
        <v>7.8787987199999998</v>
      </c>
    </row>
    <row r="244" spans="1:2">
      <c r="A244" s="384">
        <f t="shared" ref="A244:A277" si="8">A243+1</f>
        <v>217</v>
      </c>
      <c r="B244" s="295">
        <f t="shared" si="7"/>
        <v>7.9519194300000002</v>
      </c>
    </row>
    <row r="245" spans="1:2">
      <c r="A245" s="384">
        <f t="shared" si="8"/>
        <v>218</v>
      </c>
      <c r="B245" s="295">
        <f t="shared" si="7"/>
        <v>8.0253778800000006</v>
      </c>
    </row>
    <row r="246" spans="1:2">
      <c r="A246" s="384">
        <f t="shared" si="8"/>
        <v>219</v>
      </c>
      <c r="B246" s="295">
        <f t="shared" si="7"/>
        <v>8.0991740700000001</v>
      </c>
    </row>
    <row r="247" spans="1:2">
      <c r="A247" s="384">
        <f t="shared" si="8"/>
        <v>220</v>
      </c>
      <c r="B247" s="295">
        <f t="shared" si="7"/>
        <v>8.1733080000000005</v>
      </c>
    </row>
    <row r="248" spans="1:2">
      <c r="A248" s="384">
        <f t="shared" si="8"/>
        <v>221</v>
      </c>
      <c r="B248" s="295">
        <f t="shared" si="7"/>
        <v>8.2477796699999999</v>
      </c>
    </row>
    <row r="249" spans="1:2">
      <c r="A249" s="384">
        <f t="shared" si="8"/>
        <v>222</v>
      </c>
      <c r="B249" s="295">
        <f t="shared" si="7"/>
        <v>8.3225890800000002</v>
      </c>
    </row>
    <row r="250" spans="1:2">
      <c r="A250" s="384">
        <f t="shared" si="8"/>
        <v>223</v>
      </c>
      <c r="B250" s="295">
        <f t="shared" si="7"/>
        <v>8.3977362299999996</v>
      </c>
    </row>
    <row r="251" spans="1:2">
      <c r="A251" s="384">
        <f t="shared" si="8"/>
        <v>224</v>
      </c>
      <c r="B251" s="295">
        <f t="shared" si="7"/>
        <v>8.4732211199999998</v>
      </c>
    </row>
    <row r="252" spans="1:2">
      <c r="A252" s="384">
        <f t="shared" si="8"/>
        <v>225</v>
      </c>
      <c r="B252" s="295">
        <f t="shared" si="7"/>
        <v>8.5490437499999992</v>
      </c>
    </row>
    <row r="253" spans="1:2">
      <c r="A253" s="384">
        <f t="shared" si="8"/>
        <v>226</v>
      </c>
      <c r="B253" s="295">
        <f t="shared" si="7"/>
        <v>8.6252041199999994</v>
      </c>
    </row>
    <row r="254" spans="1:2">
      <c r="A254" s="384">
        <f t="shared" si="8"/>
        <v>227</v>
      </c>
      <c r="B254" s="295">
        <f t="shared" si="7"/>
        <v>8.7017022300000004</v>
      </c>
    </row>
    <row r="255" spans="1:2">
      <c r="A255" s="384">
        <f t="shared" si="8"/>
        <v>228</v>
      </c>
      <c r="B255" s="295">
        <f t="shared" si="7"/>
        <v>8.7785380800000006</v>
      </c>
    </row>
    <row r="256" spans="1:2">
      <c r="A256" s="384">
        <f t="shared" si="8"/>
        <v>229</v>
      </c>
      <c r="B256" s="295">
        <f t="shared" si="7"/>
        <v>8.8557116699999998</v>
      </c>
    </row>
    <row r="257" spans="1:2">
      <c r="A257" s="384">
        <f t="shared" si="8"/>
        <v>230</v>
      </c>
      <c r="B257" s="295">
        <f t="shared" si="7"/>
        <v>8.9332229999999999</v>
      </c>
    </row>
    <row r="258" spans="1:2">
      <c r="A258" s="384">
        <f t="shared" si="8"/>
        <v>231</v>
      </c>
      <c r="B258" s="295">
        <f t="shared" si="7"/>
        <v>9.0110720700000009</v>
      </c>
    </row>
    <row r="259" spans="1:2">
      <c r="A259" s="384">
        <f t="shared" si="8"/>
        <v>232</v>
      </c>
      <c r="B259" s="295">
        <f t="shared" si="7"/>
        <v>9.0892588800000009</v>
      </c>
    </row>
    <row r="260" spans="1:2">
      <c r="A260" s="384">
        <f t="shared" si="8"/>
        <v>233</v>
      </c>
      <c r="B260" s="295">
        <f t="shared" si="7"/>
        <v>9.1677834300000001</v>
      </c>
    </row>
    <row r="261" spans="1:2">
      <c r="A261" s="384">
        <f t="shared" si="8"/>
        <v>234</v>
      </c>
      <c r="B261" s="295">
        <f t="shared" si="7"/>
        <v>9.2466457200000001</v>
      </c>
    </row>
    <row r="262" spans="1:2">
      <c r="A262" s="384">
        <f t="shared" si="8"/>
        <v>235</v>
      </c>
      <c r="B262" s="295">
        <f t="shared" si="7"/>
        <v>9.3258457500000009</v>
      </c>
    </row>
    <row r="263" spans="1:2">
      <c r="A263" s="384">
        <f t="shared" si="8"/>
        <v>236</v>
      </c>
      <c r="B263" s="295">
        <f t="shared" si="7"/>
        <v>9.4053835200000009</v>
      </c>
    </row>
    <row r="264" spans="1:2">
      <c r="A264" s="384">
        <f t="shared" si="8"/>
        <v>237</v>
      </c>
      <c r="B264" s="295">
        <f t="shared" si="7"/>
        <v>9.4852590299999999</v>
      </c>
    </row>
    <row r="265" spans="1:2">
      <c r="A265" s="384">
        <f t="shared" si="8"/>
        <v>238</v>
      </c>
      <c r="B265" s="295">
        <f t="shared" si="7"/>
        <v>9.5654722799999998</v>
      </c>
    </row>
    <row r="266" spans="1:2">
      <c r="A266" s="384">
        <f t="shared" si="8"/>
        <v>239</v>
      </c>
      <c r="B266" s="295">
        <f t="shared" si="7"/>
        <v>9.6460232700000006</v>
      </c>
    </row>
    <row r="267" spans="1:2">
      <c r="A267" s="384">
        <f t="shared" si="8"/>
        <v>240</v>
      </c>
      <c r="B267" s="295">
        <f t="shared" si="7"/>
        <v>9.7269120000000004</v>
      </c>
    </row>
    <row r="268" spans="1:2">
      <c r="A268" s="384">
        <f t="shared" si="8"/>
        <v>241</v>
      </c>
      <c r="B268" s="295">
        <f t="shared" si="7"/>
        <v>9.8081384699999994</v>
      </c>
    </row>
    <row r="269" spans="1:2">
      <c r="A269" s="384">
        <f t="shared" si="8"/>
        <v>242</v>
      </c>
      <c r="B269" s="295">
        <f t="shared" si="7"/>
        <v>9.8897026799999992</v>
      </c>
    </row>
    <row r="270" spans="1:2">
      <c r="A270" s="384">
        <f t="shared" si="8"/>
        <v>243</v>
      </c>
      <c r="B270" s="295">
        <f t="shared" si="7"/>
        <v>9.9716046299999999</v>
      </c>
    </row>
    <row r="271" spans="1:2">
      <c r="A271" s="384">
        <f t="shared" si="8"/>
        <v>244</v>
      </c>
      <c r="B271" s="295">
        <f t="shared" si="7"/>
        <v>10.05384432</v>
      </c>
    </row>
    <row r="272" spans="1:2">
      <c r="A272" s="384">
        <f t="shared" si="8"/>
        <v>245</v>
      </c>
      <c r="B272" s="295">
        <f t="shared" si="7"/>
        <v>10.13642175</v>
      </c>
    </row>
    <row r="273" spans="1:2">
      <c r="A273" s="384">
        <f t="shared" si="8"/>
        <v>246</v>
      </c>
      <c r="B273" s="295">
        <f t="shared" si="7"/>
        <v>10.21933692</v>
      </c>
    </row>
    <row r="274" spans="1:2">
      <c r="A274" s="384">
        <f t="shared" si="8"/>
        <v>247</v>
      </c>
      <c r="B274" s="295">
        <f t="shared" si="7"/>
        <v>10.302589830000001</v>
      </c>
    </row>
    <row r="275" spans="1:2">
      <c r="A275" s="384">
        <f t="shared" si="8"/>
        <v>248</v>
      </c>
      <c r="B275" s="295">
        <f t="shared" si="7"/>
        <v>10.38618048</v>
      </c>
    </row>
    <row r="276" spans="1:2">
      <c r="A276" s="384">
        <f t="shared" si="8"/>
        <v>249</v>
      </c>
      <c r="B276" s="295">
        <f t="shared" si="7"/>
        <v>10.470108870000001</v>
      </c>
    </row>
    <row r="277" spans="1:2">
      <c r="A277" s="384">
        <f t="shared" si="8"/>
        <v>250</v>
      </c>
      <c r="B277" s="295">
        <f t="shared" si="7"/>
        <v>10.554375</v>
      </c>
    </row>
  </sheetData>
  <mergeCells count="52">
    <mergeCell ref="F52:F53"/>
    <mergeCell ref="AR16:AV16"/>
    <mergeCell ref="X31:AC31"/>
    <mergeCell ref="D50:E51"/>
    <mergeCell ref="AK34:BC35"/>
    <mergeCell ref="G50:G51"/>
    <mergeCell ref="K34:K35"/>
    <mergeCell ref="AS31:AS33"/>
    <mergeCell ref="AD31:AD33"/>
    <mergeCell ref="X32:Z32"/>
    <mergeCell ref="V31:V33"/>
    <mergeCell ref="D52:E53"/>
    <mergeCell ref="AG31:AH32"/>
    <mergeCell ref="H33:I33"/>
    <mergeCell ref="AX22:BA23"/>
    <mergeCell ref="H34:I35"/>
    <mergeCell ref="F50:F51"/>
    <mergeCell ref="AJ31:AJ35"/>
    <mergeCell ref="D47:E47"/>
    <mergeCell ref="AE31:AE33"/>
    <mergeCell ref="AQ15:AV15"/>
    <mergeCell ref="H32:I32"/>
    <mergeCell ref="AA32:AC32"/>
    <mergeCell ref="AU31:AZ31"/>
    <mergeCell ref="BB31:BC32"/>
    <mergeCell ref="AF31:AF33"/>
    <mergeCell ref="N31:U32"/>
    <mergeCell ref="BA31:BA33"/>
    <mergeCell ref="D49:E49"/>
    <mergeCell ref="AU32:AW32"/>
    <mergeCell ref="H36:I36"/>
    <mergeCell ref="AK31:AR32"/>
    <mergeCell ref="D48:E48"/>
    <mergeCell ref="AX32:AZ32"/>
    <mergeCell ref="J34:J35"/>
    <mergeCell ref="D46:E46"/>
    <mergeCell ref="H31:I31"/>
    <mergeCell ref="A2:C2"/>
    <mergeCell ref="AQ2:AV2"/>
    <mergeCell ref="A14:C14"/>
    <mergeCell ref="E2:V2"/>
    <mergeCell ref="AX2:AY2"/>
    <mergeCell ref="E3:E5"/>
    <mergeCell ref="X2:AO2"/>
    <mergeCell ref="X3:X5"/>
    <mergeCell ref="AX13:BA13"/>
    <mergeCell ref="AR3:AV3"/>
    <mergeCell ref="G52:G53"/>
    <mergeCell ref="M31:M35"/>
    <mergeCell ref="W31:W33"/>
    <mergeCell ref="AT31:AT33"/>
    <mergeCell ref="N34:AH3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E45"/>
  <sheetViews>
    <sheetView zoomScaleNormal="100" workbookViewId="0">
      <pane ySplit="1" topLeftCell="A2" activePane="bottomLeft" state="frozen"/>
      <selection pane="bottomLeft" activeCell="E45" sqref="E45"/>
    </sheetView>
  </sheetViews>
  <sheetFormatPr defaultColWidth="8.7109375" defaultRowHeight="12.75"/>
  <cols>
    <col min="1" max="1" width="8" customWidth="1"/>
    <col min="2" max="2" width="26" customWidth="1"/>
    <col min="3" max="3" width="58" customWidth="1"/>
    <col min="4" max="4" width="62" customWidth="1"/>
    <col min="5" max="5" width="86.42578125" customWidth="1"/>
  </cols>
  <sheetData>
    <row r="1" spans="1:4" ht="15" customHeight="1">
      <c r="A1" s="381" t="s">
        <v>1210</v>
      </c>
      <c r="B1" s="381" t="s">
        <v>1211</v>
      </c>
      <c r="C1" s="381" t="s">
        <v>1212</v>
      </c>
      <c r="D1" s="381" t="s">
        <v>1213</v>
      </c>
    </row>
    <row r="2" spans="1:4" ht="22.35" customHeight="1">
      <c r="A2" s="382" t="s">
        <v>1214</v>
      </c>
      <c r="B2" s="382" t="s">
        <v>1215</v>
      </c>
      <c r="C2" s="382" t="s">
        <v>1216</v>
      </c>
      <c r="D2" s="382" t="s">
        <v>1217</v>
      </c>
    </row>
    <row r="3" spans="1:4" ht="15" customHeight="1">
      <c r="A3" s="382" t="s">
        <v>1218</v>
      </c>
      <c r="B3" s="382" t="s">
        <v>1219</v>
      </c>
      <c r="C3" s="382" t="s">
        <v>1220</v>
      </c>
      <c r="D3" s="382" t="s">
        <v>1221</v>
      </c>
    </row>
    <row r="4" spans="1:4" ht="22.35" customHeight="1">
      <c r="A4" s="382" t="s">
        <v>1222</v>
      </c>
      <c r="B4" s="382" t="s">
        <v>1223</v>
      </c>
      <c r="C4" s="382" t="s">
        <v>1224</v>
      </c>
      <c r="D4" s="382" t="s">
        <v>1225</v>
      </c>
    </row>
    <row r="5" spans="1:4" ht="15" customHeight="1">
      <c r="A5" s="382" t="s">
        <v>1222</v>
      </c>
      <c r="B5" s="382" t="s">
        <v>1226</v>
      </c>
      <c r="C5" s="382" t="s">
        <v>1227</v>
      </c>
      <c r="D5" s="382" t="s">
        <v>1228</v>
      </c>
    </row>
    <row r="6" spans="1:4" ht="22.35" customHeight="1">
      <c r="A6" s="382" t="s">
        <v>1229</v>
      </c>
      <c r="B6" s="382" t="s">
        <v>1230</v>
      </c>
      <c r="C6" s="382" t="s">
        <v>1231</v>
      </c>
      <c r="D6" s="382" t="s">
        <v>1232</v>
      </c>
    </row>
    <row r="7" spans="1:4" ht="22.35" customHeight="1">
      <c r="A7" s="382" t="s">
        <v>1233</v>
      </c>
      <c r="B7" s="382" t="s">
        <v>1234</v>
      </c>
      <c r="C7" s="382" t="s">
        <v>1235</v>
      </c>
      <c r="D7" s="382" t="s">
        <v>1236</v>
      </c>
    </row>
    <row r="8" spans="1:4" ht="22.35" customHeight="1">
      <c r="A8" s="382" t="s">
        <v>1237</v>
      </c>
      <c r="B8" s="382" t="s">
        <v>1238</v>
      </c>
      <c r="C8" s="382" t="s">
        <v>1239</v>
      </c>
      <c r="D8" s="382" t="s">
        <v>1240</v>
      </c>
    </row>
    <row r="9" spans="1:4" ht="15" customHeight="1">
      <c r="A9" s="382" t="s">
        <v>1237</v>
      </c>
      <c r="B9" s="382" t="s">
        <v>1241</v>
      </c>
      <c r="C9" s="382" t="s">
        <v>1242</v>
      </c>
      <c r="D9" s="382" t="s">
        <v>1243</v>
      </c>
    </row>
    <row r="10" spans="1:4" ht="22.35" customHeight="1">
      <c r="A10" s="382" t="s">
        <v>1244</v>
      </c>
      <c r="B10" s="382" t="s">
        <v>1245</v>
      </c>
      <c r="C10" s="382" t="s">
        <v>1246</v>
      </c>
      <c r="D10" s="382" t="s">
        <v>1247</v>
      </c>
    </row>
    <row r="11" spans="1:4" ht="22.35" customHeight="1">
      <c r="A11" s="382" t="s">
        <v>1248</v>
      </c>
      <c r="B11" s="382" t="s">
        <v>1249</v>
      </c>
      <c r="C11" s="382" t="s">
        <v>1250</v>
      </c>
      <c r="D11" s="382" t="s">
        <v>1251</v>
      </c>
    </row>
    <row r="12" spans="1:4" ht="22.35" customHeight="1">
      <c r="A12" s="382" t="s">
        <v>1252</v>
      </c>
      <c r="B12" s="382" t="s">
        <v>1253</v>
      </c>
      <c r="C12" s="382" t="s">
        <v>1254</v>
      </c>
      <c r="D12" s="382" t="s">
        <v>1255</v>
      </c>
    </row>
    <row r="13" spans="1:4" ht="32.85" customHeight="1">
      <c r="A13" s="382" t="s">
        <v>1252</v>
      </c>
      <c r="B13" s="382" t="s">
        <v>1256</v>
      </c>
      <c r="C13" s="382" t="s">
        <v>1257</v>
      </c>
      <c r="D13" s="382" t="s">
        <v>1258</v>
      </c>
    </row>
    <row r="14" spans="1:4" ht="22.35" customHeight="1">
      <c r="A14" s="382" t="s">
        <v>1259</v>
      </c>
      <c r="B14" s="382" t="s">
        <v>1260</v>
      </c>
      <c r="C14" s="382" t="s">
        <v>1261</v>
      </c>
      <c r="D14" s="382" t="s">
        <v>1262</v>
      </c>
    </row>
    <row r="15" spans="1:4" ht="22.35" customHeight="1">
      <c r="A15" s="382" t="s">
        <v>1263</v>
      </c>
      <c r="B15" s="382" t="s">
        <v>1264</v>
      </c>
      <c r="C15" s="382" t="s">
        <v>1265</v>
      </c>
      <c r="D15" s="382" t="s">
        <v>1266</v>
      </c>
    </row>
    <row r="16" spans="1:4" ht="32.85" customHeight="1">
      <c r="A16" s="382" t="s">
        <v>1263</v>
      </c>
      <c r="B16" s="382" t="s">
        <v>1267</v>
      </c>
      <c r="C16" s="382" t="s">
        <v>1268</v>
      </c>
      <c r="D16" s="382" t="s">
        <v>1269</v>
      </c>
    </row>
    <row r="17" spans="1:4" ht="15" customHeight="1">
      <c r="A17" s="382" t="s">
        <v>1270</v>
      </c>
      <c r="B17" s="382" t="s">
        <v>1271</v>
      </c>
      <c r="C17" s="382" t="s">
        <v>1272</v>
      </c>
      <c r="D17" s="382" t="s">
        <v>1273</v>
      </c>
    </row>
    <row r="18" spans="1:4" ht="15" customHeight="1">
      <c r="A18" s="382" t="s">
        <v>1270</v>
      </c>
      <c r="B18" s="382" t="s">
        <v>1274</v>
      </c>
      <c r="C18" s="382" t="s">
        <v>1275</v>
      </c>
      <c r="D18" s="382" t="s">
        <v>1276</v>
      </c>
    </row>
    <row r="19" spans="1:4" ht="15" customHeight="1">
      <c r="A19" s="382" t="s">
        <v>1277</v>
      </c>
      <c r="B19" s="382" t="s">
        <v>1278</v>
      </c>
      <c r="C19" s="382" t="s">
        <v>1279</v>
      </c>
      <c r="D19" s="382" t="s">
        <v>1280</v>
      </c>
    </row>
    <row r="20" spans="1:4" ht="15" customHeight="1">
      <c r="A20" s="382" t="s">
        <v>1281</v>
      </c>
      <c r="B20" s="382" t="s">
        <v>1282</v>
      </c>
      <c r="C20" s="382" t="s">
        <v>1283</v>
      </c>
      <c r="D20" s="382" t="s">
        <v>1284</v>
      </c>
    </row>
    <row r="21" spans="1:4" ht="15" customHeight="1">
      <c r="A21" s="382" t="s">
        <v>1285</v>
      </c>
      <c r="B21" s="382" t="s">
        <v>1286</v>
      </c>
      <c r="C21" s="382" t="s">
        <v>1287</v>
      </c>
      <c r="D21" s="382" t="s">
        <v>1288</v>
      </c>
    </row>
    <row r="22" spans="1:4" ht="15" customHeight="1">
      <c r="A22" s="382" t="s">
        <v>1285</v>
      </c>
      <c r="B22" s="382" t="s">
        <v>1289</v>
      </c>
      <c r="C22" s="382" t="s">
        <v>1290</v>
      </c>
      <c r="D22" s="382" t="s">
        <v>1291</v>
      </c>
    </row>
    <row r="23" spans="1:4" ht="22.35" customHeight="1">
      <c r="A23" s="382" t="s">
        <v>1285</v>
      </c>
      <c r="B23" s="382" t="s">
        <v>1292</v>
      </c>
      <c r="C23" s="382" t="s">
        <v>1293</v>
      </c>
      <c r="D23" s="382" t="s">
        <v>1294</v>
      </c>
    </row>
    <row r="24" spans="1:4" ht="15" customHeight="1">
      <c r="A24" s="382" t="s">
        <v>1285</v>
      </c>
      <c r="B24" s="382" t="s">
        <v>1295</v>
      </c>
      <c r="C24" s="382" t="s">
        <v>1296</v>
      </c>
      <c r="D24" s="382" t="s">
        <v>1297</v>
      </c>
    </row>
    <row r="25" spans="1:4" ht="15" customHeight="1">
      <c r="A25" s="382" t="s">
        <v>1298</v>
      </c>
      <c r="B25" s="382" t="s">
        <v>1299</v>
      </c>
      <c r="C25" s="382" t="s">
        <v>1300</v>
      </c>
      <c r="D25" s="382" t="s">
        <v>1301</v>
      </c>
    </row>
    <row r="26" spans="1:4" ht="22.35" customHeight="1">
      <c r="A26" s="382" t="s">
        <v>1298</v>
      </c>
      <c r="B26" s="382" t="s">
        <v>1302</v>
      </c>
      <c r="C26" s="382" t="s">
        <v>1303</v>
      </c>
      <c r="D26" s="382" t="s">
        <v>1304</v>
      </c>
    </row>
    <row r="27" spans="1:4" ht="15" customHeight="1">
      <c r="A27" s="382" t="s">
        <v>1298</v>
      </c>
      <c r="B27" s="382" t="s">
        <v>1305</v>
      </c>
      <c r="C27" s="382" t="s">
        <v>1306</v>
      </c>
      <c r="D27" s="382" t="s">
        <v>1307</v>
      </c>
    </row>
    <row r="28" spans="1:4" ht="22.35" customHeight="1">
      <c r="A28" s="382" t="s">
        <v>1308</v>
      </c>
      <c r="B28" s="382" t="s">
        <v>1309</v>
      </c>
      <c r="C28" s="382" t="s">
        <v>1310</v>
      </c>
      <c r="D28" s="382" t="s">
        <v>1311</v>
      </c>
    </row>
    <row r="29" spans="1:4" ht="32.85" customHeight="1">
      <c r="A29" s="382" t="s">
        <v>1308</v>
      </c>
      <c r="B29" s="382" t="s">
        <v>1312</v>
      </c>
      <c r="C29" s="382" t="s">
        <v>1313</v>
      </c>
      <c r="D29" s="382" t="s">
        <v>1314</v>
      </c>
    </row>
    <row r="30" spans="1:4" ht="22.35" customHeight="1">
      <c r="A30" s="382" t="s">
        <v>1315</v>
      </c>
      <c r="B30" s="382" t="s">
        <v>1316</v>
      </c>
      <c r="C30" s="382" t="s">
        <v>1317</v>
      </c>
      <c r="D30" s="382" t="s">
        <v>1318</v>
      </c>
    </row>
    <row r="31" spans="1:4" ht="15" customHeight="1">
      <c r="A31" s="382" t="s">
        <v>1319</v>
      </c>
      <c r="B31" s="382" t="s">
        <v>1320</v>
      </c>
      <c r="C31" s="382" t="s">
        <v>1321</v>
      </c>
      <c r="D31" s="382" t="s">
        <v>1322</v>
      </c>
    </row>
    <row r="32" spans="1:4" ht="15" customHeight="1">
      <c r="A32" s="382" t="s">
        <v>423</v>
      </c>
      <c r="B32" s="382" t="s">
        <v>1323</v>
      </c>
      <c r="C32" s="382" t="s">
        <v>1324</v>
      </c>
      <c r="D32" s="382" t="s">
        <v>1325</v>
      </c>
    </row>
    <row r="33" spans="1:5" ht="15" customHeight="1">
      <c r="A33" s="382" t="s">
        <v>423</v>
      </c>
      <c r="B33" s="382" t="s">
        <v>1326</v>
      </c>
      <c r="C33" s="382" t="s">
        <v>1327</v>
      </c>
      <c r="D33" s="382" t="s">
        <v>1328</v>
      </c>
    </row>
    <row r="34" spans="1:5" ht="15" customHeight="1">
      <c r="A34" s="382" t="s">
        <v>423</v>
      </c>
      <c r="B34" s="382" t="s">
        <v>1329</v>
      </c>
      <c r="C34" s="382" t="s">
        <v>1330</v>
      </c>
      <c r="D34" s="382" t="s">
        <v>1331</v>
      </c>
    </row>
    <row r="35" spans="1:5" ht="22.35" customHeight="1">
      <c r="A35" s="382" t="s">
        <v>423</v>
      </c>
      <c r="B35" s="382" t="s">
        <v>1332</v>
      </c>
      <c r="C35" s="382" t="s">
        <v>1333</v>
      </c>
      <c r="D35" s="382" t="s">
        <v>1334</v>
      </c>
    </row>
    <row r="36" spans="1:5" ht="15" customHeight="1">
      <c r="A36" s="382" t="s">
        <v>423</v>
      </c>
      <c r="B36" s="382" t="s">
        <v>1335</v>
      </c>
      <c r="C36" s="382" t="s">
        <v>1336</v>
      </c>
      <c r="D36" s="382" t="s">
        <v>1337</v>
      </c>
    </row>
    <row r="37" spans="1:5" ht="32.85" customHeight="1">
      <c r="A37" s="382" t="s">
        <v>423</v>
      </c>
      <c r="B37" s="382" t="s">
        <v>1338</v>
      </c>
      <c r="C37" s="382" t="s">
        <v>1339</v>
      </c>
      <c r="D37" s="382" t="s">
        <v>1340</v>
      </c>
    </row>
    <row r="38" spans="1:5" ht="15" customHeight="1">
      <c r="A38" s="382" t="s">
        <v>1319</v>
      </c>
      <c r="B38" s="382" t="s">
        <v>1341</v>
      </c>
      <c r="C38" s="382" t="s">
        <v>1342</v>
      </c>
      <c r="D38" s="382" t="s">
        <v>1343</v>
      </c>
    </row>
    <row r="39" spans="1:5" ht="15" customHeight="1">
      <c r="A39" s="382"/>
      <c r="B39" s="382"/>
      <c r="C39" s="382"/>
      <c r="D39" s="382"/>
    </row>
    <row r="40" spans="1:5" ht="32.85" customHeight="1">
      <c r="A40" s="383" t="s">
        <v>1344</v>
      </c>
      <c r="B40" s="383" t="s">
        <v>1345</v>
      </c>
      <c r="C40" s="383" t="s">
        <v>1346</v>
      </c>
      <c r="D40" s="383" t="s">
        <v>1347</v>
      </c>
    </row>
    <row r="41" spans="1:5" ht="15" customHeight="1">
      <c r="A41" s="383" t="s">
        <v>1348</v>
      </c>
      <c r="B41" s="383" t="s">
        <v>1349</v>
      </c>
      <c r="C41" s="383" t="s">
        <v>1350</v>
      </c>
      <c r="D41" s="383" t="s">
        <v>1351</v>
      </c>
    </row>
    <row r="42" spans="1:5" ht="53.65" customHeight="1">
      <c r="A42" s="383" t="s">
        <v>1348</v>
      </c>
      <c r="B42" s="383" t="s">
        <v>1319</v>
      </c>
      <c r="C42" s="383" t="s">
        <v>1352</v>
      </c>
      <c r="D42" s="383" t="s">
        <v>1353</v>
      </c>
    </row>
    <row r="43" spans="1:5" ht="153">
      <c r="B43" s="570" t="s">
        <v>1358</v>
      </c>
      <c r="C43" s="569" t="s">
        <v>1357</v>
      </c>
      <c r="D43" s="569" t="s">
        <v>1359</v>
      </c>
      <c r="E43" s="66" t="s">
        <v>1365</v>
      </c>
    </row>
    <row r="44" spans="1:5" ht="63.75">
      <c r="B44" s="567" t="s">
        <v>1361</v>
      </c>
      <c r="C44" s="66" t="s">
        <v>1360</v>
      </c>
      <c r="D44" s="568" t="s">
        <v>1362</v>
      </c>
    </row>
    <row r="45" spans="1:5" ht="76.5">
      <c r="B45" s="567" t="s">
        <v>1364</v>
      </c>
      <c r="C45" s="66" t="s">
        <v>1363</v>
      </c>
      <c r="D45" s="567" t="s">
        <v>1364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Veri Girişi</vt:lpstr>
      <vt:lpstr>10-Trafik Hesap</vt:lpstr>
      <vt:lpstr>11-Muk. Hesapları</vt:lpstr>
      <vt:lpstr>12-Elk.Hesapları</vt:lpstr>
      <vt:lpstr>RAPOR</vt:lpstr>
      <vt:lpstr>TEKNİK</vt:lpstr>
      <vt:lpstr>Askı Tipleri</vt:lpstr>
      <vt:lpstr>TABLOLAR</vt:lpstr>
      <vt:lpstr>DEĞİŞİKLİK KAYDI</vt:lpstr>
      <vt:lpstr>firmalistesi</vt:lpstr>
      <vt:lpstr>frenblokmarka</vt:lpstr>
      <vt:lpstr>hızregülatörmarka</vt:lpstr>
      <vt:lpstr>kapıkilitmarka</vt:lpstr>
      <vt:lpstr>kumandakartmarka</vt:lpstr>
      <vt:lpstr>tamponmarka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Elmayra</dc:creator>
  <cp:lastModifiedBy>Mehmet Demir</cp:lastModifiedBy>
  <cp:revision>0</cp:revision>
  <cp:lastPrinted>2026-07-06T11:51:20Z</cp:lastPrinted>
  <dcterms:created xsi:type="dcterms:W3CDTF">2010-08-26T08:00:21Z</dcterms:created>
  <dcterms:modified xsi:type="dcterms:W3CDTF">2026-08-27T11:58:47Z</dcterms:modified>
  <dc:language>en-US</dc:language>
</cp:coreProperties>
</file>