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İRİŞ" sheetId="1" state="visible" r:id="rId1"/>
    <sheet name="ÖZET" sheetId="2" state="visible" r:id="rId2"/>
    <sheet name="1 NOLU ASANSÖR" sheetId="3" state="visible" r:id="rId3"/>
    <sheet name="2 NOLU ASANSÖR" sheetId="4" state="visible" r:id="rId4"/>
    <sheet name="3 NOLU ASANSÖR" sheetId="5" state="visible" r:id="rId5"/>
    <sheet name="4 NOLU ASANSÖR" sheetId="6" state="visible" r:id="rId6"/>
    <sheet name="MK.DAİRESİ AYD." sheetId="7" state="visible" r:id="rId7"/>
    <sheet name="TOPRAKLAMA" sheetId="8" state="visible" r:id="rId8"/>
    <sheet name="TABLOLAR" sheetId="9" state="visible" r:id="rId9"/>
    <sheet name="SABİTLER" sheetId="10" state="visible" r:id="rId10"/>
  </sheets>
  <definedNames>
    <definedName name="PALANGA">TABLOLAR!$A$91:$A$92</definedName>
    <definedName name="KAPASITE">TABLOLAR!$A$41:$A$49</definedName>
    <definedName name="_xlnm.Print_Area" localSheetId="0">'GİRİŞ'!$A$1:$H$58</definedName>
    <definedName name="_xlnm.Print_Area" localSheetId="1">'ÖZET'!$A$1:$G$32</definedName>
    <definedName name="_xlnm.Print_Titles" localSheetId="2">'1 NOLU ASANSÖR'!$1:$3</definedName>
    <definedName name="_xlnm.Print_Area" localSheetId="2">'1 NOLU ASANSÖR'!$A$1:$G$140</definedName>
    <definedName name="_xlnm.Print_Titles" localSheetId="3">'2 NOLU ASANSÖR'!$1:$3</definedName>
    <definedName name="_xlnm.Print_Area" localSheetId="3">'2 NOLU ASANSÖR'!$A$1:$G$140</definedName>
    <definedName name="_xlnm.Print_Titles" localSheetId="4">'3 NOLU ASANSÖR'!$1:$3</definedName>
    <definedName name="_xlnm.Print_Area" localSheetId="4">'3 NOLU ASANSÖR'!$A$1:$G$140</definedName>
    <definedName name="_xlnm.Print_Titles" localSheetId="5">'4 NOLU ASANSÖR'!$1:$3</definedName>
    <definedName name="_xlnm.Print_Area" localSheetId="5">'4 NOLU ASANSÖR'!$A$1:$G$140</definedName>
    <definedName name="_xlnm.Print_Titles" localSheetId="6">'MK.DAİRESİ AYD.'!$1:$3</definedName>
    <definedName name="_xlnm.Print_Area" localSheetId="6">'MK.DAİRESİ AYD.'!$A$1:$G$20</definedName>
    <definedName name="_xlnm.Print_Titles" localSheetId="7">'TOPRAKLAMA'!$1:$3</definedName>
    <definedName name="_xlnm.Print_Area" localSheetId="7">'TOPRAKLAMA'!$A$1:$G$34</definedName>
    <definedName name="_xlnm.Print_Area" localSheetId="8">'TABLOLAR'!$A$1:$K$92</definedName>
    <definedName name="_xlnm.Print_Area" localSheetId="9">'SABİTLER'!$A$1:$E$40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0000FF"/>
      <sz val="10"/>
    </font>
    <font>
      <name val="Arial"/>
      <color rgb="00808080"/>
      <sz val="8"/>
    </font>
    <font>
      <name val="Arial"/>
      <b val="1"/>
      <color rgb="001F3864"/>
      <sz val="11"/>
    </font>
    <font>
      <name val="Arial"/>
      <b val="1"/>
      <color rgb="001F3864"/>
      <sz val="10"/>
    </font>
    <font>
      <name val="Arial"/>
      <color rgb="00404040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FFF2A8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6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" fontId="5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2" fontId="5" fillId="5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1" fontId="7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1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0" fillId="7" borderId="1" pivotButton="0" quotePrefix="0" xfId="0"/>
    <xf numFmtId="2" fontId="7" fillId="7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 vertical="center"/>
    </xf>
    <xf numFmtId="1" fontId="4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2" fontId="7" fillId="7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3" fontId="7" fillId="7" borderId="0" applyAlignment="1" pivotButton="0" quotePrefix="0" xfId="0">
      <alignment horizontal="center" vertical="center"/>
    </xf>
    <xf numFmtId="4" fontId="7" fillId="7" borderId="0" applyAlignment="1" pivotButton="0" quotePrefix="0" xfId="0">
      <alignment horizontal="center" vertical="center"/>
    </xf>
    <xf numFmtId="1" fontId="7" fillId="7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1" fontId="3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4" fontId="7" fillId="7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" fontId="2" fillId="2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3" fontId="4" fillId="6" borderId="1" applyAlignment="1" pivotButton="0" quotePrefix="0" xfId="0">
      <alignment horizontal="center" vertical="center"/>
    </xf>
    <xf numFmtId="2" fontId="7" fillId="6" borderId="1" applyAlignment="1" pivotButton="0" quotePrefix="0" xfId="0">
      <alignment horizontal="center" vertical="center"/>
    </xf>
    <xf numFmtId="1" fontId="7" fillId="6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164" fontId="4" fillId="0" borderId="1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4" fontId="7" fillId="7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3">
    <dxf>
      <font>
        <name val="Arial"/>
        <b val="1"/>
        <color rgb="009C0006"/>
        <sz val="10"/>
      </font>
      <fill>
        <patternFill patternType="solid">
          <fgColor rgb="00FFC7CE"/>
        </patternFill>
      </fill>
    </dxf>
    <dxf>
      <font>
        <name val="Arial"/>
        <b val="1"/>
        <color rgb="00006100"/>
        <sz val="10"/>
      </font>
      <fill>
        <patternFill patternType="solid">
          <fgColor rgb="00C6EFCE"/>
        </patternFill>
      </fill>
    </dxf>
    <dxf>
      <font>
        <name val="Arial"/>
        <b val="1"/>
        <color rgb="00C00000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twoCell">
    <from>
      <col>0</col>
      <colOff>0</colOff>
      <row>110</row>
      <rowOff>0</rowOff>
    </from>
    <to>
      <col>7</col>
      <colOff>0</colOff>
      <row>114</row>
      <rowOff>0</rowOff>
    </to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twoCell">
    <from>
      <col>0</col>
      <colOff>0</colOff>
      <row>110</row>
      <rowOff>0</rowOff>
    </from>
    <to>
      <col>7</col>
      <colOff>0</colOff>
      <row>114</row>
      <rowOff>0</rowOff>
    </to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twoCell">
    <from>
      <col>0</col>
      <colOff>0</colOff>
      <row>110</row>
      <rowOff>0</rowOff>
    </from>
    <to>
      <col>7</col>
      <colOff>0</colOff>
      <row>114</row>
      <rowOff>0</rowOff>
    </to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two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twoCell">
    <from>
      <col>0</col>
      <colOff>0</colOff>
      <row>110</row>
      <rowOff>0</rowOff>
    </from>
    <to>
      <col>7</col>
      <colOff>0</colOff>
      <row>114</row>
      <rowOff>0</rowOff>
    </to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8"/>
  <sheetViews>
    <sheetView showGridLines="0" workbookViewId="0">
      <pane xSplit="2" ySplit="21" topLeftCell="C2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44" customWidth="1" min="2" max="2"/>
    <col width="14" customWidth="1" min="3" max="3"/>
    <col width="14" customWidth="1" min="4" max="4"/>
    <col width="14" customWidth="1" min="5" max="5"/>
    <col width="14" customWidth="1" min="6" max="6"/>
    <col width="11" customWidth="1" min="7" max="7"/>
    <col width="40" customWidth="1" min="8" max="8"/>
  </cols>
  <sheetData>
    <row r="1" ht="22" customHeight="1">
      <c r="A1" s="1" t="inlineStr">
        <is>
          <t>ASANSÖR AVAN PROJE HESAPLARI  —  VERİ GİRİŞİ</t>
        </is>
      </c>
      <c r="B1" s="58" t="n"/>
      <c r="C1" s="58" t="n"/>
      <c r="D1" s="58" t="n"/>
      <c r="E1" s="58" t="n"/>
      <c r="F1" s="58" t="n"/>
      <c r="G1" s="58" t="n"/>
      <c r="H1" s="59" t="n"/>
    </row>
    <row r="2" ht="38" customHeight="1">
      <c r="A2" s="3" t="inlineStr">
        <is>
          <t>SARI hücreler doldurulur.  Beyaz hücreler formülle gelir, üzerine yazmayın.  Kullanılmayan asansörün kolonunu tamamen boş bırakın — o asansörün hesap sayfaları kendini devre dışı bırakır.   Tüm asansörlerde ortak olan ofis standardı değerleri SABİTLER sayfasının B bölümündedir.   Trafik hesabı bu dosyada DEĞİLDİR (Asansor_Trafik_Hesabi.xlsx → PAFTA sayfası kullanılır).</t>
        </is>
      </c>
    </row>
    <row r="4" ht="18" customHeight="1">
      <c r="A4" s="4" t="inlineStr">
        <is>
          <t xml:space="preserve">  1)   ORTAK GİRDİLER   —   şebeke  /  topraklama  /  makine dairesi</t>
        </is>
      </c>
      <c r="B4" s="58" t="n"/>
      <c r="C4" s="58" t="n"/>
      <c r="D4" s="58" t="n"/>
      <c r="E4" s="58" t="n"/>
      <c r="F4" s="58" t="n"/>
      <c r="G4" s="58" t="n"/>
      <c r="H4" s="59" t="n"/>
    </row>
    <row r="5">
      <c r="A5" s="6" t="inlineStr">
        <is>
          <t>Sembol</t>
        </is>
      </c>
      <c r="B5" s="6" t="inlineStr">
        <is>
          <t>Büyüklük</t>
        </is>
      </c>
      <c r="C5" s="6" t="inlineStr">
        <is>
          <t>Değer</t>
        </is>
      </c>
      <c r="D5" s="6" t="inlineStr">
        <is>
          <t>Birim</t>
        </is>
      </c>
      <c r="E5" s="6" t="inlineStr">
        <is>
          <t>Açıklama  /  Kaynak</t>
        </is>
      </c>
      <c r="F5" s="58" t="n"/>
      <c r="G5" s="58" t="n"/>
      <c r="H5" s="59" t="n"/>
    </row>
    <row r="6">
      <c r="A6" s="7" t="inlineStr">
        <is>
          <t>U</t>
        </is>
      </c>
      <c r="B6" s="8" t="inlineStr">
        <is>
          <t>Şebeke gerilimi (fazlar arası)</t>
        </is>
      </c>
      <c r="C6" s="9" t="n">
        <v>380</v>
      </c>
      <c r="D6" s="10" t="inlineStr">
        <is>
          <t>V</t>
        </is>
      </c>
      <c r="E6" s="11" t="inlineStr">
        <is>
          <t>Klasik 0,0124 katsayısı 380 V içindir. 400 V yazarsanız gerilim düşümü ≈ %10 azalır.</t>
        </is>
      </c>
      <c r="F6" s="58" t="n"/>
      <c r="G6" s="58" t="n"/>
      <c r="H6" s="59" t="n"/>
    </row>
    <row r="7">
      <c r="A7" s="7" t="inlineStr">
        <is>
          <t>κ</t>
        </is>
      </c>
      <c r="B7" s="8" t="inlineStr">
        <is>
          <t>İletken iletkenliği</t>
        </is>
      </c>
      <c r="C7" s="9" t="n">
        <v>56</v>
      </c>
      <c r="D7" s="10" t="inlineStr">
        <is>
          <t>m/Ω·mm²</t>
        </is>
      </c>
      <c r="E7" s="11" t="inlineStr">
        <is>
          <t>Bakır 56   /   Alüminyum 35</t>
        </is>
      </c>
      <c r="F7" s="58" t="n"/>
      <c r="G7" s="58" t="n"/>
      <c r="H7" s="59" t="n"/>
    </row>
    <row r="8">
      <c r="A8" s="7" t="inlineStr">
        <is>
          <t>εmax</t>
        </is>
      </c>
      <c r="B8" s="8" t="inlineStr">
        <is>
          <t>İzin verilen gerilim düşümü</t>
        </is>
      </c>
      <c r="C8" s="9" t="n">
        <v>3</v>
      </c>
      <c r="D8" s="10" t="inlineStr">
        <is>
          <t>%</t>
        </is>
      </c>
      <c r="E8" s="11" t="inlineStr">
        <is>
          <t>Elektrik İç Tesisleri Yönetmeliği — motor devresi</t>
        </is>
      </c>
      <c r="F8" s="58" t="n"/>
      <c r="G8" s="58" t="n"/>
      <c r="H8" s="59" t="n"/>
    </row>
    <row r="10">
      <c r="A10" s="7" t="inlineStr">
        <is>
          <t>a</t>
        </is>
      </c>
      <c r="B10" s="8" t="inlineStr">
        <is>
          <t>Temel uzunluğu</t>
        </is>
      </c>
      <c r="C10" s="13" t="n">
        <v>26.55</v>
      </c>
      <c r="D10" s="10" t="inlineStr">
        <is>
          <t>m</t>
        </is>
      </c>
      <c r="E10" s="11" t="inlineStr">
        <is>
          <t>Topraklama — temel dış ölçüsü</t>
        </is>
      </c>
      <c r="F10" s="58" t="n"/>
      <c r="G10" s="58" t="n"/>
      <c r="H10" s="59" t="n"/>
    </row>
    <row r="11">
      <c r="A11" s="7" t="inlineStr">
        <is>
          <t>b</t>
        </is>
      </c>
      <c r="B11" s="8" t="inlineStr">
        <is>
          <t>Temel genişliği</t>
        </is>
      </c>
      <c r="C11" s="13" t="n">
        <v>16.4</v>
      </c>
      <c r="D11" s="10" t="inlineStr">
        <is>
          <t>m</t>
        </is>
      </c>
      <c r="E11" s="11" t="inlineStr">
        <is>
          <t>Topraklama — temel dış ölçüsü</t>
        </is>
      </c>
      <c r="F11" s="58" t="n"/>
      <c r="G11" s="58" t="n"/>
      <c r="H11" s="59" t="n"/>
    </row>
    <row r="12">
      <c r="A12" s="7" t="inlineStr">
        <is>
          <t>β</t>
        </is>
      </c>
      <c r="B12" s="8" t="inlineStr">
        <is>
          <t>Toprak özgül direnci</t>
        </is>
      </c>
      <c r="C12" s="9" t="n">
        <v>150</v>
      </c>
      <c r="D12" s="10" t="inlineStr">
        <is>
          <t>Ω·m</t>
        </is>
      </c>
      <c r="E12" s="11" t="inlineStr">
        <is>
          <t>Zemin etüdünden alınır; yoksa 150 Ω·m kabul edilir</t>
        </is>
      </c>
      <c r="F12" s="58" t="n"/>
      <c r="G12" s="58" t="n"/>
      <c r="H12" s="59" t="n"/>
    </row>
    <row r="13">
      <c r="A13" s="7" t="inlineStr">
        <is>
          <t>L</t>
        </is>
      </c>
      <c r="B13" s="8" t="inlineStr">
        <is>
          <t>Temel / şerit iletken uzunluğu</t>
        </is>
      </c>
      <c r="C13" s="13" t="n">
        <v>58.5</v>
      </c>
      <c r="D13" s="10" t="inlineStr">
        <is>
          <t>m</t>
        </is>
      </c>
      <c r="E13" s="11" t="inlineStr">
        <is>
          <t>Temele gömülen toplam şerit boyu</t>
        </is>
      </c>
      <c r="F13" s="58" t="n"/>
      <c r="G13" s="58" t="n"/>
      <c r="H13" s="59" t="n"/>
    </row>
    <row r="14">
      <c r="A14" s="7" t="inlineStr">
        <is>
          <t>Is</t>
        </is>
      </c>
      <c r="B14" s="8" t="inlineStr">
        <is>
          <t>Çubuk topraklayıcı sayısı</t>
        </is>
      </c>
      <c r="C14" s="9" t="n">
        <v>4</v>
      </c>
      <c r="D14" s="10" t="inlineStr">
        <is>
          <t>adet</t>
        </is>
      </c>
      <c r="E14" s="11" t="inlineStr">
        <is>
          <t>Paralel bağlı çubuk adedi</t>
        </is>
      </c>
      <c r="F14" s="58" t="n"/>
      <c r="G14" s="58" t="n"/>
      <c r="H14" s="59" t="n"/>
    </row>
    <row r="15">
      <c r="A15" s="7" t="inlineStr">
        <is>
          <t>—</t>
        </is>
      </c>
      <c r="B15" s="8" t="inlineStr">
        <is>
          <t>Makine dairesi YOK  ( MRL — makine kuyu içinde )</t>
        </is>
      </c>
      <c r="C15" s="9" t="inlineStr">
        <is>
          <t>Hayır</t>
        </is>
      </c>
      <c r="D15" s="10" t="inlineStr">
        <is>
          <t>—</t>
        </is>
      </c>
      <c r="E15" s="11" t="inlineStr">
        <is>
          <t>'Evet' ise makine dairesi aydınlatma hesabı yapılmaz. 'Hayır' ise aşağıdaki A ve B ölçüleri zorunludur.</t>
        </is>
      </c>
      <c r="F15" s="58" t="n"/>
      <c r="G15" s="58" t="n"/>
      <c r="H15" s="59" t="n"/>
    </row>
    <row r="16">
      <c r="A16" s="7" t="inlineStr">
        <is>
          <t>A</t>
        </is>
      </c>
      <c r="B16" s="8" t="inlineStr">
        <is>
          <t>Makine dairesi uzunluğu</t>
        </is>
      </c>
      <c r="C16" s="9" t="n">
        <v>0</v>
      </c>
      <c r="D16" s="10" t="inlineStr">
        <is>
          <t>mm</t>
        </is>
      </c>
      <c r="E16" s="11" t="inlineStr">
        <is>
          <t>Makine dairesi yoksa üstteki kutuyu 'Evet' yapın; ölçü aranmaz.</t>
        </is>
      </c>
      <c r="F16" s="58" t="n"/>
      <c r="G16" s="58" t="n"/>
      <c r="H16" s="59" t="n"/>
    </row>
    <row r="17">
      <c r="A17" s="7" t="inlineStr">
        <is>
          <t>B</t>
        </is>
      </c>
      <c r="B17" s="8" t="inlineStr">
        <is>
          <t>Makine dairesi genişliği</t>
        </is>
      </c>
      <c r="C17" s="9" t="n">
        <v>0</v>
      </c>
      <c r="D17" s="10" t="inlineStr">
        <is>
          <t>mm</t>
        </is>
      </c>
      <c r="E17" s="11" t="inlineStr">
        <is>
          <t>Makine dairesi yoksa üstteki kutuyu 'Evet' yapın; ölçü aranmaz.</t>
        </is>
      </c>
      <c r="F17" s="58" t="n"/>
      <c r="G17" s="58" t="n"/>
      <c r="H17" s="59" t="n"/>
    </row>
    <row r="18">
      <c r="A18" s="7" t="inlineStr">
        <is>
          <t>A</t>
        </is>
      </c>
      <c r="B18" s="8" t="inlineStr">
        <is>
          <t>→   Temel alanı   =   a · b</t>
        </is>
      </c>
      <c r="C18" s="14">
        <f>$C$10*$C$11</f>
        <v/>
      </c>
      <c r="D18" s="10" t="inlineStr">
        <is>
          <t>m²</t>
        </is>
      </c>
      <c r="E18" s="11" t="inlineStr">
        <is>
          <t>Otomatik</t>
        </is>
      </c>
      <c r="F18" s="58" t="n"/>
      <c r="G18" s="58" t="n"/>
      <c r="H18" s="59" t="n"/>
    </row>
    <row r="20" ht="18" customHeight="1">
      <c r="A20" s="4" t="inlineStr">
        <is>
          <t xml:space="preserve">  2)   ASANSÖR BAZLI GİRDİLER   —   her asansör kendi kolonunda</t>
        </is>
      </c>
      <c r="B20" s="58" t="n"/>
      <c r="C20" s="58" t="n"/>
      <c r="D20" s="58" t="n"/>
      <c r="E20" s="58" t="n"/>
      <c r="F20" s="58" t="n"/>
      <c r="G20" s="58" t="n"/>
      <c r="H20" s="59" t="n"/>
    </row>
    <row r="21" ht="30" customHeight="1">
      <c r="A21" s="6" t="inlineStr">
        <is>
          <t>Sembol</t>
        </is>
      </c>
      <c r="B21" s="6" t="inlineStr">
        <is>
          <t>Büyüklük</t>
        </is>
      </c>
      <c r="C21" s="15" t="inlineStr">
        <is>
          <t>1 NOLU
ASANSÖR</t>
        </is>
      </c>
      <c r="D21" s="15" t="inlineStr">
        <is>
          <t>2 NOLU
ASANSÖR</t>
        </is>
      </c>
      <c r="E21" s="15" t="inlineStr">
        <is>
          <t>3 NOLU
ASANSÖR</t>
        </is>
      </c>
      <c r="F21" s="15" t="inlineStr">
        <is>
          <t>4 NOLU
ASANSÖR</t>
        </is>
      </c>
      <c r="G21" s="6" t="inlineStr">
        <is>
          <t>Birim</t>
        </is>
      </c>
      <c r="H21" s="6" t="inlineStr">
        <is>
          <t>Açıklama  /  Kaynak</t>
        </is>
      </c>
    </row>
    <row r="22">
      <c r="A22" s="16" t="inlineStr">
        <is>
          <t xml:space="preserve">        GENEL</t>
        </is>
      </c>
      <c r="B22" s="58" t="n"/>
      <c r="C22" s="58" t="n"/>
      <c r="D22" s="58" t="n"/>
      <c r="E22" s="58" t="n"/>
      <c r="F22" s="58" t="n"/>
      <c r="G22" s="58" t="n"/>
      <c r="H22" s="59" t="n"/>
    </row>
    <row r="23">
      <c r="A23" s="7" t="inlineStr">
        <is>
          <t>—</t>
        </is>
      </c>
      <c r="B23" s="8" t="inlineStr">
        <is>
          <t>Asansör tanımı</t>
        </is>
      </c>
      <c r="C23" s="18" t="inlineStr">
        <is>
          <t>İnsan</t>
        </is>
      </c>
      <c r="D23" s="18" t="inlineStr">
        <is>
          <t>Sedye + Yük</t>
        </is>
      </c>
      <c r="E23" s="18" t="n"/>
      <c r="F23" s="18" t="n"/>
      <c r="G23" s="10" t="inlineStr">
        <is>
          <t>—</t>
        </is>
      </c>
      <c r="H23" s="11" t="inlineStr">
        <is>
          <t>Kullanılmayacak asansörün TÜM satırlarını boş bırakın</t>
        </is>
      </c>
    </row>
    <row r="24">
      <c r="A24" s="7" t="inlineStr">
        <is>
          <t>P</t>
        </is>
      </c>
      <c r="B24" s="8" t="inlineStr">
        <is>
          <t>Kabin kapasitesi</t>
        </is>
      </c>
      <c r="C24" s="18" t="n">
        <v>10</v>
      </c>
      <c r="D24" s="18" t="n">
        <v>16</v>
      </c>
      <c r="E24" s="18" t="n"/>
      <c r="F24" s="18" t="n"/>
      <c r="G24" s="10" t="inlineStr">
        <is>
          <t>kişi</t>
        </is>
      </c>
      <c r="H24" s="11" t="inlineStr">
        <is>
          <t>Trafik hesabından gelir</t>
        </is>
      </c>
    </row>
    <row r="25">
      <c r="A25" s="7" t="inlineStr">
        <is>
          <t>Q0</t>
        </is>
      </c>
      <c r="B25" s="8" t="inlineStr">
        <is>
          <t>→   Anma yükü  (kapasiteden — Tablo-7)</t>
        </is>
      </c>
      <c r="C25" s="19">
        <f>IF(C24="","",IFERROR(INDEX(TABLOLAR!$B$41:$B$49,MATCH(C24,TABLOLAR!$A$41:$A$49,0)),"TABLO-7 DIŞI"))</f>
        <v/>
      </c>
      <c r="D25" s="19">
        <f>IF(D24="","",IFERROR(INDEX(TABLOLAR!$B$41:$B$49,MATCH(D24,TABLOLAR!$A$41:$A$49,0)),"TABLO-7 DIŞI"))</f>
        <v/>
      </c>
      <c r="E25" s="19">
        <f>IF(E24="","",IFERROR(INDEX(TABLOLAR!$B$41:$B$49,MATCH(E24,TABLOLAR!$A$41:$A$49,0)),"TABLO-7 DIŞI"))</f>
        <v/>
      </c>
      <c r="F25" s="19">
        <f>IF(F24="","",IFERROR(INDEX(TABLOLAR!$B$41:$B$49,MATCH(F24,TABLOLAR!$A$41:$A$49,0)),"TABLO-7 DIŞI"))</f>
        <v/>
      </c>
      <c r="G25" s="10" t="inlineStr">
        <is>
          <t>kg</t>
        </is>
      </c>
      <c r="H25" s="11" t="inlineStr">
        <is>
          <t>Otomatik</t>
        </is>
      </c>
    </row>
    <row r="26">
      <c r="A26" s="7" t="inlineStr">
        <is>
          <t>Q</t>
        </is>
      </c>
      <c r="B26" s="8" t="inlineStr">
        <is>
          <t>Anma yükü  —  elle   ( boş = Tablo-7 )</t>
        </is>
      </c>
      <c r="C26" s="18" t="n"/>
      <c r="D26" s="18" t="n"/>
      <c r="E26" s="18" t="n"/>
      <c r="F26" s="18" t="n"/>
      <c r="G26" s="10" t="inlineStr">
        <is>
          <t>kg</t>
        </is>
      </c>
      <c r="H26" s="11" t="inlineStr">
        <is>
          <t>Yalnız Tablo-7 dışı kapasitede doldurun</t>
        </is>
      </c>
    </row>
    <row r="27">
      <c r="A27" s="7" t="inlineStr">
        <is>
          <t>Q</t>
        </is>
      </c>
      <c r="B27" s="8" t="inlineStr">
        <is>
          <t>→   KULLANILAN anma yükü</t>
        </is>
      </c>
      <c r="C27" s="19">
        <f>IF(ISNUMBER(C26),C26,IF(ISNUMBER(C25),C25,""))</f>
        <v/>
      </c>
      <c r="D27" s="19">
        <f>IF(ISNUMBER(D26),D26,IF(ISNUMBER(D25),D25,""))</f>
        <v/>
      </c>
      <c r="E27" s="19">
        <f>IF(ISNUMBER(E26),E26,IF(ISNUMBER(E25),E25,""))</f>
        <v/>
      </c>
      <c r="F27" s="19">
        <f>IF(ISNUMBER(F26),F26,IF(ISNUMBER(F25),F25,""))</f>
        <v/>
      </c>
      <c r="G27" s="10" t="inlineStr">
        <is>
          <t>kg</t>
        </is>
      </c>
      <c r="H27" s="11" t="inlineStr">
        <is>
          <t>Otomatik — tüm hesaplar bunu kullanır</t>
        </is>
      </c>
    </row>
    <row r="28">
      <c r="A28" s="7" t="inlineStr">
        <is>
          <t>V</t>
        </is>
      </c>
      <c r="B28" s="8" t="inlineStr">
        <is>
          <t>Kabin hızı</t>
        </is>
      </c>
      <c r="C28" s="13" t="n">
        <v>1.6</v>
      </c>
      <c r="D28" s="13" t="n">
        <v>1</v>
      </c>
      <c r="E28" s="18" t="n"/>
      <c r="F28" s="18" t="n"/>
      <c r="G28" s="10" t="inlineStr">
        <is>
          <t>m/s</t>
        </is>
      </c>
      <c r="H28" s="11" t="inlineStr">
        <is>
          <t>Trafik hesabından gelir</t>
        </is>
      </c>
    </row>
    <row r="29">
      <c r="A29" s="7" t="inlineStr">
        <is>
          <t>η</t>
        </is>
      </c>
      <c r="B29" s="8" t="inlineStr">
        <is>
          <t>Makine verimi</t>
        </is>
      </c>
      <c r="C29" s="13" t="n">
        <v>0.85</v>
      </c>
      <c r="D29" s="13" t="n">
        <v>0.85</v>
      </c>
      <c r="E29" s="18" t="n"/>
      <c r="F29" s="18" t="n"/>
      <c r="G29" s="10" t="inlineStr">
        <is>
          <t>—</t>
        </is>
      </c>
      <c r="H29" s="11" t="inlineStr">
        <is>
          <t>Dişlisiz 0,85   /   Dişli 0,50    (MMO/697 s.21)</t>
        </is>
      </c>
    </row>
    <row r="30">
      <c r="A30" s="16" t="inlineStr">
        <is>
          <t xml:space="preserve">        BOYUTLAR</t>
        </is>
      </c>
      <c r="B30" s="58" t="n"/>
      <c r="C30" s="58" t="n"/>
      <c r="D30" s="58" t="n"/>
      <c r="E30" s="58" t="n"/>
      <c r="F30" s="58" t="n"/>
      <c r="G30" s="58" t="n"/>
      <c r="H30" s="59" t="n"/>
    </row>
    <row r="31">
      <c r="A31" s="7" t="inlineStr">
        <is>
          <t>Hk</t>
        </is>
      </c>
      <c r="B31" s="8" t="inlineStr">
        <is>
          <t>Kuyu yüksekliği  (toplam)</t>
        </is>
      </c>
      <c r="C31" s="13" t="n">
        <v>32.85</v>
      </c>
      <c r="D31" s="13" t="n">
        <v>32.85</v>
      </c>
      <c r="E31" s="18" t="n"/>
      <c r="F31" s="18" t="n"/>
      <c r="G31" s="10" t="inlineStr">
        <is>
          <t>m</t>
        </is>
      </c>
      <c r="H31" s="11" t="inlineStr">
        <is>
          <t>Ray, flexbil ve kuyu aydınlatması bu ölçüyü kullanır</t>
        </is>
      </c>
    </row>
    <row r="32">
      <c r="A32" s="7" t="inlineStr">
        <is>
          <t>b</t>
        </is>
      </c>
      <c r="B32" s="8" t="inlineStr">
        <is>
          <t>Kuyu genişliği  (plan)</t>
        </is>
      </c>
      <c r="C32" s="18" t="n">
        <v>1800</v>
      </c>
      <c r="D32" s="18" t="n">
        <v>2650</v>
      </c>
      <c r="E32" s="18" t="n"/>
      <c r="F32" s="18" t="n"/>
      <c r="G32" s="10" t="inlineStr">
        <is>
          <t>mm</t>
        </is>
      </c>
      <c r="H32" s="11" t="inlineStr">
        <is>
          <t>Kuyu aydınlatması</t>
        </is>
      </c>
    </row>
    <row r="33">
      <c r="A33" s="7" t="inlineStr">
        <is>
          <t>a</t>
        </is>
      </c>
      <c r="B33" s="8" t="inlineStr">
        <is>
          <t>Kabin boyu</t>
        </is>
      </c>
      <c r="C33" s="18" t="n">
        <v>1450</v>
      </c>
      <c r="D33" s="18" t="n">
        <v>1350</v>
      </c>
      <c r="E33" s="18" t="n"/>
      <c r="F33" s="18" t="n"/>
      <c r="G33" s="10" t="inlineStr">
        <is>
          <t>mm</t>
        </is>
      </c>
      <c r="H33" s="11" t="inlineStr">
        <is>
          <t>Kabin aydınlatması</t>
        </is>
      </c>
    </row>
    <row r="34">
      <c r="A34" s="7" t="inlineStr">
        <is>
          <t>b</t>
        </is>
      </c>
      <c r="B34" s="8" t="inlineStr">
        <is>
          <t>Kabin genişliği</t>
        </is>
      </c>
      <c r="C34" s="18" t="n">
        <v>1300</v>
      </c>
      <c r="D34" s="18" t="n">
        <v>2100</v>
      </c>
      <c r="E34" s="18" t="n"/>
      <c r="F34" s="18" t="n"/>
      <c r="G34" s="10" t="inlineStr">
        <is>
          <t>mm</t>
        </is>
      </c>
      <c r="H34" s="11" t="inlineStr">
        <is>
          <t>Kabin aydınlatması</t>
        </is>
      </c>
    </row>
    <row r="35">
      <c r="A35" s="16" t="inlineStr">
        <is>
          <t xml:space="preserve">        AĞIRLIKLAR</t>
        </is>
      </c>
      <c r="B35" s="58" t="n"/>
      <c r="C35" s="58" t="n"/>
      <c r="D35" s="58" t="n"/>
      <c r="E35" s="58" t="n"/>
      <c r="F35" s="58" t="n"/>
      <c r="G35" s="58" t="n"/>
      <c r="H35" s="59" t="n"/>
    </row>
    <row r="36">
      <c r="A36" s="7" t="inlineStr">
        <is>
          <t>Gk0</t>
        </is>
      </c>
      <c r="B36" s="8" t="inlineStr">
        <is>
          <t>→   Boş kabin kütlesi  ( Tablo-11 )</t>
        </is>
      </c>
      <c r="C36" s="19">
        <f>IF(C27="","",IFERROR(ROUND(IF(C27&lt;=INDEX(TABLOLAR!$A$70:$A$78,1),INDEX(TABLOLAR!$B$70:$B$78,1),IF(C27&gt;=INDEX(TABLOLAR!$A$70:$A$78,COUNT(TABLOLAR!$A$70:$A$78)),INDEX(TABLOLAR!$B$70:$B$78,COUNT(TABLOLAR!$A$70:$A$78)),INDEX(TABLOLAR!$B$70:$B$78,MATCH(C27,TABLOLAR!$A$70:$A$78,1))+(C27-INDEX(TABLOLAR!$A$70:$A$78,MATCH(C27,TABLOLAR!$A$70:$A$78,1)))*(INDEX(TABLOLAR!$B$70:$B$78,MATCH(C27,TABLOLAR!$A$70:$A$78,1)+1)-INDEX(TABLOLAR!$B$70:$B$78,MATCH(C27,TABLOLAR!$A$70:$A$78,1)))/(INDEX(TABLOLAR!$A$70:$A$78,MATCH(C27,TABLOLAR!$A$70:$A$78,1)+1)-INDEX(TABLOLAR!$A$70:$A$78,MATCH(C27,TABLOLAR!$A$70:$A$78,1))))),-1),""))</f>
        <v/>
      </c>
      <c r="D36" s="19">
        <f>IF(D27="","",IFERROR(ROUND(IF(D27&lt;=INDEX(TABLOLAR!$A$70:$A$78,1),INDEX(TABLOLAR!$B$70:$B$78,1),IF(D27&gt;=INDEX(TABLOLAR!$A$70:$A$78,COUNT(TABLOLAR!$A$70:$A$78)),INDEX(TABLOLAR!$B$70:$B$78,COUNT(TABLOLAR!$A$70:$A$78)),INDEX(TABLOLAR!$B$70:$B$78,MATCH(D27,TABLOLAR!$A$70:$A$78,1))+(D27-INDEX(TABLOLAR!$A$70:$A$78,MATCH(D27,TABLOLAR!$A$70:$A$78,1)))*(INDEX(TABLOLAR!$B$70:$B$78,MATCH(D27,TABLOLAR!$A$70:$A$78,1)+1)-INDEX(TABLOLAR!$B$70:$B$78,MATCH(D27,TABLOLAR!$A$70:$A$78,1)))/(INDEX(TABLOLAR!$A$70:$A$78,MATCH(D27,TABLOLAR!$A$70:$A$78,1)+1)-INDEX(TABLOLAR!$A$70:$A$78,MATCH(D27,TABLOLAR!$A$70:$A$78,1))))),-1),""))</f>
        <v/>
      </c>
      <c r="E36" s="19">
        <f>IF(E27="","",IFERROR(ROUND(IF(E27&lt;=INDEX(TABLOLAR!$A$70:$A$78,1),INDEX(TABLOLAR!$B$70:$B$78,1),IF(E27&gt;=INDEX(TABLOLAR!$A$70:$A$78,COUNT(TABLOLAR!$A$70:$A$78)),INDEX(TABLOLAR!$B$70:$B$78,COUNT(TABLOLAR!$A$70:$A$78)),INDEX(TABLOLAR!$B$70:$B$78,MATCH(E27,TABLOLAR!$A$70:$A$78,1))+(E27-INDEX(TABLOLAR!$A$70:$A$78,MATCH(E27,TABLOLAR!$A$70:$A$78,1)))*(INDEX(TABLOLAR!$B$70:$B$78,MATCH(E27,TABLOLAR!$A$70:$A$78,1)+1)-INDEX(TABLOLAR!$B$70:$B$78,MATCH(E27,TABLOLAR!$A$70:$A$78,1)))/(INDEX(TABLOLAR!$A$70:$A$78,MATCH(E27,TABLOLAR!$A$70:$A$78,1)+1)-INDEX(TABLOLAR!$A$70:$A$78,MATCH(E27,TABLOLAR!$A$70:$A$78,1))))),-1),""))</f>
        <v/>
      </c>
      <c r="F36" s="19">
        <f>IF(F27="","",IFERROR(ROUND(IF(F27&lt;=INDEX(TABLOLAR!$A$70:$A$78,1),INDEX(TABLOLAR!$B$70:$B$78,1),IF(F27&gt;=INDEX(TABLOLAR!$A$70:$A$78,COUNT(TABLOLAR!$A$70:$A$78)),INDEX(TABLOLAR!$B$70:$B$78,COUNT(TABLOLAR!$A$70:$A$78)),INDEX(TABLOLAR!$B$70:$B$78,MATCH(F27,TABLOLAR!$A$70:$A$78,1))+(F27-INDEX(TABLOLAR!$A$70:$A$78,MATCH(F27,TABLOLAR!$A$70:$A$78,1)))*(INDEX(TABLOLAR!$B$70:$B$78,MATCH(F27,TABLOLAR!$A$70:$A$78,1)+1)-INDEX(TABLOLAR!$B$70:$B$78,MATCH(F27,TABLOLAR!$A$70:$A$78,1)))/(INDEX(TABLOLAR!$A$70:$A$78,MATCH(F27,TABLOLAR!$A$70:$A$78,1)+1)-INDEX(TABLOLAR!$A$70:$A$78,MATCH(F27,TABLOLAR!$A$70:$A$78,1))))),-1),""))</f>
        <v/>
      </c>
      <c r="G36" s="10" t="inlineStr">
        <is>
          <t>kg</t>
        </is>
      </c>
      <c r="H36" s="11" t="inlineStr">
        <is>
          <t>Otomatik  —  ortalama değer</t>
        </is>
      </c>
    </row>
    <row r="37">
      <c r="A37" s="7" t="inlineStr">
        <is>
          <t>Gk</t>
        </is>
      </c>
      <c r="B37" s="8" t="inlineStr">
        <is>
          <t>Boş kabin kütlesi  —  elle   ( boş = Tablo-11 )</t>
        </is>
      </c>
      <c r="C37" s="18" t="n"/>
      <c r="D37" s="18" t="n"/>
      <c r="E37" s="18" t="n"/>
      <c r="F37" s="18" t="n"/>
      <c r="G37" s="10" t="inlineStr">
        <is>
          <t>kg</t>
        </is>
      </c>
      <c r="H37" s="11" t="inlineStr">
        <is>
          <t>İmalatçı verisi varsa doldurun</t>
        </is>
      </c>
    </row>
    <row r="38">
      <c r="A38" s="7" t="inlineStr">
        <is>
          <t>Gk</t>
        </is>
      </c>
      <c r="B38" s="8" t="inlineStr">
        <is>
          <t>→   KULLANILAN boş kabin kütlesi</t>
        </is>
      </c>
      <c r="C38" s="19">
        <f>IF(ISNUMBER(C37),C37,IF(ISNUMBER(C36),C36,""))</f>
        <v/>
      </c>
      <c r="D38" s="19">
        <f>IF(ISNUMBER(D37),D37,IF(ISNUMBER(D36),D36,""))</f>
        <v/>
      </c>
      <c r="E38" s="19">
        <f>IF(ISNUMBER(E37),E37,IF(ISNUMBER(E36),E36,""))</f>
        <v/>
      </c>
      <c r="F38" s="19">
        <f>IF(ISNUMBER(F37),F37,IF(ISNUMBER(F36),F36,""))</f>
        <v/>
      </c>
      <c r="G38" s="10" t="inlineStr">
        <is>
          <t>kg</t>
        </is>
      </c>
      <c r="H38" s="11" t="inlineStr">
        <is>
          <t>Otomatik  —  kuvvet hesapları bunu kullanır</t>
        </is>
      </c>
    </row>
    <row r="39">
      <c r="A39" s="7" t="inlineStr">
        <is>
          <t>gr</t>
        </is>
      </c>
      <c r="B39" s="8" t="inlineStr">
        <is>
          <t>Kılavuz ray birim kütlesi</t>
        </is>
      </c>
      <c r="C39" s="13" t="n">
        <v>17.91</v>
      </c>
      <c r="D39" s="13" t="n">
        <v>17.91</v>
      </c>
      <c r="E39" s="18" t="n"/>
      <c r="F39" s="18" t="n"/>
      <c r="G39" s="10" t="inlineStr">
        <is>
          <t>kg/m</t>
        </is>
      </c>
      <c r="H39" s="11" t="inlineStr">
        <is>
          <t>T89 ≈ 8,9   /   T127-1/B ≈ 17,9 kg/m</t>
        </is>
      </c>
    </row>
    <row r="40">
      <c r="A40" s="7" t="inlineStr">
        <is>
          <t>Fmk</t>
        </is>
      </c>
      <c r="B40" s="8" t="inlineStr">
        <is>
          <t>Makine ağırlığı</t>
        </is>
      </c>
      <c r="C40" s="18" t="n">
        <v>350</v>
      </c>
      <c r="D40" s="18" t="n">
        <v>350</v>
      </c>
      <c r="E40" s="18" t="n"/>
      <c r="F40" s="18" t="n"/>
      <c r="G40" s="10" t="inlineStr">
        <is>
          <t>kg</t>
        </is>
      </c>
      <c r="H40" s="11" t="inlineStr">
        <is>
          <t>İmalatçı verisi</t>
        </is>
      </c>
    </row>
    <row r="41" ht="21" customHeight="1">
      <c r="A41" s="7" t="inlineStr">
        <is>
          <t>Fsh</t>
        </is>
      </c>
      <c r="B41" s="8" t="inlineStr">
        <is>
          <t>Makine sehpası / konstrüksiyon ağırlığı</t>
        </is>
      </c>
      <c r="C41" s="18" t="n">
        <v>100</v>
      </c>
      <c r="D41" s="18" t="n">
        <v>100</v>
      </c>
      <c r="E41" s="18" t="n"/>
      <c r="F41" s="18" t="n"/>
      <c r="G41" s="10" t="inlineStr">
        <is>
          <t>kg</t>
        </is>
      </c>
      <c r="H41" s="11" t="inlineStr">
        <is>
          <t>Makine daireli sistemde betonarme kaide ağırlığı buraya yazılır</t>
        </is>
      </c>
    </row>
    <row r="42">
      <c r="A42" s="16" t="inlineStr">
        <is>
          <t xml:space="preserve">        ELEKTRİK</t>
        </is>
      </c>
      <c r="B42" s="58" t="n"/>
      <c r="C42" s="58" t="n"/>
      <c r="D42" s="58" t="n"/>
      <c r="E42" s="58" t="n"/>
      <c r="F42" s="58" t="n"/>
      <c r="G42" s="58" t="n"/>
      <c r="H42" s="59" t="n"/>
    </row>
    <row r="43" ht="21" customHeight="1">
      <c r="A43" s="7" t="inlineStr">
        <is>
          <t>Nsç</t>
        </is>
      </c>
      <c r="B43" s="8" t="inlineStr">
        <is>
          <t>SEÇİLEN motor gücü</t>
        </is>
      </c>
      <c r="C43" s="18" t="n">
        <v>11</v>
      </c>
      <c r="D43" s="18" t="n">
        <v>11</v>
      </c>
      <c r="E43" s="18" t="n"/>
      <c r="F43" s="18" t="n"/>
      <c r="G43" s="10" t="inlineStr">
        <is>
          <t>kW</t>
        </is>
      </c>
      <c r="H43" s="11" t="inlineStr">
        <is>
          <t>Hesaplananın üstündeki standart motor — MOTOR sayfası kontrol eder</t>
        </is>
      </c>
    </row>
    <row r="44">
      <c r="A44" s="7" t="inlineStr">
        <is>
          <t>S1</t>
        </is>
      </c>
      <c r="B44" s="8" t="inlineStr">
        <is>
          <t>Kolon hattı kesiti</t>
        </is>
      </c>
      <c r="C44" s="18" t="n">
        <v>6</v>
      </c>
      <c r="D44" s="18" t="n">
        <v>6</v>
      </c>
      <c r="E44" s="18" t="n"/>
      <c r="F44" s="18" t="n"/>
      <c r="G44" s="10" t="inlineStr">
        <is>
          <t>mm²</t>
        </is>
      </c>
      <c r="H44" s="11" t="inlineStr">
        <is>
          <t>Ana pano → asansör panosu</t>
        </is>
      </c>
    </row>
    <row r="45" ht="31.5" customHeight="1">
      <c r="A45" s="7" t="inlineStr">
        <is>
          <t>L1</t>
        </is>
      </c>
      <c r="B45" s="8" t="inlineStr">
        <is>
          <t>Kolon hattı uzunluğu</t>
        </is>
      </c>
      <c r="C45" s="13" t="n">
        <v>32.85</v>
      </c>
      <c r="D45" s="13" t="n">
        <v>32.85</v>
      </c>
      <c r="E45" s="18" t="n"/>
      <c r="F45" s="18" t="n"/>
      <c r="G45" s="10" t="inlineStr">
        <is>
          <t>m</t>
        </is>
      </c>
      <c r="H45" s="11" t="inlineStr">
        <is>
          <t>GERÇEK kablo güzergâhı  —  ana panodan asansör panosuna yatay + düşey toplam. Kuyu yüksekliğine eşit KABUL ETMEYİN, plandan ölçün.</t>
        </is>
      </c>
    </row>
    <row r="46">
      <c r="A46" s="7" t="inlineStr">
        <is>
          <t>S2</t>
        </is>
      </c>
      <c r="B46" s="8" t="inlineStr">
        <is>
          <t>Makine besleme kesiti</t>
        </is>
      </c>
      <c r="C46" s="18" t="n">
        <v>6</v>
      </c>
      <c r="D46" s="18" t="n">
        <v>6</v>
      </c>
      <c r="E46" s="18" t="n"/>
      <c r="F46" s="18" t="n"/>
      <c r="G46" s="10" t="inlineStr">
        <is>
          <t>mm²</t>
        </is>
      </c>
      <c r="H46" s="11" t="inlineStr">
        <is>
          <t>Asansör panosu → motor</t>
        </is>
      </c>
    </row>
    <row r="47">
      <c r="A47" s="7" t="inlineStr">
        <is>
          <t>L2</t>
        </is>
      </c>
      <c r="B47" s="8" t="inlineStr">
        <is>
          <t>Makine besleme uzunluğu</t>
        </is>
      </c>
      <c r="C47" s="13" t="n">
        <v>3</v>
      </c>
      <c r="D47" s="13" t="n">
        <v>3</v>
      </c>
      <c r="E47" s="18" t="n"/>
      <c r="F47" s="18" t="n"/>
      <c r="G47" s="10" t="inlineStr">
        <is>
          <t>m</t>
        </is>
      </c>
      <c r="H47" s="11" t="inlineStr"/>
    </row>
    <row r="48">
      <c r="A48" s="7" t="inlineStr">
        <is>
          <t>—</t>
        </is>
      </c>
      <c r="B48" s="8" t="inlineStr">
        <is>
          <t>Kablo tipi (metne yazılır)</t>
        </is>
      </c>
      <c r="C48" s="18" t="inlineStr">
        <is>
          <t>NHXMH FE180</t>
        </is>
      </c>
      <c r="D48" s="18" t="inlineStr">
        <is>
          <t>NHXMH FE180</t>
        </is>
      </c>
      <c r="E48" s="18" t="n"/>
      <c r="F48" s="18" t="n"/>
      <c r="G48" s="10" t="inlineStr">
        <is>
          <t>—</t>
        </is>
      </c>
      <c r="H48" s="11" t="inlineStr"/>
    </row>
    <row r="50" ht="44" customHeight="1">
      <c r="A50" s="66" t="inlineStr">
        <is>
          <t>Q₀ kapasiteden Tablo-7 ile bulunur.  Q satırını yalnız Tablo-7 dışı bir kapasite kullanıyorsanız doldurun; boşsa Q₀ geçerlidir.   Boş kabin kütlesi Gk de anma yükünden Tablo-11 ile gelir; imalatçı verisi varsa 'elle' satırına yazın.   Palanga (i) ve denge faktörü (q) ASANSÖR BAZINDA girilebilir (aşağıdaki 3. bölüm); boş bırakılırsa SABİTLER B kullanılır. Ray sayısı, flexbil, montör, armatür ve priz değerleri tüm asansörlerde ortaktır → SABİTLER sayfası, B bölümü.</t>
        </is>
      </c>
    </row>
    <row r="52" ht="18" customHeight="1">
      <c r="A52" s="4" t="inlineStr">
        <is>
          <t xml:space="preserve">  3)   ASKI, DENGE VE MAKİNE   —   asansör bazında   ( boş bırakılırsa SABİTLER B ofis standardı )</t>
        </is>
      </c>
      <c r="B52" s="58" t="n"/>
      <c r="C52" s="58" t="n"/>
      <c r="D52" s="58" t="n"/>
      <c r="E52" s="58" t="n"/>
      <c r="F52" s="58" t="n"/>
      <c r="G52" s="58" t="n"/>
      <c r="H52" s="59" t="n"/>
    </row>
    <row r="53">
      <c r="A53" s="7" t="inlineStr">
        <is>
          <t>i</t>
        </is>
      </c>
      <c r="B53" s="8" t="inlineStr">
        <is>
          <t>i  —  Askı ( palanga ) oranı   ( 1 = 1:1  ·  2 = 2:1 )</t>
        </is>
      </c>
      <c r="C53" s="13" t="n"/>
      <c r="D53" s="13" t="n"/>
      <c r="E53" s="18" t="n"/>
      <c r="F53" s="18" t="n"/>
      <c r="G53" s="10" t="inlineStr">
        <is>
          <t>—</t>
        </is>
      </c>
      <c r="H53" s="11" t="inlineStr">
        <is>
          <t>Asansörün kendi özelliğidir. Motor GÜCÜ askı oranından bağımsızdır; askı oranı hesaba yalnız VERİM üzerinden girer ( MMO/697 §2.4 ). Boş = SABİTLER B</t>
        </is>
      </c>
    </row>
    <row r="54">
      <c r="A54" s="7" t="inlineStr">
        <is>
          <t>q</t>
        </is>
      </c>
      <c r="B54" s="8" t="inlineStr">
        <is>
          <t>Denge faktörü  —  asansör bazında</t>
        </is>
      </c>
      <c r="C54" s="13" t="n"/>
      <c r="D54" s="13" t="n"/>
      <c r="E54" s="18" t="n"/>
      <c r="F54" s="18" t="n"/>
      <c r="G54" s="10" t="inlineStr">
        <is>
          <t>—</t>
        </is>
      </c>
      <c r="H54" s="11" t="inlineStr">
        <is>
          <t>Karşı ağırlığın dengelediği anma yükü oranı. Boş = SABİTLER B</t>
        </is>
      </c>
    </row>
    <row r="55" ht="32" customHeight="1">
      <c r="A55" s="7" t="inlineStr">
        <is>
          <t>—</t>
        </is>
      </c>
      <c r="B55" s="8" t="inlineStr">
        <is>
          <t>Makine tipi</t>
        </is>
      </c>
      <c r="C55" s="13" t="n"/>
      <c r="D55" s="13" t="n"/>
      <c r="E55" s="18" t="n"/>
      <c r="F55" s="18" t="n"/>
      <c r="G55" s="10" t="inlineStr">
        <is>
          <t>—</t>
        </is>
      </c>
      <c r="H55" s="11" t="inlineStr">
        <is>
          <t>Dişlisiz  η = 0,85   /   Dişli  η = 0,50   ( MMO/697 s.21 ). Seçim yalnız kaynağı belgeler; η yukarıdaki 29. satırdan gelir.</t>
        </is>
      </c>
    </row>
    <row r="56">
      <c r="A56" s="7" t="inlineStr">
        <is>
          <t>—</t>
        </is>
      </c>
      <c r="B56" s="8" t="inlineStr">
        <is>
          <t>Girilen η TOPLAM sistem verimi mi ?</t>
        </is>
      </c>
      <c r="C56" s="13" t="n"/>
      <c r="D56" s="13" t="n"/>
      <c r="E56" s="18" t="n"/>
      <c r="F56" s="18" t="n"/>
      <c r="G56" s="10" t="inlineStr">
        <is>
          <t>—</t>
        </is>
      </c>
      <c r="H56" s="11" t="inlineStr">
        <is>
          <t>'Evet' ise MMO/697 §2.4'teki palanga verim düşüşü ( Δη = 0,10 ) AYRICA uygulanmaz — askı kaybı zaten girilen değerin içindedir. İmalatçı kataloğundan toplam verim giriyorsanız 'Evet' seçin.</t>
        </is>
      </c>
    </row>
    <row r="58" ht="58" customHeight="1">
      <c r="A58" s="66" t="inlineStr">
        <is>
          <t>Bir projede dişlili ve dişlisiz makine ya da 1:1 ve 2:1 askı birlikte kullanılabildiği için bu iki değer — makine verimi η gibi — asansöre özeldir. Boş bırakılan kolon SABİTLER B'deki ofis standardını kullanır.   Makine tipi ve askı oranı asansöre özeldir; bir projede dişlili + dişlisiz ya da 1:1 + 2:1 birlikte olabilir. MMO/697 değerleri ( dişli 1:1 = 0,50 · dişlisiz 2:1 = 0,75 ) makine verimidir ve emniyetli taraftadır; imalatçı katalogları genellikle daha yüksek TOPLAM sistem verimi verir — o değerleri kullanacaksanız 56. satırı 'Evet' yapın, yoksa palanga kaybı iki kez düşülür.</t>
        </is>
      </c>
    </row>
  </sheetData>
  <mergeCells count="24">
    <mergeCell ref="A30:H30"/>
    <mergeCell ref="E16:H16"/>
    <mergeCell ref="E7:H7"/>
    <mergeCell ref="A1:H1"/>
    <mergeCell ref="E18:H18"/>
    <mergeCell ref="E12:H12"/>
    <mergeCell ref="E5:H5"/>
    <mergeCell ref="E14:H14"/>
    <mergeCell ref="A50:H50"/>
    <mergeCell ref="E17:H17"/>
    <mergeCell ref="E8:H8"/>
    <mergeCell ref="A2:H2"/>
    <mergeCell ref="A42:H42"/>
    <mergeCell ref="E10:H10"/>
    <mergeCell ref="A22:H22"/>
    <mergeCell ref="E13:H13"/>
    <mergeCell ref="A4:H4"/>
    <mergeCell ref="A35:H35"/>
    <mergeCell ref="A20:H20"/>
    <mergeCell ref="A52:H52"/>
    <mergeCell ref="E6:H6"/>
    <mergeCell ref="E15:H15"/>
    <mergeCell ref="E11:H11"/>
    <mergeCell ref="A58:H58"/>
  </mergeCells>
  <dataValidations count="10">
    <dataValidation sqref="C24:F24" showDropDown="0" showInputMessage="1" showErrorMessage="1" allowBlank="1" errorTitle="Tablo-7 dışı kapasite" error="Bu kapasite Tablo-7'de yok. Devam ederseniz anma yükü otomatik gelmez; 'Anma yükü — elle' satırını doldurun." promptTitle="Kabin kapasitesi" prompt="Listeden seçin. Tablo-7 dışı bir kapasite girerseniz anma yükünü 'Anma yükü — elle' satırına kendiniz yazmalısınız." type="list" errorStyle="warning">
      <formula1>KAPASITE</formula1>
    </dataValidation>
    <dataValidation sqref="C31:F31" showDropDown="0" showInputMessage="0" showErrorMessage="0" allowBlank="1" errorTitle="Geçersiz değer" error="Kuyu yüksekliği METRE cinsinden pozitif bir sayı olmalıdır (örn. 32,85)." type="custom">
      <formula1>=OR(ISBLANK(C31),AND(ISNUMBER(C31),C31&gt;0))</formula1>
    </dataValidation>
    <dataValidation sqref="C33:F33" showDropDown="0" showInputMessage="0" showErrorMessage="0" allowBlank="1" errorTitle="Birim kontrolü" error="Kabin boyu MİLİMETRE cinsinden girilir (örn. 1450)." type="whole" operator="between">
      <formula1>300</formula1>
      <formula2>5000</formula2>
    </dataValidation>
    <dataValidation sqref="C34:F34" showDropDown="0" showInputMessage="0" showErrorMessage="0" allowBlank="1" errorTitle="Birim kontrolü" error="Kabin genişliği MİLİMETRE cinsinden girilir." type="whole" operator="between">
      <formula1>300</formula1>
      <formula2>5000</formula2>
    </dataValidation>
    <dataValidation sqref="C32:F32" showDropDown="0" showInputMessage="0" showErrorMessage="0" allowBlank="1" errorTitle="Birim kontrolü" error="Kuyu genişliği MİLİMETRE cinsinden girilir." type="whole" operator="between">
      <formula1>500</formula1>
      <formula2>10000</formula2>
    </dataValidation>
    <dataValidation sqref="C54:F54" showDropDown="0" showInputMessage="0" showErrorMessage="1" allowBlank="1" errorTitle="Denge faktörü" error="0 – 1 arası bir değer ya da boş (boş = SABİTLER B)." type="decimal" operator="between">
      <formula1>0</formula1>
      <formula2>1</formula2>
    </dataValidation>
    <dataValidation sqref="C15" showDropDown="0" showInputMessage="0" showErrorMessage="1" allowBlank="1" errorTitle="Makine dairesi" error="Listeden seçin: Hayır / Evet" type="list">
      <formula1>"Hayır,Evet"</formula1>
    </dataValidation>
    <dataValidation sqref="C55:F55" showDropDown="0" showInputMessage="0" showErrorMessage="1" allowBlank="1" errorTitle="Makine tipi" error="Listeden seçin: Dişlisiz / Dişli" type="list">
      <formula1>"Dişlisiz,Dişli"</formula1>
    </dataValidation>
    <dataValidation sqref="C56:F56" showDropDown="0" showInputMessage="0" showErrorMessage="1" allowBlank="1" errorTitle="Toplam verim" error="Listeden seçin: Hayır / Evet" type="list">
      <formula1>"Hayır,Evet"</formula1>
    </dataValidation>
    <dataValidation sqref="C53:F53" showDropDown="0" showInputMessage="0" showErrorMessage="1" allowBlank="1" errorTitle="Askı oranı" error="1 ( doğrudan askı, 1:1 )  ya da  2 ( palangalı, 2:1 )" type="list">
      <formula1>"1,2"</formula1>
    </dataValidation>
  </dataValidations>
  <printOptions horizontalCentered="1"/>
  <pageMargins left="0.4" right="0.4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12" customWidth="1" min="3" max="3"/>
    <col width="12" customWidth="1" min="4" max="4"/>
    <col width="12" customWidth="1" min="5" max="5"/>
    <col width="12" customWidth="1" min="6" max="6"/>
    <col width="8" customWidth="1" min="7" max="7"/>
  </cols>
  <sheetData>
    <row r="1" ht="22" customHeight="1">
      <c r="A1" s="1" t="inlineStr">
        <is>
          <t>ASANSÖR AVAN PROJE HESAPLARI   —   SONUÇ ÖZETİ</t>
        </is>
      </c>
      <c r="B1" s="58" t="n"/>
      <c r="C1" s="58" t="n"/>
      <c r="D1" s="58" t="n"/>
      <c r="E1" s="58" t="n"/>
      <c r="F1" s="58" t="n"/>
      <c r="G1" s="59" t="n"/>
    </row>
    <row r="3">
      <c r="A3" s="20" t="inlineStr">
        <is>
          <t>Hesapların ayrıntısı ve formülleri ilgili sayfalardadır. Trafik hesabı ayrı dosyadadır.</t>
        </is>
      </c>
    </row>
    <row r="5" ht="30" customHeight="1">
      <c r="A5" s="6" t="inlineStr">
        <is>
          <t>Sembol</t>
        </is>
      </c>
      <c r="B5" s="6" t="inlineStr">
        <is>
          <t>Büyüklük</t>
        </is>
      </c>
      <c r="C5" s="15" t="inlineStr">
        <is>
          <t>1 NOLU
ASANSÖR</t>
        </is>
      </c>
      <c r="D5" s="15" t="inlineStr">
        <is>
          <t>2 NOLU
ASANSÖR</t>
        </is>
      </c>
      <c r="E5" s="15" t="inlineStr">
        <is>
          <t>3 NOLU
ASANSÖR</t>
        </is>
      </c>
      <c r="F5" s="15" t="inlineStr">
        <is>
          <t>4 NOLU
ASANSÖR</t>
        </is>
      </c>
      <c r="G5" s="6" t="inlineStr">
        <is>
          <t>Birim</t>
        </is>
      </c>
    </row>
    <row r="6">
      <c r="A6" s="16" t="inlineStr">
        <is>
          <t xml:space="preserve">        TANIM</t>
        </is>
      </c>
      <c r="B6" s="58" t="n"/>
      <c r="C6" s="58" t="n"/>
      <c r="D6" s="58" t="n"/>
      <c r="E6" s="58" t="n"/>
      <c r="F6" s="58" t="n"/>
      <c r="G6" s="59" t="n"/>
    </row>
    <row r="7">
      <c r="A7" s="7" t="inlineStr">
        <is>
          <t>—</t>
        </is>
      </c>
      <c r="B7" s="8" t="inlineStr">
        <is>
          <t>Asansör tanımı</t>
        </is>
      </c>
      <c r="C7" s="10">
        <f>IF(GİRİŞ!$C$27="","—",GİRİŞ!$C$23)</f>
        <v/>
      </c>
      <c r="D7" s="10">
        <f>IF(GİRİŞ!$D$27="","—",GİRİŞ!$D$23)</f>
        <v/>
      </c>
      <c r="E7" s="10">
        <f>IF(GİRİŞ!$E$27="","—",GİRİŞ!$E$23)</f>
        <v/>
      </c>
      <c r="F7" s="10">
        <f>IF(GİRİŞ!$F$27="","—",GİRİŞ!$F$23)</f>
        <v/>
      </c>
      <c r="G7" s="10" t="inlineStr"/>
    </row>
    <row r="8">
      <c r="A8" s="7" t="inlineStr">
        <is>
          <t>P</t>
        </is>
      </c>
      <c r="B8" s="8" t="inlineStr">
        <is>
          <t>Kabin kapasitesi</t>
        </is>
      </c>
      <c r="C8" s="21">
        <f>IF(GİRİŞ!$C$27="","",GİRİŞ!$C$24)</f>
        <v/>
      </c>
      <c r="D8" s="21">
        <f>IF(GİRİŞ!$D$27="","",GİRİŞ!$D$24)</f>
        <v/>
      </c>
      <c r="E8" s="21">
        <f>IF(GİRİŞ!$E$27="","",GİRİŞ!$E$24)</f>
        <v/>
      </c>
      <c r="F8" s="21">
        <f>IF(GİRİŞ!$F$27="","",GİRİŞ!$F$24)</f>
        <v/>
      </c>
      <c r="G8" s="10" t="inlineStr">
        <is>
          <t>kişi</t>
        </is>
      </c>
    </row>
    <row r="9">
      <c r="A9" s="7" t="inlineStr">
        <is>
          <t>Q</t>
        </is>
      </c>
      <c r="B9" s="8" t="inlineStr">
        <is>
          <t>Anma yükü</t>
        </is>
      </c>
      <c r="C9" s="22">
        <f>IF(GİRİŞ!$C$27="","",GİRİŞ!$C$27)</f>
        <v/>
      </c>
      <c r="D9" s="22">
        <f>IF(GİRİŞ!$D$27="","",GİRİŞ!$D$27)</f>
        <v/>
      </c>
      <c r="E9" s="22">
        <f>IF(GİRİŞ!$E$27="","",GİRİŞ!$E$27)</f>
        <v/>
      </c>
      <c r="F9" s="22">
        <f>IF(GİRİŞ!$F$27="","",GİRİŞ!$F$27)</f>
        <v/>
      </c>
      <c r="G9" s="10" t="inlineStr">
        <is>
          <t>kg</t>
        </is>
      </c>
    </row>
    <row r="10">
      <c r="A10" s="7" t="inlineStr">
        <is>
          <t>V</t>
        </is>
      </c>
      <c r="B10" s="8" t="inlineStr">
        <is>
          <t>Kabin hızı</t>
        </is>
      </c>
      <c r="C10" s="23">
        <f>IF(GİRİŞ!$C$27="","",GİRİŞ!$C$28)</f>
        <v/>
      </c>
      <c r="D10" s="23">
        <f>IF(GİRİŞ!$D$27="","",GİRİŞ!$D$28)</f>
        <v/>
      </c>
      <c r="E10" s="23">
        <f>IF(GİRİŞ!$E$27="","",GİRİŞ!$E$28)</f>
        <v/>
      </c>
      <c r="F10" s="23">
        <f>IF(GİRİŞ!$F$27="","",GİRİŞ!$F$28)</f>
        <v/>
      </c>
      <c r="G10" s="10" t="inlineStr">
        <is>
          <t>m/s</t>
        </is>
      </c>
    </row>
    <row r="11">
      <c r="A11" s="16" t="inlineStr">
        <is>
          <t xml:space="preserve">        MOTOR</t>
        </is>
      </c>
      <c r="B11" s="58" t="n"/>
      <c r="C11" s="58" t="n"/>
      <c r="D11" s="58" t="n"/>
      <c r="E11" s="58" t="n"/>
      <c r="F11" s="58" t="n"/>
      <c r="G11" s="59" t="n"/>
    </row>
    <row r="12">
      <c r="A12" s="7" t="inlineStr">
        <is>
          <t>N</t>
        </is>
      </c>
      <c r="B12" s="8" t="inlineStr">
        <is>
          <t>Hesaplanan motor gücü</t>
        </is>
      </c>
      <c r="C12" s="23">
        <f>IF(GİRİŞ!$C$27="","",'1 NOLU ASANSÖR'!E14)</f>
        <v/>
      </c>
      <c r="D12" s="23">
        <f>IF(GİRİŞ!$D$27="","",'2 NOLU ASANSÖR'!E14)</f>
        <v/>
      </c>
      <c r="E12" s="23">
        <f>IF(GİRİŞ!$E$27="","",'3 NOLU ASANSÖR'!E14)</f>
        <v/>
      </c>
      <c r="F12" s="23">
        <f>IF(GİRİŞ!$F$27="","",'4 NOLU ASANSÖR'!E14)</f>
        <v/>
      </c>
      <c r="G12" s="10" t="inlineStr">
        <is>
          <t>kW</t>
        </is>
      </c>
    </row>
    <row r="13">
      <c r="A13" s="7" t="inlineStr">
        <is>
          <t>Nsç</t>
        </is>
      </c>
      <c r="B13" s="8" t="inlineStr">
        <is>
          <t>SEÇİLEN motor gücü</t>
        </is>
      </c>
      <c r="C13" s="23">
        <f>IF(GİRİŞ!$C$27="","",'1 NOLU ASANSÖR'!E15)</f>
        <v/>
      </c>
      <c r="D13" s="23">
        <f>IF(GİRİŞ!$D$27="","",'2 NOLU ASANSÖR'!E15)</f>
        <v/>
      </c>
      <c r="E13" s="23">
        <f>IF(GİRİŞ!$E$27="","",'3 NOLU ASANSÖR'!E15)</f>
        <v/>
      </c>
      <c r="F13" s="23">
        <f>IF(GİRİŞ!$F$27="","",'4 NOLU ASANSÖR'!E15)</f>
        <v/>
      </c>
      <c r="G13" s="10" t="inlineStr">
        <is>
          <t>kW</t>
        </is>
      </c>
    </row>
    <row r="14">
      <c r="A14" s="7" t="inlineStr">
        <is>
          <t>—</t>
        </is>
      </c>
      <c r="B14" s="8" t="inlineStr">
        <is>
          <t>Kontrol  ( Nsç ≥ N )</t>
        </is>
      </c>
      <c r="C14" s="10">
        <f>IF(GİRİŞ!$C$27="","",'1 NOLU ASANSÖR'!E16)</f>
        <v/>
      </c>
      <c r="D14" s="10">
        <f>IF(GİRİŞ!$D$27="","",'2 NOLU ASANSÖR'!E16)</f>
        <v/>
      </c>
      <c r="E14" s="10">
        <f>IF(GİRİŞ!$E$27="","",'3 NOLU ASANSÖR'!E16)</f>
        <v/>
      </c>
      <c r="F14" s="10">
        <f>IF(GİRİŞ!$F$27="","",'4 NOLU ASANSÖR'!E16)</f>
        <v/>
      </c>
      <c r="G14" s="10" t="inlineStr"/>
    </row>
    <row r="15">
      <c r="A15" s="16" t="inlineStr">
        <is>
          <t xml:space="preserve">        KUVVETLER</t>
        </is>
      </c>
      <c r="B15" s="58" t="n"/>
      <c r="C15" s="58" t="n"/>
      <c r="D15" s="58" t="n"/>
      <c r="E15" s="58" t="n"/>
      <c r="F15" s="58" t="n"/>
      <c r="G15" s="59" t="n"/>
    </row>
    <row r="16">
      <c r="A16" s="7" t="inlineStr">
        <is>
          <t>P1</t>
        </is>
      </c>
      <c r="B16" s="8" t="inlineStr">
        <is>
          <t>Kuyu alt boşluğu tabanına ( tampon )</t>
        </is>
      </c>
      <c r="C16" s="22">
        <f>IF(GİRİŞ!$C$27="","",'1 NOLU ASANSÖR'!E40)</f>
        <v/>
      </c>
      <c r="D16" s="22">
        <f>IF(GİRİŞ!$D$27="","",'2 NOLU ASANSÖR'!E40)</f>
        <v/>
      </c>
      <c r="E16" s="22">
        <f>IF(GİRİŞ!$E$27="","",'3 NOLU ASANSÖR'!E40)</f>
        <v/>
      </c>
      <c r="F16" s="22">
        <f>IF(GİRİŞ!$F$27="","",'4 NOLU ASANSÖR'!E40)</f>
        <v/>
      </c>
      <c r="G16" s="10" t="inlineStr">
        <is>
          <t>N</t>
        </is>
      </c>
    </row>
    <row r="17">
      <c r="A17" s="7" t="inlineStr">
        <is>
          <t>P2</t>
        </is>
      </c>
      <c r="B17" s="8" t="inlineStr">
        <is>
          <t>Karşı ağırlık tamponu altındaki zemine</t>
        </is>
      </c>
      <c r="C17" s="22">
        <f>IF(GİRİŞ!$C$27="","",'1 NOLU ASANSÖR'!E44)</f>
        <v/>
      </c>
      <c r="D17" s="22">
        <f>IF(GİRİŞ!$D$27="","",'2 NOLU ASANSÖR'!E44)</f>
        <v/>
      </c>
      <c r="E17" s="22">
        <f>IF(GİRİŞ!$E$27="","",'3 NOLU ASANSÖR'!E44)</f>
        <v/>
      </c>
      <c r="F17" s="22">
        <f>IF(GİRİŞ!$F$27="","",'4 NOLU ASANSÖR'!E44)</f>
        <v/>
      </c>
      <c r="G17" s="10" t="inlineStr">
        <is>
          <t>N</t>
        </is>
      </c>
    </row>
    <row r="18">
      <c r="A18" s="7" t="inlineStr">
        <is>
          <t>PR</t>
        </is>
      </c>
      <c r="B18" s="8" t="inlineStr">
        <is>
          <t>Bir kabin kılavuz rayına  ( düşey )</t>
        </is>
      </c>
      <c r="C18" s="22">
        <f>IF(GİRİŞ!$C$27="","",'1 NOLU ASANSÖR'!E48)</f>
        <v/>
      </c>
      <c r="D18" s="22">
        <f>IF(GİRİŞ!$D$27="","",'2 NOLU ASANSÖR'!E48)</f>
        <v/>
      </c>
      <c r="E18" s="22">
        <f>IF(GİRİŞ!$E$27="","",'3 NOLU ASANSÖR'!E48)</f>
        <v/>
      </c>
      <c r="F18" s="22">
        <f>IF(GİRİŞ!$F$27="","",'4 NOLU ASANSÖR'!E48)</f>
        <v/>
      </c>
      <c r="G18" s="10" t="inlineStr">
        <is>
          <t>N</t>
        </is>
      </c>
    </row>
    <row r="19">
      <c r="A19" s="7" t="inlineStr">
        <is>
          <t>PK</t>
        </is>
      </c>
      <c r="B19" s="8" t="inlineStr">
        <is>
          <t>Bir karşı ağırlık rayına  ( düşey )</t>
        </is>
      </c>
      <c r="C19" s="22">
        <f>IF(GİRİŞ!$C$27="","",'1 NOLU ASANSÖR'!E52)</f>
        <v/>
      </c>
      <c r="D19" s="22">
        <f>IF(GİRİŞ!$D$27="","",'2 NOLU ASANSÖR'!E52)</f>
        <v/>
      </c>
      <c r="E19" s="22">
        <f>IF(GİRİŞ!$E$27="","",'3 NOLU ASANSÖR'!E52)</f>
        <v/>
      </c>
      <c r="F19" s="22">
        <f>IF(GİRİŞ!$F$27="","",'4 NOLU ASANSÖR'!E52)</f>
        <v/>
      </c>
      <c r="G19" s="10" t="inlineStr">
        <is>
          <t>N</t>
        </is>
      </c>
    </row>
    <row r="20">
      <c r="A20" s="7" t="inlineStr">
        <is>
          <t>Fs</t>
        </is>
      </c>
      <c r="B20" s="8" t="inlineStr">
        <is>
          <t>Kuyu üstü betonuna</t>
        </is>
      </c>
      <c r="C20" s="22">
        <f>IF(GİRİŞ!$C$27="","",'1 NOLU ASANSÖR'!E56)</f>
        <v/>
      </c>
      <c r="D20" s="22">
        <f>IF(GİRİŞ!$D$27="","",'2 NOLU ASANSÖR'!E56)</f>
        <v/>
      </c>
      <c r="E20" s="22">
        <f>IF(GİRİŞ!$E$27="","",'3 NOLU ASANSÖR'!E56)</f>
        <v/>
      </c>
      <c r="F20" s="22">
        <f>IF(GİRİŞ!$F$27="","",'4 NOLU ASANSÖR'!E56)</f>
        <v/>
      </c>
      <c r="G20" s="10" t="inlineStr">
        <is>
          <t>N</t>
        </is>
      </c>
    </row>
    <row r="21">
      <c r="A21" s="16" t="inlineStr">
        <is>
          <t xml:space="preserve">        AYDINLATMA</t>
        </is>
      </c>
      <c r="B21" s="58" t="n"/>
      <c r="C21" s="58" t="n"/>
      <c r="D21" s="58" t="n"/>
      <c r="E21" s="58" t="n"/>
      <c r="F21" s="58" t="n"/>
      <c r="G21" s="59" t="n"/>
    </row>
    <row r="22">
      <c r="A22" s="7" t="inlineStr">
        <is>
          <t>n</t>
        </is>
      </c>
      <c r="B22" s="8" t="inlineStr">
        <is>
          <t>Kabin armatür sayısı</t>
        </is>
      </c>
      <c r="C22" s="21">
        <f>IF(GİRİŞ!$C$27="","",'1 NOLU ASANSÖR'!E76)</f>
        <v/>
      </c>
      <c r="D22" s="21">
        <f>IF(GİRİŞ!$D$27="","",'2 NOLU ASANSÖR'!E76)</f>
        <v/>
      </c>
      <c r="E22" s="21">
        <f>IF(GİRİŞ!$E$27="","",'3 NOLU ASANSÖR'!E76)</f>
        <v/>
      </c>
      <c r="F22" s="21">
        <f>IF(GİRİŞ!$F$27="","",'4 NOLU ASANSÖR'!E76)</f>
        <v/>
      </c>
      <c r="G22" s="10" t="inlineStr">
        <is>
          <t>adet</t>
        </is>
      </c>
    </row>
    <row r="23">
      <c r="A23" s="7" t="inlineStr">
        <is>
          <t>n</t>
        </is>
      </c>
      <c r="B23" s="8" t="inlineStr">
        <is>
          <t>Kuyu armatür sayısı</t>
        </is>
      </c>
      <c r="C23" s="21">
        <f>IF(GİRİŞ!$C$27="","",'1 NOLU ASANSÖR'!E97)</f>
        <v/>
      </c>
      <c r="D23" s="21">
        <f>IF(GİRİŞ!$D$27="","",'2 NOLU ASANSÖR'!E97)</f>
        <v/>
      </c>
      <c r="E23" s="21">
        <f>IF(GİRİŞ!$E$27="","",'3 NOLU ASANSÖR'!E97)</f>
        <v/>
      </c>
      <c r="F23" s="21">
        <f>IF(GİRİŞ!$F$27="","",'4 NOLU ASANSÖR'!E97)</f>
        <v/>
      </c>
      <c r="G23" s="10" t="inlineStr">
        <is>
          <t>adet</t>
        </is>
      </c>
    </row>
    <row r="24">
      <c r="A24" s="16" t="inlineStr">
        <is>
          <t xml:space="preserve">        ELEKTRİK</t>
        </is>
      </c>
      <c r="B24" s="58" t="n"/>
      <c r="C24" s="58" t="n"/>
      <c r="D24" s="58" t="n"/>
      <c r="E24" s="58" t="n"/>
      <c r="F24" s="58" t="n"/>
      <c r="G24" s="59" t="n"/>
    </row>
    <row r="25">
      <c r="A25" s="7" t="inlineStr">
        <is>
          <t>P</t>
        </is>
      </c>
      <c r="B25" s="8" t="inlineStr">
        <is>
          <t>Asansörün kurulu gücü</t>
        </is>
      </c>
      <c r="C25" s="22">
        <f>IF(GİRİŞ!$C$27="","",'1 NOLU ASANSÖR'!E106)</f>
        <v/>
      </c>
      <c r="D25" s="22">
        <f>IF(GİRİŞ!$D$27="","",'2 NOLU ASANSÖR'!E106)</f>
        <v/>
      </c>
      <c r="E25" s="22">
        <f>IF(GİRİŞ!$E$27="","",'3 NOLU ASANSÖR'!E106)</f>
        <v/>
      </c>
      <c r="F25" s="22">
        <f>IF(GİRİŞ!$F$27="","",'4 NOLU ASANSÖR'!E106)</f>
        <v/>
      </c>
      <c r="G25" s="10" t="inlineStr">
        <is>
          <t>W</t>
        </is>
      </c>
    </row>
    <row r="26">
      <c r="A26" s="7" t="inlineStr">
        <is>
          <t>ε</t>
        </is>
      </c>
      <c r="B26" s="8" t="inlineStr">
        <is>
          <t>Toplam gerilim düşümü</t>
        </is>
      </c>
      <c r="C26" s="60">
        <f>IF(GİRİŞ!$C$27="","",'1 NOLU ASANSÖR'!E132)</f>
        <v/>
      </c>
      <c r="D26" s="60">
        <f>IF(GİRİŞ!$D$27="","",'2 NOLU ASANSÖR'!E132)</f>
        <v/>
      </c>
      <c r="E26" s="60">
        <f>IF(GİRİŞ!$E$27="","",'3 NOLU ASANSÖR'!E132)</f>
        <v/>
      </c>
      <c r="F26" s="60">
        <f>IF(GİRİŞ!$F$27="","",'4 NOLU ASANSÖR'!E132)</f>
        <v/>
      </c>
      <c r="G26" s="10" t="inlineStr">
        <is>
          <t>%</t>
        </is>
      </c>
    </row>
    <row r="27">
      <c r="A27" s="7" t="inlineStr">
        <is>
          <t>—</t>
        </is>
      </c>
      <c r="B27" s="8" t="inlineStr">
        <is>
          <t>Kontrol  ( ε ≤ εmax )</t>
        </is>
      </c>
      <c r="C27" s="10">
        <f>IF(GİRİŞ!$C$27="","",IF('1 NOLU ASANSÖR'!E132&lt;=GİRİŞ!$C$8,"UYGUN","UYGUN DEĞİL"))</f>
        <v/>
      </c>
      <c r="D27" s="10">
        <f>IF(GİRİŞ!$D$27="","",IF('2 NOLU ASANSÖR'!E132&lt;=GİRİŞ!$C$8,"UYGUN","UYGUN DEĞİL"))</f>
        <v/>
      </c>
      <c r="E27" s="10">
        <f>IF(GİRİŞ!$E$27="","",IF('3 NOLU ASANSÖR'!E132&lt;=GİRİŞ!$C$8,"UYGUN","UYGUN DEĞİL"))</f>
        <v/>
      </c>
      <c r="F27" s="10">
        <f>IF(GİRİŞ!$F$27="","",IF('4 NOLU ASANSÖR'!E132&lt;=GİRİŞ!$C$8,"UYGUN","UYGUN DEĞİL"))</f>
        <v/>
      </c>
      <c r="G27" s="10" t="inlineStr"/>
    </row>
    <row r="29">
      <c r="A29" s="16" t="inlineStr">
        <is>
          <t xml:space="preserve">        TESİS GENELİ</t>
        </is>
      </c>
      <c r="B29" s="58" t="n"/>
      <c r="C29" s="58" t="n"/>
      <c r="D29" s="58" t="n"/>
      <c r="E29" s="58" t="n"/>
      <c r="F29" s="58" t="n"/>
      <c r="G29" s="59" t="n"/>
    </row>
    <row r="30">
      <c r="A30" s="7" t="inlineStr">
        <is>
          <t>P</t>
        </is>
      </c>
      <c r="B30" s="8" t="inlineStr">
        <is>
          <t>Tesisin toplam kurulu gücü</t>
        </is>
      </c>
      <c r="C30" s="25">
        <f>N('1 NOLU ASANSÖR'!E106)+N('2 NOLU ASANSÖR'!E106)+N('3 NOLU ASANSÖR'!E106)+N('4 NOLU ASANSÖR'!E106)</f>
        <v/>
      </c>
      <c r="D30" s="58" t="n"/>
      <c r="E30" s="58" t="n"/>
      <c r="F30" s="59" t="n"/>
      <c r="G30" s="10" t="inlineStr">
        <is>
          <t>W</t>
        </is>
      </c>
    </row>
    <row r="31">
      <c r="A31" s="7" t="inlineStr">
        <is>
          <t>Re</t>
        </is>
      </c>
      <c r="B31" s="8" t="inlineStr">
        <is>
          <t>Temel topraklama direnci</t>
        </is>
      </c>
      <c r="C31" s="27">
        <f>TOPRAKLAMA!E25</f>
        <v/>
      </c>
      <c r="D31" s="58" t="n"/>
      <c r="E31" s="58" t="n"/>
      <c r="F31" s="59" t="n"/>
      <c r="G31" s="10" t="inlineStr">
        <is>
          <t>Ω</t>
        </is>
      </c>
    </row>
    <row r="32">
      <c r="A32" s="7" t="inlineStr">
        <is>
          <t>—</t>
        </is>
      </c>
      <c r="B32" s="8" t="inlineStr">
        <is>
          <t>Topraklama kontrolü  ( Re ≤ UL / IΔn )</t>
        </is>
      </c>
      <c r="C32" s="7">
        <f>IF(OR(NOT(ISNUMBER(TOPRAKLAMA!E25)),NOT(ISNUMBER(TOPRAKLAMA!E29))),"GİRDİ EKSİK",IF(TOPRAKLAMA!E25&lt;=TOPRAKLAMA!E29,"UYGUN","UYGUN DEĞİL"))</f>
        <v/>
      </c>
      <c r="D32" s="58" t="n"/>
      <c r="E32" s="58" t="n"/>
      <c r="F32" s="59" t="n"/>
      <c r="G32" s="10" t="inlineStr"/>
    </row>
  </sheetData>
  <mergeCells count="11">
    <mergeCell ref="C31:F31"/>
    <mergeCell ref="A1:G1"/>
    <mergeCell ref="A3:G3"/>
    <mergeCell ref="A6:G6"/>
    <mergeCell ref="A21:G21"/>
    <mergeCell ref="C30:F30"/>
    <mergeCell ref="A24:G24"/>
    <mergeCell ref="A15:G15"/>
    <mergeCell ref="A29:G29"/>
    <mergeCell ref="C32:F32"/>
    <mergeCell ref="A11:G11"/>
  </mergeCells>
  <conditionalFormatting sqref="C6">
    <cfRule type="expression" priority="1" dxfId="0">
      <formula>AND(ISTEXT(C6),ISNUMBER(SEARCH("UYGUN DEĞİL",C6)))</formula>
    </cfRule>
    <cfRule type="expression" priority="2" dxfId="1">
      <formula>AND(ISTEXT(C6),C6="UYGUN")</formula>
    </cfRule>
  </conditionalFormatting>
  <conditionalFormatting sqref="D6">
    <cfRule type="expression" priority="3" dxfId="0">
      <formula>AND(ISTEXT(D6),ISNUMBER(SEARCH("UYGUN DEĞİL",D6)))</formula>
    </cfRule>
    <cfRule type="expression" priority="4" dxfId="1">
      <formula>AND(ISTEXT(D6),D6="UYGUN")</formula>
    </cfRule>
  </conditionalFormatting>
  <conditionalFormatting sqref="E6">
    <cfRule type="expression" priority="5" dxfId="0">
      <formula>AND(ISTEXT(E6),ISNUMBER(SEARCH("UYGUN DEĞİL",E6)))</formula>
    </cfRule>
    <cfRule type="expression" priority="6" dxfId="1">
      <formula>AND(ISTEXT(E6),E6="UYGUN")</formula>
    </cfRule>
  </conditionalFormatting>
  <conditionalFormatting sqref="F6">
    <cfRule type="expression" priority="7" dxfId="0">
      <formula>AND(ISTEXT(F6),ISNUMBER(SEARCH("UYGUN DEĞİL",F6)))</formula>
    </cfRule>
    <cfRule type="expression" priority="8" dxfId="1">
      <formula>AND(ISTEXT(F6),F6="UYGUN")</formula>
    </cfRule>
  </conditionalFormatting>
  <conditionalFormatting sqref="C7">
    <cfRule type="expression" priority="9" dxfId="0">
      <formula>AND(ISTEXT(C7),ISNUMBER(SEARCH("UYGUN DEĞİL",C7)))</formula>
    </cfRule>
    <cfRule type="expression" priority="10" dxfId="1">
      <formula>AND(ISTEXT(C7),C7="UYGUN")</formula>
    </cfRule>
  </conditionalFormatting>
  <conditionalFormatting sqref="D7">
    <cfRule type="expression" priority="11" dxfId="0">
      <formula>AND(ISTEXT(D7),ISNUMBER(SEARCH("UYGUN DEĞİL",D7)))</formula>
    </cfRule>
    <cfRule type="expression" priority="12" dxfId="1">
      <formula>AND(ISTEXT(D7),D7="UYGUN")</formula>
    </cfRule>
  </conditionalFormatting>
  <conditionalFormatting sqref="E7">
    <cfRule type="expression" priority="13" dxfId="0">
      <formula>AND(ISTEXT(E7),ISNUMBER(SEARCH("UYGUN DEĞİL",E7)))</formula>
    </cfRule>
    <cfRule type="expression" priority="14" dxfId="1">
      <formula>AND(ISTEXT(E7),E7="UYGUN")</formula>
    </cfRule>
  </conditionalFormatting>
  <conditionalFormatting sqref="F7">
    <cfRule type="expression" priority="15" dxfId="0">
      <formula>AND(ISTEXT(F7),ISNUMBER(SEARCH("UYGUN DEĞİL",F7)))</formula>
    </cfRule>
    <cfRule type="expression" priority="16" dxfId="1">
      <formula>AND(ISTEXT(F7),F7="UYGUN")</formula>
    </cfRule>
  </conditionalFormatting>
  <conditionalFormatting sqref="C8">
    <cfRule type="expression" priority="17" dxfId="0">
      <formula>AND(ISTEXT(C8),ISNUMBER(SEARCH("UYGUN DEĞİL",C8)))</formula>
    </cfRule>
    <cfRule type="expression" priority="18" dxfId="1">
      <formula>AND(ISTEXT(C8),C8="UYGUN")</formula>
    </cfRule>
  </conditionalFormatting>
  <conditionalFormatting sqref="D8">
    <cfRule type="expression" priority="19" dxfId="0">
      <formula>AND(ISTEXT(D8),ISNUMBER(SEARCH("UYGUN DEĞİL",D8)))</formula>
    </cfRule>
    <cfRule type="expression" priority="20" dxfId="1">
      <formula>AND(ISTEXT(D8),D8="UYGUN")</formula>
    </cfRule>
  </conditionalFormatting>
  <conditionalFormatting sqref="E8">
    <cfRule type="expression" priority="21" dxfId="0">
      <formula>AND(ISTEXT(E8),ISNUMBER(SEARCH("UYGUN DEĞİL",E8)))</formula>
    </cfRule>
    <cfRule type="expression" priority="22" dxfId="1">
      <formula>AND(ISTEXT(E8),E8="UYGUN")</formula>
    </cfRule>
  </conditionalFormatting>
  <conditionalFormatting sqref="F8">
    <cfRule type="expression" priority="23" dxfId="0">
      <formula>AND(ISTEXT(F8),ISNUMBER(SEARCH("UYGUN DEĞİL",F8)))</formula>
    </cfRule>
    <cfRule type="expression" priority="24" dxfId="1">
      <formula>AND(ISTEXT(F8),F8="UYGUN")</formula>
    </cfRule>
  </conditionalFormatting>
  <conditionalFormatting sqref="C9">
    <cfRule type="expression" priority="25" dxfId="0">
      <formula>AND(ISTEXT(C9),ISNUMBER(SEARCH("UYGUN DEĞİL",C9)))</formula>
    </cfRule>
    <cfRule type="expression" priority="26" dxfId="1">
      <formula>AND(ISTEXT(C9),C9="UYGUN")</formula>
    </cfRule>
  </conditionalFormatting>
  <conditionalFormatting sqref="D9">
    <cfRule type="expression" priority="27" dxfId="0">
      <formula>AND(ISTEXT(D9),ISNUMBER(SEARCH("UYGUN DEĞİL",D9)))</formula>
    </cfRule>
    <cfRule type="expression" priority="28" dxfId="1">
      <formula>AND(ISTEXT(D9),D9="UYGUN")</formula>
    </cfRule>
  </conditionalFormatting>
  <conditionalFormatting sqref="E9">
    <cfRule type="expression" priority="29" dxfId="0">
      <formula>AND(ISTEXT(E9),ISNUMBER(SEARCH("UYGUN DEĞİL",E9)))</formula>
    </cfRule>
    <cfRule type="expression" priority="30" dxfId="1">
      <formula>AND(ISTEXT(E9),E9="UYGUN")</formula>
    </cfRule>
  </conditionalFormatting>
  <conditionalFormatting sqref="F9">
    <cfRule type="expression" priority="31" dxfId="0">
      <formula>AND(ISTEXT(F9),ISNUMBER(SEARCH("UYGUN DEĞİL",F9)))</formula>
    </cfRule>
    <cfRule type="expression" priority="32" dxfId="1">
      <formula>AND(ISTEXT(F9),F9="UYGUN")</formula>
    </cfRule>
  </conditionalFormatting>
  <conditionalFormatting sqref="C10">
    <cfRule type="expression" priority="33" dxfId="0">
      <formula>AND(ISTEXT(C10),ISNUMBER(SEARCH("UYGUN DEĞİL",C10)))</formula>
    </cfRule>
    <cfRule type="expression" priority="34" dxfId="1">
      <formula>AND(ISTEXT(C10),C10="UYGUN")</formula>
    </cfRule>
  </conditionalFormatting>
  <conditionalFormatting sqref="D10">
    <cfRule type="expression" priority="35" dxfId="0">
      <formula>AND(ISTEXT(D10),ISNUMBER(SEARCH("UYGUN DEĞİL",D10)))</formula>
    </cfRule>
    <cfRule type="expression" priority="36" dxfId="1">
      <formula>AND(ISTEXT(D10),D10="UYGUN")</formula>
    </cfRule>
  </conditionalFormatting>
  <conditionalFormatting sqref="E10">
    <cfRule type="expression" priority="37" dxfId="0">
      <formula>AND(ISTEXT(E10),ISNUMBER(SEARCH("UYGUN DEĞİL",E10)))</formula>
    </cfRule>
    <cfRule type="expression" priority="38" dxfId="1">
      <formula>AND(ISTEXT(E10),E10="UYGUN")</formula>
    </cfRule>
  </conditionalFormatting>
  <conditionalFormatting sqref="F10">
    <cfRule type="expression" priority="39" dxfId="0">
      <formula>AND(ISTEXT(F10),ISNUMBER(SEARCH("UYGUN DEĞİL",F10)))</formula>
    </cfRule>
    <cfRule type="expression" priority="40" dxfId="1">
      <formula>AND(ISTEXT(F10),F10="UYGUN")</formula>
    </cfRule>
  </conditionalFormatting>
  <conditionalFormatting sqref="C11">
    <cfRule type="expression" priority="41" dxfId="0">
      <formula>AND(ISTEXT(C11),ISNUMBER(SEARCH("UYGUN DEĞİL",C11)))</formula>
    </cfRule>
    <cfRule type="expression" priority="42" dxfId="1">
      <formula>AND(ISTEXT(C11),C11="UYGUN")</formula>
    </cfRule>
  </conditionalFormatting>
  <conditionalFormatting sqref="D11">
    <cfRule type="expression" priority="43" dxfId="0">
      <formula>AND(ISTEXT(D11),ISNUMBER(SEARCH("UYGUN DEĞİL",D11)))</formula>
    </cfRule>
    <cfRule type="expression" priority="44" dxfId="1">
      <formula>AND(ISTEXT(D11),D11="UYGUN")</formula>
    </cfRule>
  </conditionalFormatting>
  <conditionalFormatting sqref="E11">
    <cfRule type="expression" priority="45" dxfId="0">
      <formula>AND(ISTEXT(E11),ISNUMBER(SEARCH("UYGUN DEĞİL",E11)))</formula>
    </cfRule>
    <cfRule type="expression" priority="46" dxfId="1">
      <formula>AND(ISTEXT(E11),E11="UYGUN")</formula>
    </cfRule>
  </conditionalFormatting>
  <conditionalFormatting sqref="F11">
    <cfRule type="expression" priority="47" dxfId="0">
      <formula>AND(ISTEXT(F11),ISNUMBER(SEARCH("UYGUN DEĞİL",F11)))</formula>
    </cfRule>
    <cfRule type="expression" priority="48" dxfId="1">
      <formula>AND(ISTEXT(F11),F11="UYGUN")</formula>
    </cfRule>
  </conditionalFormatting>
  <conditionalFormatting sqref="C12">
    <cfRule type="expression" priority="49" dxfId="0">
      <formula>AND(ISTEXT(C12),ISNUMBER(SEARCH("UYGUN DEĞİL",C12)))</formula>
    </cfRule>
    <cfRule type="expression" priority="50" dxfId="1">
      <formula>AND(ISTEXT(C12),C12="UYGUN")</formula>
    </cfRule>
  </conditionalFormatting>
  <conditionalFormatting sqref="D12">
    <cfRule type="expression" priority="51" dxfId="0">
      <formula>AND(ISTEXT(D12),ISNUMBER(SEARCH("UYGUN DEĞİL",D12)))</formula>
    </cfRule>
    <cfRule type="expression" priority="52" dxfId="1">
      <formula>AND(ISTEXT(D12),D12="UYGUN")</formula>
    </cfRule>
  </conditionalFormatting>
  <conditionalFormatting sqref="E12">
    <cfRule type="expression" priority="53" dxfId="0">
      <formula>AND(ISTEXT(E12),ISNUMBER(SEARCH("UYGUN DEĞİL",E12)))</formula>
    </cfRule>
    <cfRule type="expression" priority="54" dxfId="1">
      <formula>AND(ISTEXT(E12),E12="UYGUN")</formula>
    </cfRule>
  </conditionalFormatting>
  <conditionalFormatting sqref="F12">
    <cfRule type="expression" priority="55" dxfId="0">
      <formula>AND(ISTEXT(F12),ISNUMBER(SEARCH("UYGUN DEĞİL",F12)))</formula>
    </cfRule>
    <cfRule type="expression" priority="56" dxfId="1">
      <formula>AND(ISTEXT(F12),F12="UYGUN")</formula>
    </cfRule>
  </conditionalFormatting>
  <conditionalFormatting sqref="C13">
    <cfRule type="expression" priority="57" dxfId="0">
      <formula>AND(ISTEXT(C13),ISNUMBER(SEARCH("UYGUN DEĞİL",C13)))</formula>
    </cfRule>
    <cfRule type="expression" priority="58" dxfId="1">
      <formula>AND(ISTEXT(C13),C13="UYGUN")</formula>
    </cfRule>
  </conditionalFormatting>
  <conditionalFormatting sqref="D13">
    <cfRule type="expression" priority="59" dxfId="0">
      <formula>AND(ISTEXT(D13),ISNUMBER(SEARCH("UYGUN DEĞİL",D13)))</formula>
    </cfRule>
    <cfRule type="expression" priority="60" dxfId="1">
      <formula>AND(ISTEXT(D13),D13="UYGUN")</formula>
    </cfRule>
  </conditionalFormatting>
  <conditionalFormatting sqref="E13">
    <cfRule type="expression" priority="61" dxfId="0">
      <formula>AND(ISTEXT(E13),ISNUMBER(SEARCH("UYGUN DEĞİL",E13)))</formula>
    </cfRule>
    <cfRule type="expression" priority="62" dxfId="1">
      <formula>AND(ISTEXT(E13),E13="UYGUN")</formula>
    </cfRule>
  </conditionalFormatting>
  <conditionalFormatting sqref="F13">
    <cfRule type="expression" priority="63" dxfId="0">
      <formula>AND(ISTEXT(F13),ISNUMBER(SEARCH("UYGUN DEĞİL",F13)))</formula>
    </cfRule>
    <cfRule type="expression" priority="64" dxfId="1">
      <formula>AND(ISTEXT(F13),F13="UYGUN")</formula>
    </cfRule>
  </conditionalFormatting>
  <conditionalFormatting sqref="C14">
    <cfRule type="expression" priority="65" dxfId="0">
      <formula>AND(ISTEXT(C14),ISNUMBER(SEARCH("UYGUN DEĞİL",C14)))</formula>
    </cfRule>
    <cfRule type="expression" priority="66" dxfId="1">
      <formula>AND(ISTEXT(C14),C14="UYGUN")</formula>
    </cfRule>
  </conditionalFormatting>
  <conditionalFormatting sqref="D14">
    <cfRule type="expression" priority="67" dxfId="0">
      <formula>AND(ISTEXT(D14),ISNUMBER(SEARCH("UYGUN DEĞİL",D14)))</formula>
    </cfRule>
    <cfRule type="expression" priority="68" dxfId="1">
      <formula>AND(ISTEXT(D14),D14="UYGUN")</formula>
    </cfRule>
  </conditionalFormatting>
  <conditionalFormatting sqref="E14">
    <cfRule type="expression" priority="69" dxfId="0">
      <formula>AND(ISTEXT(E14),ISNUMBER(SEARCH("UYGUN DEĞİL",E14)))</formula>
    </cfRule>
    <cfRule type="expression" priority="70" dxfId="1">
      <formula>AND(ISTEXT(E14),E14="UYGUN")</formula>
    </cfRule>
  </conditionalFormatting>
  <conditionalFormatting sqref="F14">
    <cfRule type="expression" priority="71" dxfId="0">
      <formula>AND(ISTEXT(F14),ISNUMBER(SEARCH("UYGUN DEĞİL",F14)))</formula>
    </cfRule>
    <cfRule type="expression" priority="72" dxfId="1">
      <formula>AND(ISTEXT(F14),F14="UYGUN")</formula>
    </cfRule>
  </conditionalFormatting>
  <conditionalFormatting sqref="C15">
    <cfRule type="expression" priority="73" dxfId="0">
      <formula>AND(ISTEXT(C15),ISNUMBER(SEARCH("UYGUN DEĞİL",C15)))</formula>
    </cfRule>
    <cfRule type="expression" priority="74" dxfId="1">
      <formula>AND(ISTEXT(C15),C15="UYGUN")</formula>
    </cfRule>
  </conditionalFormatting>
  <conditionalFormatting sqref="D15">
    <cfRule type="expression" priority="75" dxfId="0">
      <formula>AND(ISTEXT(D15),ISNUMBER(SEARCH("UYGUN DEĞİL",D15)))</formula>
    </cfRule>
    <cfRule type="expression" priority="76" dxfId="1">
      <formula>AND(ISTEXT(D15),D15="UYGUN")</formula>
    </cfRule>
  </conditionalFormatting>
  <conditionalFormatting sqref="E15">
    <cfRule type="expression" priority="77" dxfId="0">
      <formula>AND(ISTEXT(E15),ISNUMBER(SEARCH("UYGUN DEĞİL",E15)))</formula>
    </cfRule>
    <cfRule type="expression" priority="78" dxfId="1">
      <formula>AND(ISTEXT(E15),E15="UYGUN")</formula>
    </cfRule>
  </conditionalFormatting>
  <conditionalFormatting sqref="F15">
    <cfRule type="expression" priority="79" dxfId="0">
      <formula>AND(ISTEXT(F15),ISNUMBER(SEARCH("UYGUN DEĞİL",F15)))</formula>
    </cfRule>
    <cfRule type="expression" priority="80" dxfId="1">
      <formula>AND(ISTEXT(F15),F15="UYGUN")</formula>
    </cfRule>
  </conditionalFormatting>
  <conditionalFormatting sqref="C16">
    <cfRule type="expression" priority="81" dxfId="0">
      <formula>AND(ISTEXT(C16),ISNUMBER(SEARCH("UYGUN DEĞİL",C16)))</formula>
    </cfRule>
    <cfRule type="expression" priority="82" dxfId="1">
      <formula>AND(ISTEXT(C16),C16="UYGUN")</formula>
    </cfRule>
  </conditionalFormatting>
  <conditionalFormatting sqref="D16">
    <cfRule type="expression" priority="83" dxfId="0">
      <formula>AND(ISTEXT(D16),ISNUMBER(SEARCH("UYGUN DEĞİL",D16)))</formula>
    </cfRule>
    <cfRule type="expression" priority="84" dxfId="1">
      <formula>AND(ISTEXT(D16),D16="UYGUN")</formula>
    </cfRule>
  </conditionalFormatting>
  <conditionalFormatting sqref="E16">
    <cfRule type="expression" priority="85" dxfId="0">
      <formula>AND(ISTEXT(E16),ISNUMBER(SEARCH("UYGUN DEĞİL",E16)))</formula>
    </cfRule>
    <cfRule type="expression" priority="86" dxfId="1">
      <formula>AND(ISTEXT(E16),E16="UYGUN")</formula>
    </cfRule>
  </conditionalFormatting>
  <conditionalFormatting sqref="F16">
    <cfRule type="expression" priority="87" dxfId="0">
      <formula>AND(ISTEXT(F16),ISNUMBER(SEARCH("UYGUN DEĞİL",F16)))</formula>
    </cfRule>
    <cfRule type="expression" priority="88" dxfId="1">
      <formula>AND(ISTEXT(F16),F16="UYGUN")</formula>
    </cfRule>
  </conditionalFormatting>
  <conditionalFormatting sqref="C17">
    <cfRule type="expression" priority="89" dxfId="0">
      <formula>AND(ISTEXT(C17),ISNUMBER(SEARCH("UYGUN DEĞİL",C17)))</formula>
    </cfRule>
    <cfRule type="expression" priority="90" dxfId="1">
      <formula>AND(ISTEXT(C17),C17="UYGUN")</formula>
    </cfRule>
  </conditionalFormatting>
  <conditionalFormatting sqref="D17">
    <cfRule type="expression" priority="91" dxfId="0">
      <formula>AND(ISTEXT(D17),ISNUMBER(SEARCH("UYGUN DEĞİL",D17)))</formula>
    </cfRule>
    <cfRule type="expression" priority="92" dxfId="1">
      <formula>AND(ISTEXT(D17),D17="UYGUN")</formula>
    </cfRule>
  </conditionalFormatting>
  <conditionalFormatting sqref="E17">
    <cfRule type="expression" priority="93" dxfId="0">
      <formula>AND(ISTEXT(E17),ISNUMBER(SEARCH("UYGUN DEĞİL",E17)))</formula>
    </cfRule>
    <cfRule type="expression" priority="94" dxfId="1">
      <formula>AND(ISTEXT(E17),E17="UYGUN")</formula>
    </cfRule>
  </conditionalFormatting>
  <conditionalFormatting sqref="F17">
    <cfRule type="expression" priority="95" dxfId="0">
      <formula>AND(ISTEXT(F17),ISNUMBER(SEARCH("UYGUN DEĞİL",F17)))</formula>
    </cfRule>
    <cfRule type="expression" priority="96" dxfId="1">
      <formula>AND(ISTEXT(F17),F17="UYGUN")</formula>
    </cfRule>
  </conditionalFormatting>
  <conditionalFormatting sqref="C18">
    <cfRule type="expression" priority="97" dxfId="0">
      <formula>AND(ISTEXT(C18),ISNUMBER(SEARCH("UYGUN DEĞİL",C18)))</formula>
    </cfRule>
    <cfRule type="expression" priority="98" dxfId="1">
      <formula>AND(ISTEXT(C18),C18="UYGUN")</formula>
    </cfRule>
  </conditionalFormatting>
  <conditionalFormatting sqref="D18">
    <cfRule type="expression" priority="99" dxfId="0">
      <formula>AND(ISTEXT(D18),ISNUMBER(SEARCH("UYGUN DEĞİL",D18)))</formula>
    </cfRule>
    <cfRule type="expression" priority="100" dxfId="1">
      <formula>AND(ISTEXT(D18),D18="UYGUN")</formula>
    </cfRule>
  </conditionalFormatting>
  <conditionalFormatting sqref="E18">
    <cfRule type="expression" priority="101" dxfId="0">
      <formula>AND(ISTEXT(E18),ISNUMBER(SEARCH("UYGUN DEĞİL",E18)))</formula>
    </cfRule>
    <cfRule type="expression" priority="102" dxfId="1">
      <formula>AND(ISTEXT(E18),E18="UYGUN")</formula>
    </cfRule>
  </conditionalFormatting>
  <conditionalFormatting sqref="F18">
    <cfRule type="expression" priority="103" dxfId="0">
      <formula>AND(ISTEXT(F18),ISNUMBER(SEARCH("UYGUN DEĞİL",F18)))</formula>
    </cfRule>
    <cfRule type="expression" priority="104" dxfId="1">
      <formula>AND(ISTEXT(F18),F18="UYGUN")</formula>
    </cfRule>
  </conditionalFormatting>
  <conditionalFormatting sqref="C19">
    <cfRule type="expression" priority="105" dxfId="0">
      <formula>AND(ISTEXT(C19),ISNUMBER(SEARCH("UYGUN DEĞİL",C19)))</formula>
    </cfRule>
    <cfRule type="expression" priority="106" dxfId="1">
      <formula>AND(ISTEXT(C19),C19="UYGUN")</formula>
    </cfRule>
  </conditionalFormatting>
  <conditionalFormatting sqref="D19">
    <cfRule type="expression" priority="107" dxfId="0">
      <formula>AND(ISTEXT(D19),ISNUMBER(SEARCH("UYGUN DEĞİL",D19)))</formula>
    </cfRule>
    <cfRule type="expression" priority="108" dxfId="1">
      <formula>AND(ISTEXT(D19),D19="UYGUN")</formula>
    </cfRule>
  </conditionalFormatting>
  <conditionalFormatting sqref="E19">
    <cfRule type="expression" priority="109" dxfId="0">
      <formula>AND(ISTEXT(E19),ISNUMBER(SEARCH("UYGUN DEĞİL",E19)))</formula>
    </cfRule>
    <cfRule type="expression" priority="110" dxfId="1">
      <formula>AND(ISTEXT(E19),E19="UYGUN")</formula>
    </cfRule>
  </conditionalFormatting>
  <conditionalFormatting sqref="F19">
    <cfRule type="expression" priority="111" dxfId="0">
      <formula>AND(ISTEXT(F19),ISNUMBER(SEARCH("UYGUN DEĞİL",F19)))</formula>
    </cfRule>
    <cfRule type="expression" priority="112" dxfId="1">
      <formula>AND(ISTEXT(F19),F19="UYGUN")</formula>
    </cfRule>
  </conditionalFormatting>
  <conditionalFormatting sqref="C20">
    <cfRule type="expression" priority="113" dxfId="0">
      <formula>AND(ISTEXT(C20),ISNUMBER(SEARCH("UYGUN DEĞİL",C20)))</formula>
    </cfRule>
    <cfRule type="expression" priority="114" dxfId="1">
      <formula>AND(ISTEXT(C20),C20="UYGUN")</formula>
    </cfRule>
  </conditionalFormatting>
  <conditionalFormatting sqref="D20">
    <cfRule type="expression" priority="115" dxfId="0">
      <formula>AND(ISTEXT(D20),ISNUMBER(SEARCH("UYGUN DEĞİL",D20)))</formula>
    </cfRule>
    <cfRule type="expression" priority="116" dxfId="1">
      <formula>AND(ISTEXT(D20),D20="UYGUN")</formula>
    </cfRule>
  </conditionalFormatting>
  <conditionalFormatting sqref="E20">
    <cfRule type="expression" priority="117" dxfId="0">
      <formula>AND(ISTEXT(E20),ISNUMBER(SEARCH("UYGUN DEĞİL",E20)))</formula>
    </cfRule>
    <cfRule type="expression" priority="118" dxfId="1">
      <formula>AND(ISTEXT(E20),E20="UYGUN")</formula>
    </cfRule>
  </conditionalFormatting>
  <conditionalFormatting sqref="F20">
    <cfRule type="expression" priority="119" dxfId="0">
      <formula>AND(ISTEXT(F20),ISNUMBER(SEARCH("UYGUN DEĞİL",F20)))</formula>
    </cfRule>
    <cfRule type="expression" priority="120" dxfId="1">
      <formula>AND(ISTEXT(F20),F20="UYGUN")</formula>
    </cfRule>
  </conditionalFormatting>
  <conditionalFormatting sqref="C21">
    <cfRule type="expression" priority="121" dxfId="0">
      <formula>AND(ISTEXT(C21),ISNUMBER(SEARCH("UYGUN DEĞİL",C21)))</formula>
    </cfRule>
    <cfRule type="expression" priority="122" dxfId="1">
      <formula>AND(ISTEXT(C21),C21="UYGUN")</formula>
    </cfRule>
  </conditionalFormatting>
  <conditionalFormatting sqref="D21">
    <cfRule type="expression" priority="123" dxfId="0">
      <formula>AND(ISTEXT(D21),ISNUMBER(SEARCH("UYGUN DEĞİL",D21)))</formula>
    </cfRule>
    <cfRule type="expression" priority="124" dxfId="1">
      <formula>AND(ISTEXT(D21),D21="UYGUN")</formula>
    </cfRule>
  </conditionalFormatting>
  <conditionalFormatting sqref="E21">
    <cfRule type="expression" priority="125" dxfId="0">
      <formula>AND(ISTEXT(E21),ISNUMBER(SEARCH("UYGUN DEĞİL",E21)))</formula>
    </cfRule>
    <cfRule type="expression" priority="126" dxfId="1">
      <formula>AND(ISTEXT(E21),E21="UYGUN")</formula>
    </cfRule>
  </conditionalFormatting>
  <conditionalFormatting sqref="F21">
    <cfRule type="expression" priority="127" dxfId="0">
      <formula>AND(ISTEXT(F21),ISNUMBER(SEARCH("UYGUN DEĞİL",F21)))</formula>
    </cfRule>
    <cfRule type="expression" priority="128" dxfId="1">
      <formula>AND(ISTEXT(F21),F21="UYGUN")</formula>
    </cfRule>
  </conditionalFormatting>
  <conditionalFormatting sqref="C22">
    <cfRule type="expression" priority="129" dxfId="0">
      <formula>AND(ISTEXT(C22),ISNUMBER(SEARCH("UYGUN DEĞİL",C22)))</formula>
    </cfRule>
    <cfRule type="expression" priority="130" dxfId="1">
      <formula>AND(ISTEXT(C22),C22="UYGUN")</formula>
    </cfRule>
  </conditionalFormatting>
  <conditionalFormatting sqref="D22">
    <cfRule type="expression" priority="131" dxfId="0">
      <formula>AND(ISTEXT(D22),ISNUMBER(SEARCH("UYGUN DEĞİL",D22)))</formula>
    </cfRule>
    <cfRule type="expression" priority="132" dxfId="1">
      <formula>AND(ISTEXT(D22),D22="UYGUN")</formula>
    </cfRule>
  </conditionalFormatting>
  <conditionalFormatting sqref="E22">
    <cfRule type="expression" priority="133" dxfId="0">
      <formula>AND(ISTEXT(E22),ISNUMBER(SEARCH("UYGUN DEĞİL",E22)))</formula>
    </cfRule>
    <cfRule type="expression" priority="134" dxfId="1">
      <formula>AND(ISTEXT(E22),E22="UYGUN")</formula>
    </cfRule>
  </conditionalFormatting>
  <conditionalFormatting sqref="F22">
    <cfRule type="expression" priority="135" dxfId="0">
      <formula>AND(ISTEXT(F22),ISNUMBER(SEARCH("UYGUN DEĞİL",F22)))</formula>
    </cfRule>
    <cfRule type="expression" priority="136" dxfId="1">
      <formula>AND(ISTEXT(F22),F22="UYGUN")</formula>
    </cfRule>
  </conditionalFormatting>
  <conditionalFormatting sqref="C23">
    <cfRule type="expression" priority="137" dxfId="0">
      <formula>AND(ISTEXT(C23),ISNUMBER(SEARCH("UYGUN DEĞİL",C23)))</formula>
    </cfRule>
    <cfRule type="expression" priority="138" dxfId="1">
      <formula>AND(ISTEXT(C23),C23="UYGUN")</formula>
    </cfRule>
  </conditionalFormatting>
  <conditionalFormatting sqref="D23">
    <cfRule type="expression" priority="139" dxfId="0">
      <formula>AND(ISTEXT(D23),ISNUMBER(SEARCH("UYGUN DEĞİL",D23)))</formula>
    </cfRule>
    <cfRule type="expression" priority="140" dxfId="1">
      <formula>AND(ISTEXT(D23),D23="UYGUN")</formula>
    </cfRule>
  </conditionalFormatting>
  <conditionalFormatting sqref="E23">
    <cfRule type="expression" priority="141" dxfId="0">
      <formula>AND(ISTEXT(E23),ISNUMBER(SEARCH("UYGUN DEĞİL",E23)))</formula>
    </cfRule>
    <cfRule type="expression" priority="142" dxfId="1">
      <formula>AND(ISTEXT(E23),E23="UYGUN")</formula>
    </cfRule>
  </conditionalFormatting>
  <conditionalFormatting sqref="F23">
    <cfRule type="expression" priority="143" dxfId="0">
      <formula>AND(ISTEXT(F23),ISNUMBER(SEARCH("UYGUN DEĞİL",F23)))</formula>
    </cfRule>
    <cfRule type="expression" priority="144" dxfId="1">
      <formula>AND(ISTEXT(F23),F23="UYGUN")</formula>
    </cfRule>
  </conditionalFormatting>
  <conditionalFormatting sqref="C24">
    <cfRule type="expression" priority="145" dxfId="0">
      <formula>AND(ISTEXT(C24),ISNUMBER(SEARCH("UYGUN DEĞİL",C24)))</formula>
    </cfRule>
    <cfRule type="expression" priority="146" dxfId="1">
      <formula>AND(ISTEXT(C24),C24="UYGUN")</formula>
    </cfRule>
  </conditionalFormatting>
  <conditionalFormatting sqref="D24">
    <cfRule type="expression" priority="147" dxfId="0">
      <formula>AND(ISTEXT(D24),ISNUMBER(SEARCH("UYGUN DEĞİL",D24)))</formula>
    </cfRule>
    <cfRule type="expression" priority="148" dxfId="1">
      <formula>AND(ISTEXT(D24),D24="UYGUN")</formula>
    </cfRule>
  </conditionalFormatting>
  <conditionalFormatting sqref="E24">
    <cfRule type="expression" priority="149" dxfId="0">
      <formula>AND(ISTEXT(E24),ISNUMBER(SEARCH("UYGUN DEĞİL",E24)))</formula>
    </cfRule>
    <cfRule type="expression" priority="150" dxfId="1">
      <formula>AND(ISTEXT(E24),E24="UYGUN")</formula>
    </cfRule>
  </conditionalFormatting>
  <conditionalFormatting sqref="F24">
    <cfRule type="expression" priority="151" dxfId="0">
      <formula>AND(ISTEXT(F24),ISNUMBER(SEARCH("UYGUN DEĞİL",F24)))</formula>
    </cfRule>
    <cfRule type="expression" priority="152" dxfId="1">
      <formula>AND(ISTEXT(F24),F24="UYGUN")</formula>
    </cfRule>
  </conditionalFormatting>
  <conditionalFormatting sqref="C25">
    <cfRule type="expression" priority="153" dxfId="0">
      <formula>AND(ISTEXT(C25),ISNUMBER(SEARCH("UYGUN DEĞİL",C25)))</formula>
    </cfRule>
    <cfRule type="expression" priority="154" dxfId="1">
      <formula>AND(ISTEXT(C25),C25="UYGUN")</formula>
    </cfRule>
  </conditionalFormatting>
  <conditionalFormatting sqref="D25">
    <cfRule type="expression" priority="155" dxfId="0">
      <formula>AND(ISTEXT(D25),ISNUMBER(SEARCH("UYGUN DEĞİL",D25)))</formula>
    </cfRule>
    <cfRule type="expression" priority="156" dxfId="1">
      <formula>AND(ISTEXT(D25),D25="UYGUN")</formula>
    </cfRule>
  </conditionalFormatting>
  <conditionalFormatting sqref="E25">
    <cfRule type="expression" priority="157" dxfId="0">
      <formula>AND(ISTEXT(E25),ISNUMBER(SEARCH("UYGUN DEĞİL",E25)))</formula>
    </cfRule>
    <cfRule type="expression" priority="158" dxfId="1">
      <formula>AND(ISTEXT(E25),E25="UYGUN")</formula>
    </cfRule>
  </conditionalFormatting>
  <conditionalFormatting sqref="F25">
    <cfRule type="expression" priority="159" dxfId="0">
      <formula>AND(ISTEXT(F25),ISNUMBER(SEARCH("UYGUN DEĞİL",F25)))</formula>
    </cfRule>
    <cfRule type="expression" priority="160" dxfId="1">
      <formula>AND(ISTEXT(F25),F25="UYGUN")</formula>
    </cfRule>
  </conditionalFormatting>
  <conditionalFormatting sqref="C26">
    <cfRule type="expression" priority="161" dxfId="0">
      <formula>AND(ISTEXT(C26),ISNUMBER(SEARCH("UYGUN DEĞİL",C26)))</formula>
    </cfRule>
    <cfRule type="expression" priority="162" dxfId="1">
      <formula>AND(ISTEXT(C26),C26="UYGUN")</formula>
    </cfRule>
  </conditionalFormatting>
  <conditionalFormatting sqref="D26">
    <cfRule type="expression" priority="163" dxfId="0">
      <formula>AND(ISTEXT(D26),ISNUMBER(SEARCH("UYGUN DEĞİL",D26)))</formula>
    </cfRule>
    <cfRule type="expression" priority="164" dxfId="1">
      <formula>AND(ISTEXT(D26),D26="UYGUN")</formula>
    </cfRule>
  </conditionalFormatting>
  <conditionalFormatting sqref="E26">
    <cfRule type="expression" priority="165" dxfId="0">
      <formula>AND(ISTEXT(E26),ISNUMBER(SEARCH("UYGUN DEĞİL",E26)))</formula>
    </cfRule>
    <cfRule type="expression" priority="166" dxfId="1">
      <formula>AND(ISTEXT(E26),E26="UYGUN")</formula>
    </cfRule>
  </conditionalFormatting>
  <conditionalFormatting sqref="F26">
    <cfRule type="expression" priority="167" dxfId="0">
      <formula>AND(ISTEXT(F26),ISNUMBER(SEARCH("UYGUN DEĞİL",F26)))</formula>
    </cfRule>
    <cfRule type="expression" priority="168" dxfId="1">
      <formula>AND(ISTEXT(F26),F26="UYGUN")</formula>
    </cfRule>
  </conditionalFormatting>
  <conditionalFormatting sqref="C27">
    <cfRule type="expression" priority="169" dxfId="0">
      <formula>AND(ISTEXT(C27),ISNUMBER(SEARCH("UYGUN DEĞİL",C27)))</formula>
    </cfRule>
    <cfRule type="expression" priority="170" dxfId="1">
      <formula>AND(ISTEXT(C27),C27="UYGUN")</formula>
    </cfRule>
  </conditionalFormatting>
  <conditionalFormatting sqref="D27">
    <cfRule type="expression" priority="171" dxfId="0">
      <formula>AND(ISTEXT(D27),ISNUMBER(SEARCH("UYGUN DEĞİL",D27)))</formula>
    </cfRule>
    <cfRule type="expression" priority="172" dxfId="1">
      <formula>AND(ISTEXT(D27),D27="UYGUN")</formula>
    </cfRule>
  </conditionalFormatting>
  <conditionalFormatting sqref="E27">
    <cfRule type="expression" priority="173" dxfId="0">
      <formula>AND(ISTEXT(E27),ISNUMBER(SEARCH("UYGUN DEĞİL",E27)))</formula>
    </cfRule>
    <cfRule type="expression" priority="174" dxfId="1">
      <formula>AND(ISTEXT(E27),E27="UYGUN")</formula>
    </cfRule>
  </conditionalFormatting>
  <conditionalFormatting sqref="F27">
    <cfRule type="expression" priority="175" dxfId="0">
      <formula>AND(ISTEXT(F27),ISNUMBER(SEARCH("UYGUN DEĞİL",F27)))</formula>
    </cfRule>
    <cfRule type="expression" priority="176" dxfId="1">
      <formula>AND(ISTEXT(F27),F27="UYGUN")</formula>
    </cfRule>
  </conditionalFormatting>
  <conditionalFormatting sqref="C28">
    <cfRule type="expression" priority="177" dxfId="0">
      <formula>AND(ISTEXT(C28),ISNUMBER(SEARCH("UYGUN DEĞİL",C28)))</formula>
    </cfRule>
    <cfRule type="expression" priority="178" dxfId="1">
      <formula>AND(ISTEXT(C28),C28="UYGUN")</formula>
    </cfRule>
  </conditionalFormatting>
  <conditionalFormatting sqref="D28">
    <cfRule type="expression" priority="179" dxfId="0">
      <formula>AND(ISTEXT(D28),ISNUMBER(SEARCH("UYGUN DEĞİL",D28)))</formula>
    </cfRule>
    <cfRule type="expression" priority="180" dxfId="1">
      <formula>AND(ISTEXT(D28),D28="UYGUN")</formula>
    </cfRule>
  </conditionalFormatting>
  <conditionalFormatting sqref="E28">
    <cfRule type="expression" priority="181" dxfId="0">
      <formula>AND(ISTEXT(E28),ISNUMBER(SEARCH("UYGUN DEĞİL",E28)))</formula>
    </cfRule>
    <cfRule type="expression" priority="182" dxfId="1">
      <formula>AND(ISTEXT(E28),E28="UYGUN")</formula>
    </cfRule>
  </conditionalFormatting>
  <conditionalFormatting sqref="F28">
    <cfRule type="expression" priority="183" dxfId="0">
      <formula>AND(ISTEXT(F28),ISNUMBER(SEARCH("UYGUN DEĞİL",F28)))</formula>
    </cfRule>
    <cfRule type="expression" priority="184" dxfId="1">
      <formula>AND(ISTEXT(F28),F28="UYGUN")</formula>
    </cfRule>
  </conditionalFormatting>
  <conditionalFormatting sqref="C29">
    <cfRule type="expression" priority="185" dxfId="0">
      <formula>AND(ISTEXT(C29),ISNUMBER(SEARCH("UYGUN DEĞİL",C29)))</formula>
    </cfRule>
    <cfRule type="expression" priority="186" dxfId="1">
      <formula>AND(ISTEXT(C29),C29="UYGUN")</formula>
    </cfRule>
  </conditionalFormatting>
  <conditionalFormatting sqref="D29">
    <cfRule type="expression" priority="187" dxfId="0">
      <formula>AND(ISTEXT(D29),ISNUMBER(SEARCH("UYGUN DEĞİL",D29)))</formula>
    </cfRule>
    <cfRule type="expression" priority="188" dxfId="1">
      <formula>AND(ISTEXT(D29),D29="UYGUN")</formula>
    </cfRule>
  </conditionalFormatting>
  <conditionalFormatting sqref="E29">
    <cfRule type="expression" priority="189" dxfId="0">
      <formula>AND(ISTEXT(E29),ISNUMBER(SEARCH("UYGUN DEĞİL",E29)))</formula>
    </cfRule>
    <cfRule type="expression" priority="190" dxfId="1">
      <formula>AND(ISTEXT(E29),E29="UYGUN")</formula>
    </cfRule>
  </conditionalFormatting>
  <conditionalFormatting sqref="F29">
    <cfRule type="expression" priority="191" dxfId="0">
      <formula>AND(ISTEXT(F29),ISNUMBER(SEARCH("UYGUN DEĞİL",F29)))</formula>
    </cfRule>
    <cfRule type="expression" priority="192" dxfId="1">
      <formula>AND(ISTEXT(F29),F29="UYGUN")</formula>
    </cfRule>
  </conditionalFormatting>
  <conditionalFormatting sqref="C30">
    <cfRule type="expression" priority="193" dxfId="0">
      <formula>AND(ISTEXT(C30),ISNUMBER(SEARCH("UYGUN DEĞİL",C30)))</formula>
    </cfRule>
    <cfRule type="expression" priority="194" dxfId="1">
      <formula>AND(ISTEXT(C30),C30="UYGUN")</formula>
    </cfRule>
  </conditionalFormatting>
  <conditionalFormatting sqref="D30">
    <cfRule type="expression" priority="195" dxfId="0">
      <formula>AND(ISTEXT(D30),ISNUMBER(SEARCH("UYGUN DEĞİL",D30)))</formula>
    </cfRule>
    <cfRule type="expression" priority="196" dxfId="1">
      <formula>AND(ISTEXT(D30),D30="UYGUN")</formula>
    </cfRule>
  </conditionalFormatting>
  <conditionalFormatting sqref="E30">
    <cfRule type="expression" priority="197" dxfId="0">
      <formula>AND(ISTEXT(E30),ISNUMBER(SEARCH("UYGUN DEĞİL",E30)))</formula>
    </cfRule>
    <cfRule type="expression" priority="198" dxfId="1">
      <formula>AND(ISTEXT(E30),E30="UYGUN")</formula>
    </cfRule>
  </conditionalFormatting>
  <conditionalFormatting sqref="F30">
    <cfRule type="expression" priority="199" dxfId="0">
      <formula>AND(ISTEXT(F30),ISNUMBER(SEARCH("UYGUN DEĞİL",F30)))</formula>
    </cfRule>
    <cfRule type="expression" priority="200" dxfId="1">
      <formula>AND(ISTEXT(F30),F30="UYGUN")</formula>
    </cfRule>
  </conditionalFormatting>
  <conditionalFormatting sqref="C31">
    <cfRule type="expression" priority="201" dxfId="0">
      <formula>AND(ISTEXT(C31),ISNUMBER(SEARCH("UYGUN DEĞİL",C31)))</formula>
    </cfRule>
    <cfRule type="expression" priority="202" dxfId="1">
      <formula>AND(ISTEXT(C31),C31="UYGUN")</formula>
    </cfRule>
  </conditionalFormatting>
  <conditionalFormatting sqref="D31">
    <cfRule type="expression" priority="203" dxfId="0">
      <formula>AND(ISTEXT(D31),ISNUMBER(SEARCH("UYGUN DEĞİL",D31)))</formula>
    </cfRule>
    <cfRule type="expression" priority="204" dxfId="1">
      <formula>AND(ISTEXT(D31),D31="UYGUN")</formula>
    </cfRule>
  </conditionalFormatting>
  <conditionalFormatting sqref="E31">
    <cfRule type="expression" priority="205" dxfId="0">
      <formula>AND(ISTEXT(E31),ISNUMBER(SEARCH("UYGUN DEĞİL",E31)))</formula>
    </cfRule>
    <cfRule type="expression" priority="206" dxfId="1">
      <formula>AND(ISTEXT(E31),E31="UYGUN")</formula>
    </cfRule>
  </conditionalFormatting>
  <conditionalFormatting sqref="F31">
    <cfRule type="expression" priority="207" dxfId="0">
      <formula>AND(ISTEXT(F31),ISNUMBER(SEARCH("UYGUN DEĞİL",F31)))</formula>
    </cfRule>
    <cfRule type="expression" priority="208" dxfId="1">
      <formula>AND(ISTEXT(F31),F31="UYGUN")</formula>
    </cfRule>
  </conditionalFormatting>
  <conditionalFormatting sqref="C32">
    <cfRule type="expression" priority="209" dxfId="0">
      <formula>AND(ISTEXT(C32),ISNUMBER(SEARCH("UYGUN DEĞİL",C32)))</formula>
    </cfRule>
    <cfRule type="expression" priority="210" dxfId="1">
      <formula>AND(ISTEXT(C32),C32="UYGUN")</formula>
    </cfRule>
  </conditionalFormatting>
  <conditionalFormatting sqref="D32">
    <cfRule type="expression" priority="211" dxfId="0">
      <formula>AND(ISTEXT(D32),ISNUMBER(SEARCH("UYGUN DEĞİL",D32)))</formula>
    </cfRule>
    <cfRule type="expression" priority="212" dxfId="1">
      <formula>AND(ISTEXT(D32),D32="UYGUN")</formula>
    </cfRule>
  </conditionalFormatting>
  <conditionalFormatting sqref="E32">
    <cfRule type="expression" priority="213" dxfId="0">
      <formula>AND(ISTEXT(E32),ISNUMBER(SEARCH("UYGUN DEĞİL",E32)))</formula>
    </cfRule>
    <cfRule type="expression" priority="214" dxfId="1">
      <formula>AND(ISTEXT(E32),E32="UYGUN")</formula>
    </cfRule>
  </conditionalFormatting>
  <conditionalFormatting sqref="F32">
    <cfRule type="expression" priority="215" dxfId="0">
      <formula>AND(ISTEXT(F32),ISNUMBER(SEARCH("UYGUN DEĞİL",F32)))</formula>
    </cfRule>
    <cfRule type="expression" priority="216" dxfId="1">
      <formula>AND(ISTEXT(F32),F32="UYGUN")</formula>
    </cfRule>
  </conditionalFormatting>
  <printOptions horizontalCentered="1"/>
  <pageMargins left="0.4" right="0.4" top="0.5" bottom="0.5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4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" customWidth="1" min="2" max="2"/>
    <col width="51" customWidth="1" min="3" max="3"/>
    <col width="2" customWidth="1" min="4" max="4"/>
    <col width="13" customWidth="1" min="5" max="5"/>
    <col width="10" customWidth="1" min="6" max="6"/>
    <col width="14" customWidth="1" min="7" max="7"/>
  </cols>
  <sheetData>
    <row r="1" ht="22" customHeight="1">
      <c r="A1" s="1" t="inlineStr">
        <is>
          <t>1 NOLU ASANSÖR   —   AVAN PROJE HESAPLARI</t>
        </is>
      </c>
      <c r="B1" s="58" t="n"/>
      <c r="C1" s="58" t="n"/>
      <c r="D1" s="58" t="n"/>
      <c r="E1" s="58" t="n"/>
      <c r="F1" s="58" t="n"/>
      <c r="G1" s="59" t="n"/>
    </row>
    <row r="3">
      <c r="A3" s="28">
        <f>IF(GİRİŞ!$C$27&lt;&gt;"",IF(GİRİŞ!$C$23="","","Asansör tanımı :   "&amp;GİRİŞ!$C$23),IF(GİRİŞ!$C$24="","!!!   BU ASANSÖR GİRİŞ SAYFASINDA TANIMLANMAMIŞ   —   hesaplar boştur   !!!","!!!   KAPASİTE TABLO-7 DIŞI   —   GİRİŞ sayfasında  'Anma yükü — elle'  satırını doldurun   !!!"))</f>
        <v/>
      </c>
    </row>
    <row r="5" ht="18" customHeight="1">
      <c r="A5" s="4" t="inlineStr">
        <is>
          <t xml:space="preserve">  1 -   MOTOR GÜCÜ HESABI                                    ( MMO / 697  —  s.21 )</t>
        </is>
      </c>
      <c r="B5" s="58" t="n"/>
      <c r="C5" s="58" t="n"/>
      <c r="D5" s="58" t="n"/>
      <c r="E5" s="58" t="n"/>
      <c r="F5" s="58" t="n"/>
      <c r="G5" s="59" t="n"/>
    </row>
    <row r="6">
      <c r="A6" s="28" t="inlineStr">
        <is>
          <t>Q</t>
        </is>
      </c>
      <c r="B6" s="29" t="inlineStr">
        <is>
          <t>:</t>
        </is>
      </c>
      <c r="C6" s="30" t="inlineStr">
        <is>
          <t>Anma yükü</t>
        </is>
      </c>
      <c r="D6" s="29" t="inlineStr">
        <is>
          <t>=</t>
        </is>
      </c>
      <c r="E6" s="31">
        <f>IF(GİRİŞ!$C$27="","",GİRİŞ!$C$27)</f>
        <v/>
      </c>
      <c r="F6" s="30" t="inlineStr">
        <is>
          <t>kg</t>
        </is>
      </c>
      <c r="G6" s="3" t="inlineStr">
        <is>
          <t>GİRİŞ</t>
        </is>
      </c>
    </row>
    <row r="7">
      <c r="A7" s="28" t="inlineStr">
        <is>
          <t>V</t>
        </is>
      </c>
      <c r="B7" s="29" t="inlineStr">
        <is>
          <t>:</t>
        </is>
      </c>
      <c r="C7" s="30" t="inlineStr">
        <is>
          <t>Kabin hızı</t>
        </is>
      </c>
      <c r="D7" s="29" t="inlineStr">
        <is>
          <t>=</t>
        </is>
      </c>
      <c r="E7" s="32">
        <f>IF(GİRİŞ!$C$27="","",GİRİŞ!$C$28)</f>
        <v/>
      </c>
      <c r="F7" s="30" t="inlineStr">
        <is>
          <t>m/s</t>
        </is>
      </c>
      <c r="G7" s="3" t="inlineStr">
        <is>
          <t>GİRİŞ</t>
        </is>
      </c>
    </row>
    <row r="8">
      <c r="A8" s="28" t="inlineStr">
        <is>
          <t>q</t>
        </is>
      </c>
      <c r="B8" s="29" t="inlineStr">
        <is>
          <t>:</t>
        </is>
      </c>
      <c r="C8" s="30" t="inlineStr">
        <is>
          <t>Denge faktörü  ( karşı ağırlığın dengelediği oran )</t>
        </is>
      </c>
      <c r="D8" s="29" t="inlineStr">
        <is>
          <t>=</t>
        </is>
      </c>
      <c r="E8" s="32">
        <f>IF(GİRİŞ!$C$27="","",IF(ISNUMBER(GİRİŞ!$C$54),GİRİŞ!$C$54,SABİTLER!$C$23))</f>
        <v/>
      </c>
      <c r="F8" s="30" t="inlineStr">
        <is>
          <t>—</t>
        </is>
      </c>
      <c r="G8" s="3">
        <f>IF(ISNUMBER(GİRİŞ!$C$54),"GİRİŞ — asansör bazında","SABİTLER B")</f>
        <v/>
      </c>
    </row>
    <row r="9">
      <c r="A9" s="28" t="inlineStr">
        <is>
          <t>i</t>
        </is>
      </c>
      <c r="B9" s="29" t="inlineStr">
        <is>
          <t>:</t>
        </is>
      </c>
      <c r="C9" s="30" t="inlineStr">
        <is>
          <t>Palanga ( askı ) katsayısı</t>
        </is>
      </c>
      <c r="D9" s="29" t="inlineStr">
        <is>
          <t>=</t>
        </is>
      </c>
      <c r="E9" s="33">
        <f>IF(GİRİŞ!$C$27="","",IF(ISNUMBER(GİRİŞ!$C$53),GİRİŞ!$C$53,SABİTLER!$C$22))</f>
        <v/>
      </c>
      <c r="F9" s="30" t="inlineStr">
        <is>
          <t>—</t>
        </is>
      </c>
      <c r="G9" s="3">
        <f>IF(ISNUMBER(GİRİŞ!$C$53),"GİRİŞ — asansör bazında","SABİTLER B")</f>
        <v/>
      </c>
    </row>
    <row r="10">
      <c r="A10" s="28" t="inlineStr">
        <is>
          <t>η</t>
        </is>
      </c>
      <c r="B10" s="29" t="inlineStr">
        <is>
          <t>:</t>
        </is>
      </c>
      <c r="C10" s="30" t="inlineStr">
        <is>
          <t>Makine verimi</t>
        </is>
      </c>
      <c r="D10" s="29" t="inlineStr">
        <is>
          <t>=</t>
        </is>
      </c>
      <c r="E10" s="32">
        <f>IF(GİRİŞ!$C$27="","",GİRİŞ!$C$29)</f>
        <v/>
      </c>
      <c r="F10" s="30" t="inlineStr">
        <is>
          <t>—</t>
        </is>
      </c>
      <c r="G10" s="3" t="inlineStr">
        <is>
          <t>GİRİŞ</t>
        </is>
      </c>
    </row>
    <row r="11">
      <c r="A11" s="28" t="inlineStr">
        <is>
          <t>η′</t>
        </is>
      </c>
      <c r="B11" s="29" t="inlineStr">
        <is>
          <t>:</t>
        </is>
      </c>
      <c r="C11" s="30">
        <f>IF(GİRİŞ!$C$27="","",IF(GİRİŞ!$C$56="Evet","Girilen değer TOPLAM sistem verimidir — palanga düşüşü uygulanmaz","Palangalı sistemde verim ( i &gt; 1 ise η − 0,10 )"))</f>
        <v/>
      </c>
      <c r="D11" s="29" t="inlineStr">
        <is>
          <t>=</t>
        </is>
      </c>
      <c r="E11" s="32">
        <f>IF(GİRİŞ!$C$27="","",IF(GİRİŞ!$C$56="Evet",GİRİŞ!$C$29,IF(IF(ISNUMBER(GİRİŞ!$C$53),GİRİŞ!$C$53,SABİTLER!$C$22)&gt;1,GİRİŞ!$C$29-SABİTLER!$C$11,GİRİŞ!$C$29)))</f>
        <v/>
      </c>
      <c r="F11" s="30" t="inlineStr">
        <is>
          <t>—</t>
        </is>
      </c>
      <c r="G11" s="3">
        <f>IF(GİRİŞ!$C$56="Evet","GİRİŞ — toplam sistem verimi","SABİTLER A  /  MMO/697 §2.4")</f>
        <v/>
      </c>
    </row>
    <row r="13">
      <c r="C13" s="34" t="inlineStr">
        <is>
          <t>N   =   ( 1 − q ) · Q · V   /   ( 102 · η′ )</t>
        </is>
      </c>
    </row>
    <row r="14">
      <c r="C14" s="35">
        <f>IF(GİRİŞ!$C$27="","","=   "&amp;IF(1-IF(ISNUMBER(GİRİŞ!$C$54),GİRİŞ!$C$54,SABİTLER!$C$23)&gt;=IF(ISNUMBER(GİRİŞ!$C$54),GİRİŞ!$C$54,SABİTLER!$C$23),"( 1 − "&amp;ROUND(IF(ISNUMBER(GİRİŞ!$C$54),GİRİŞ!$C$54,SABİTLER!$C$23),2)&amp;" )",ROUND(IF(ISNUMBER(GİRİŞ!$C$54),GİRİŞ!$C$54,SABİTLER!$C$23),2))&amp;" · "&amp;ROUND(GİRİŞ!$C$27,0)&amp;" · "&amp;ROUND(GİRİŞ!$C$28,2)&amp;"   /   ( 102 · "&amp;ROUND(E11,2)&amp;" )")</f>
        <v/>
      </c>
      <c r="E14" s="36">
        <f>IF(GİRİŞ!$C$27="","",IF(E11&lt;=0,"",MAX(1-IF(ISNUMBER(GİRİŞ!$C$54),GİRİŞ!$C$54,SABİTLER!$C$23),IF(ISNUMBER(GİRİŞ!$C$54),GİRİŞ!$C$54,SABİTLER!$C$23))*GİRİŞ!$C$27*GİRİŞ!$C$28/(SABİTLER!$C$10*E11)))</f>
        <v/>
      </c>
      <c r="F14" s="37" t="inlineStr">
        <is>
          <t>kW</t>
        </is>
      </c>
      <c r="G14" s="3" t="inlineStr">
        <is>
          <t>hesaplanan</t>
        </is>
      </c>
    </row>
    <row r="15">
      <c r="A15" s="28" t="inlineStr">
        <is>
          <t>Nsç</t>
        </is>
      </c>
      <c r="B15" s="29" t="inlineStr">
        <is>
          <t>:</t>
        </is>
      </c>
      <c r="C15" s="37" t="inlineStr">
        <is>
          <t>SEÇİLEN motor gücü</t>
        </is>
      </c>
      <c r="D15" s="29" t="inlineStr">
        <is>
          <t>=</t>
        </is>
      </c>
      <c r="E15" s="36">
        <f>IF(GİRİŞ!$C$27="","",GİRİŞ!$C$43)</f>
        <v/>
      </c>
      <c r="F15" s="37" t="inlineStr">
        <is>
          <t>kW</t>
        </is>
      </c>
      <c r="G15" s="3" t="inlineStr">
        <is>
          <t>GİRİŞ</t>
        </is>
      </c>
    </row>
    <row r="16">
      <c r="C16" s="37" t="inlineStr">
        <is>
          <t>KONTROL      Nsç  ≥  N</t>
        </is>
      </c>
      <c r="E16" s="28">
        <f>IF(GİRİŞ!$C$27="","",IF(NOT(ISNUMBER(E14)),"η GİRDİSİ HATALI",IF(GİRİŞ!$C$43&gt;=E14,"UYGUN","UYGUN DEĞİL — motoru büyütün")))</f>
        <v/>
      </c>
    </row>
    <row r="18" ht="18" customHeight="1">
      <c r="A18" s="4" t="inlineStr">
        <is>
          <t xml:space="preserve">  2 -   KUVVET HESAPLARI                                     ( MMO / 697  s.18-20   /   TS EN 81-20 )</t>
        </is>
      </c>
      <c r="B18" s="58" t="n"/>
      <c r="C18" s="58" t="n"/>
      <c r="D18" s="58" t="n"/>
      <c r="E18" s="58" t="n"/>
      <c r="F18" s="58" t="n"/>
      <c r="G18" s="59" t="n"/>
    </row>
    <row r="19">
      <c r="A19" s="16" t="inlineStr">
        <is>
          <t xml:space="preserve">        ORTAK BÜYÜKLÜKLER</t>
        </is>
      </c>
      <c r="B19" s="58" t="n"/>
      <c r="C19" s="58" t="n"/>
      <c r="D19" s="58" t="n"/>
      <c r="E19" s="58" t="n"/>
      <c r="F19" s="58" t="n"/>
      <c r="G19" s="59" t="n"/>
    </row>
    <row r="20">
      <c r="A20" s="28" t="inlineStr">
        <is>
          <t>gn</t>
        </is>
      </c>
      <c r="B20" s="29" t="inlineStr">
        <is>
          <t>:</t>
        </is>
      </c>
      <c r="C20" s="30" t="inlineStr">
        <is>
          <t>Yerçekimi ivmesi</t>
        </is>
      </c>
      <c r="D20" s="29" t="inlineStr">
        <is>
          <t>=</t>
        </is>
      </c>
      <c r="E20" s="32">
        <f>IF(GİRİŞ!$C$27="","",SABİTLER!$C$5)</f>
        <v/>
      </c>
      <c r="F20" s="30" t="inlineStr">
        <is>
          <t>m/s²</t>
        </is>
      </c>
      <c r="G20" s="3" t="inlineStr">
        <is>
          <t>SABİTLER A</t>
        </is>
      </c>
    </row>
    <row r="21">
      <c r="A21" s="28" t="inlineStr">
        <is>
          <t>Gk</t>
        </is>
      </c>
      <c r="B21" s="29" t="inlineStr">
        <is>
          <t>:</t>
        </is>
      </c>
      <c r="C21" s="30" t="inlineStr">
        <is>
          <t>Boş kabin kütlesi</t>
        </is>
      </c>
      <c r="D21" s="29" t="inlineStr">
        <is>
          <t>=</t>
        </is>
      </c>
      <c r="E21" s="31">
        <f>IF(GİRİŞ!$C$27="","",GİRİŞ!$C$38)</f>
        <v/>
      </c>
      <c r="F21" s="30" t="inlineStr">
        <is>
          <t>kg</t>
        </is>
      </c>
      <c r="G21" s="3" t="inlineStr">
        <is>
          <t>GİRİŞ</t>
        </is>
      </c>
    </row>
    <row r="22">
      <c r="A22" s="28" t="inlineStr">
        <is>
          <t>gf</t>
        </is>
      </c>
      <c r="B22" s="29" t="inlineStr">
        <is>
          <t>:</t>
        </is>
      </c>
      <c r="C22" s="30" t="inlineStr">
        <is>
          <t>Gezici kablo ( flexbil ) birim kütlesi</t>
        </is>
      </c>
      <c r="D22" s="29" t="inlineStr">
        <is>
          <t>=</t>
        </is>
      </c>
      <c r="E22" s="32">
        <f>IF(GİRİŞ!$C$27="","",SABİTLER!$C$25)</f>
        <v/>
      </c>
      <c r="F22" s="30" t="inlineStr">
        <is>
          <t>kg/m</t>
        </is>
      </c>
      <c r="G22" s="3" t="inlineStr">
        <is>
          <t>SABİTLER B</t>
        </is>
      </c>
    </row>
    <row r="23">
      <c r="C23" s="34" t="inlineStr">
        <is>
          <t>Gf   =   gf · ( Hk / 2  +  3 )              ( gezici kablo kütlesi )</t>
        </is>
      </c>
    </row>
    <row r="24">
      <c r="C24" s="35">
        <f>IF(GİRİŞ!$C$27="","","=   "&amp;ROUND(SABİTLER!$C$25,2)&amp;"  ·  ( "&amp;ROUND(GİRİŞ!$C$31,2)&amp;" / 2  +  3 )")</f>
        <v/>
      </c>
      <c r="E24" s="36">
        <f>IF(GİRİŞ!$C$27="","",SABİTLER!$C$25*(GİRİŞ!$C$31/2+SABİTLER!$C$19))</f>
        <v/>
      </c>
      <c r="F24" s="37" t="inlineStr">
        <is>
          <t>kg</t>
        </is>
      </c>
      <c r="G24" s="3" t="inlineStr"/>
    </row>
    <row r="25">
      <c r="C25" s="34" t="inlineStr">
        <is>
          <t>P    =   Gk  +  Gf                          ( kabin tarafından desteklenen toplam kütle )</t>
        </is>
      </c>
    </row>
    <row r="26">
      <c r="C26" s="35">
        <f>IF(GİRİŞ!$C$27="","","=   "&amp;ROUND(GİRİŞ!$C$38,0)&amp;"  +  "&amp;ROUND(E24,2))</f>
        <v/>
      </c>
      <c r="E26" s="36">
        <f>IF(GİRİŞ!$C$27="","",GİRİŞ!$C$38+E24)</f>
        <v/>
      </c>
      <c r="F26" s="37" t="inlineStr">
        <is>
          <t>kg</t>
        </is>
      </c>
      <c r="G26" s="3" t="inlineStr"/>
    </row>
    <row r="27">
      <c r="A27" s="28" t="inlineStr">
        <is>
          <t>Q</t>
        </is>
      </c>
      <c r="B27" s="29" t="inlineStr">
        <is>
          <t>:</t>
        </is>
      </c>
      <c r="C27" s="30" t="inlineStr">
        <is>
          <t>Anma yükü</t>
        </is>
      </c>
      <c r="D27" s="29" t="inlineStr">
        <is>
          <t>=</t>
        </is>
      </c>
      <c r="E27" s="31">
        <f>IF(GİRİŞ!$C$27="","",GİRİŞ!$C$27)</f>
        <v/>
      </c>
      <c r="F27" s="30" t="inlineStr">
        <is>
          <t>kg</t>
        </is>
      </c>
      <c r="G27" s="3" t="inlineStr">
        <is>
          <t>GİRİŞ</t>
        </is>
      </c>
    </row>
    <row r="28">
      <c r="A28" s="28" t="inlineStr">
        <is>
          <t>q</t>
        </is>
      </c>
      <c r="B28" s="29" t="inlineStr">
        <is>
          <t>:</t>
        </is>
      </c>
      <c r="C28" s="30" t="inlineStr">
        <is>
          <t>Denge faktörü</t>
        </is>
      </c>
      <c r="D28" s="29" t="inlineStr">
        <is>
          <t>=</t>
        </is>
      </c>
      <c r="E28" s="32">
        <f>IF(GİRİŞ!$C$27="","",IF(ISNUMBER(GİRİŞ!$C$54),GİRİŞ!$C$54,SABİTLER!$C$23))</f>
        <v/>
      </c>
      <c r="F28" s="30" t="inlineStr">
        <is>
          <t>—</t>
        </is>
      </c>
      <c r="G28" s="3">
        <f>IF(ISNUMBER(GİRİŞ!$C$54),"GİRİŞ — asansör bazında","SABİTLER B")</f>
        <v/>
      </c>
    </row>
    <row r="29">
      <c r="C29" s="34" t="inlineStr">
        <is>
          <t>Ga  =   P  +  q · Q                         ( karşı ağırlık kütlesi )</t>
        </is>
      </c>
    </row>
    <row r="30">
      <c r="C30" s="35">
        <f>IF(GİRİŞ!$C$27="","","=   "&amp;ROUND(E26,2)&amp;"  +  "&amp;ROUND(IF(ISNUMBER(GİRİŞ!$C$54),GİRİŞ!$C$54,SABİTLER!$C$23),2)&amp;" · "&amp;ROUND(GİRİŞ!$C$27,0))</f>
        <v/>
      </c>
      <c r="E30" s="36">
        <f>IF(GİRİŞ!$C$27="","",E26+IF(ISNUMBER(GİRİŞ!$C$54),GİRİŞ!$C$54,SABİTLER!$C$23)*GİRİŞ!$C$27)</f>
        <v/>
      </c>
      <c r="F30" s="37" t="inlineStr">
        <is>
          <t>kg</t>
        </is>
      </c>
      <c r="G30" s="3" t="inlineStr"/>
    </row>
    <row r="31" ht="21" customHeight="1">
      <c r="A31" s="28" t="inlineStr">
        <is>
          <t>k1</t>
        </is>
      </c>
      <c r="B31" s="29" t="inlineStr">
        <is>
          <t>:</t>
        </is>
      </c>
      <c r="C31" s="30" t="inlineStr">
        <is>
          <t>Darbe faktörü   ( V &gt; 1 → 2  /  V &gt; 0,63 → 3  /  V ≤ 0,63 → 5 )</t>
        </is>
      </c>
      <c r="D31" s="29" t="inlineStr">
        <is>
          <t>=</t>
        </is>
      </c>
      <c r="E31" s="33">
        <f>IF(GİRİŞ!$C$27="","",IF(GİRİŞ!$C$28&gt;1,SABİTLER!$C$7,IF(GİRİŞ!$C$28&gt;0.63,SABİTLER!$C$8,SABİTLER!$C$9)))</f>
        <v/>
      </c>
      <c r="F31" s="30" t="inlineStr">
        <is>
          <t>—</t>
        </is>
      </c>
      <c r="G31" s="3" t="inlineStr">
        <is>
          <t>SABİTLER A  /  MMO/697 Çiz-1</t>
        </is>
      </c>
    </row>
    <row r="32">
      <c r="A32" s="28" t="inlineStr">
        <is>
          <t>n</t>
        </is>
      </c>
      <c r="B32" s="29" t="inlineStr">
        <is>
          <t>:</t>
        </is>
      </c>
      <c r="C32" s="30" t="inlineStr">
        <is>
          <t>Kabin kılavuz ray sayısı</t>
        </is>
      </c>
      <c r="D32" s="29" t="inlineStr">
        <is>
          <t>=</t>
        </is>
      </c>
      <c r="E32" s="33">
        <f>IF(GİRİŞ!$C$27="","",SABİTLER!$C$24)</f>
        <v/>
      </c>
      <c r="F32" s="30" t="inlineStr">
        <is>
          <t>adet</t>
        </is>
      </c>
      <c r="G32" s="3" t="inlineStr">
        <is>
          <t>SABİTLER B</t>
        </is>
      </c>
    </row>
    <row r="33">
      <c r="A33" s="28" t="inlineStr">
        <is>
          <t>gr</t>
        </is>
      </c>
      <c r="B33" s="29" t="inlineStr">
        <is>
          <t>:</t>
        </is>
      </c>
      <c r="C33" s="30" t="inlineStr">
        <is>
          <t>1 m kılavuz rayın kütlesi</t>
        </is>
      </c>
      <c r="D33" s="29" t="inlineStr">
        <is>
          <t>=</t>
        </is>
      </c>
      <c r="E33" s="32">
        <f>IF(GİRİŞ!$C$27="","",GİRİŞ!$C$39)</f>
        <v/>
      </c>
      <c r="F33" s="30" t="inlineStr">
        <is>
          <t>kg/m</t>
        </is>
      </c>
      <c r="G33" s="3" t="inlineStr">
        <is>
          <t>GİRİŞ</t>
        </is>
      </c>
    </row>
    <row r="34">
      <c r="A34" s="28" t="inlineStr">
        <is>
          <t>Lr</t>
        </is>
      </c>
      <c r="B34" s="29" t="inlineStr">
        <is>
          <t>:</t>
        </is>
      </c>
      <c r="C34" s="30" t="inlineStr">
        <is>
          <t>Kılavuz ray uzunluğu   ( Hk − 0,20 )</t>
        </is>
      </c>
      <c r="D34" s="29" t="inlineStr">
        <is>
          <t>=</t>
        </is>
      </c>
      <c r="E34" s="32">
        <f>IF(GİRİŞ!$C$27="","",GİRİŞ!$C$31-SABİTLER!$C$18)</f>
        <v/>
      </c>
      <c r="F34" s="30" t="inlineStr">
        <is>
          <t>m</t>
        </is>
      </c>
      <c r="G34" s="3" t="inlineStr"/>
    </row>
    <row r="35">
      <c r="C35" s="34" t="inlineStr">
        <is>
          <t>Mg  =   Lr · gr                             ( bir kılavuz ray hattının kütlesi )</t>
        </is>
      </c>
    </row>
    <row r="36">
      <c r="C36" s="35">
        <f>IF(GİRİŞ!$C$27="","","=   "&amp;ROUND(E34,2)&amp;"  ·  "&amp;ROUND(GİRİŞ!$C$39,2))</f>
        <v/>
      </c>
      <c r="E36" s="36">
        <f>IF(GİRİŞ!$C$27="","",E34*GİRİŞ!$C$39)</f>
        <v/>
      </c>
      <c r="F36" s="37" t="inlineStr">
        <is>
          <t>kg</t>
        </is>
      </c>
      <c r="G36" s="3" t="inlineStr"/>
    </row>
    <row r="38">
      <c r="A38" s="16" t="inlineStr">
        <is>
          <t xml:space="preserve">    A -   KUYU ALT BOŞLUĞU TABANINA GELEN KUVVET  ( kabin tamponu altı )</t>
        </is>
      </c>
      <c r="B38" s="58" t="n"/>
      <c r="C38" s="58" t="n"/>
      <c r="D38" s="58" t="n"/>
      <c r="E38" s="58" t="n"/>
      <c r="F38" s="58" t="n"/>
      <c r="G38" s="59" t="n"/>
    </row>
    <row r="39">
      <c r="C39" s="34" t="inlineStr">
        <is>
          <t>P1  =   4 · gn · ( P  +  Q )</t>
        </is>
      </c>
    </row>
    <row r="40">
      <c r="C40" s="35">
        <f>IF(GİRİŞ!$C$27="","","=   "&amp;ROUND(SABİTLER!$C$6,0)&amp;"  ·  "&amp;ROUND(SABİTLER!$C$5,2)&amp;"  ·  ( "&amp;ROUND(E26,2)&amp;"  +  "&amp;ROUND(GİRİŞ!$C$27,0)&amp;" )")</f>
        <v/>
      </c>
      <c r="E40" s="38">
        <f>IF(GİRİŞ!$C$27="","",CEILING(SABİTLER!$C$6*SABİTLER!$C$5*(E26+GİRİŞ!$C$27),10))</f>
        <v/>
      </c>
      <c r="F40" s="37" t="inlineStr">
        <is>
          <t>N</t>
        </is>
      </c>
      <c r="G40" s="3" t="inlineStr"/>
    </row>
    <row r="42">
      <c r="A42" s="16" t="inlineStr">
        <is>
          <t xml:space="preserve">    B -   KARŞI AĞIRLIK TAMPONU ALTINDAKİ ZEMİNE GELEN KUVVET</t>
        </is>
      </c>
      <c r="B42" s="58" t="n"/>
      <c r="C42" s="58" t="n"/>
      <c r="D42" s="58" t="n"/>
      <c r="E42" s="58" t="n"/>
      <c r="F42" s="58" t="n"/>
      <c r="G42" s="59" t="n"/>
    </row>
    <row r="43">
      <c r="C43" s="34" t="inlineStr">
        <is>
          <t>P2  =   4 · gn · ( P  +  q · Q )   =   4 · gn · Ga</t>
        </is>
      </c>
    </row>
    <row r="44">
      <c r="C44" s="35">
        <f>IF(GİRİŞ!$C$27="","","=   "&amp;ROUND(SABİTLER!$C$6,0)&amp;"  ·  "&amp;ROUND(SABİTLER!$C$5,2)&amp;"  ·  "&amp;ROUND(E30,2))</f>
        <v/>
      </c>
      <c r="E44" s="38">
        <f>IF(GİRİŞ!$C$27="","",CEILING(SABİTLER!$C$6*SABİTLER!$C$5*E30,10))</f>
        <v/>
      </c>
      <c r="F44" s="37" t="inlineStr">
        <is>
          <t>N</t>
        </is>
      </c>
      <c r="G44" s="3" t="inlineStr"/>
    </row>
    <row r="46">
      <c r="A46" s="16" t="inlineStr">
        <is>
          <t xml:space="preserve">    C -   KABİN KILAVUZ RAYLARINA GELEN DÜŞEY KUVVET</t>
        </is>
      </c>
      <c r="B46" s="58" t="n"/>
      <c r="C46" s="58" t="n"/>
      <c r="D46" s="58" t="n"/>
      <c r="E46" s="58" t="n"/>
      <c r="F46" s="58" t="n"/>
      <c r="G46" s="59" t="n"/>
    </row>
    <row r="47">
      <c r="C47" s="34" t="inlineStr">
        <is>
          <t>PR  =   k1 · gn · ( P  +  Q ) / n   +   Mg · gn</t>
        </is>
      </c>
    </row>
    <row r="48">
      <c r="C48" s="35">
        <f>IF(GİRİŞ!$C$27="","","=   "&amp;ROUND(E31,0)&amp;" · "&amp;ROUND(SABİTLER!$C$5,2)&amp;" · ( "&amp;ROUND(E26,2)&amp;" + "&amp;ROUND(GİRİŞ!$C$27,0)&amp;" ) / "&amp;ROUND(E32,0)&amp;"   +   "&amp;ROUND(E36,2)&amp;" · "&amp;ROUND(SABİTLER!$C$5,2))</f>
        <v/>
      </c>
      <c r="E48" s="38">
        <f>IF(GİRİŞ!$C$27="","",CEILING(E31*SABİTLER!$C$5*(E26+GİRİŞ!$C$27)/E32+E36*SABİTLER!$C$5,10))</f>
        <v/>
      </c>
      <c r="F48" s="37" t="inlineStr">
        <is>
          <t>N</t>
        </is>
      </c>
      <c r="G48" s="3" t="inlineStr"/>
    </row>
    <row r="50">
      <c r="A50" s="16" t="inlineStr">
        <is>
          <t xml:space="preserve">    D -   KARŞI AĞIRLIK KILAVUZ RAYLARINA GELEN DÜŞEY KUVVET</t>
        </is>
      </c>
      <c r="B50" s="58" t="n"/>
      <c r="C50" s="58" t="n"/>
      <c r="D50" s="58" t="n"/>
      <c r="E50" s="58" t="n"/>
      <c r="F50" s="58" t="n"/>
      <c r="G50" s="59" t="n"/>
    </row>
    <row r="51">
      <c r="C51" s="34" t="inlineStr">
        <is>
          <t>PK  =   k1 · gn · Ga / n   +   Mg · gn</t>
        </is>
      </c>
    </row>
    <row r="52">
      <c r="C52" s="35">
        <f>IF(GİRİŞ!$C$27="","","=   "&amp;ROUND(E31,0)&amp;" · "&amp;ROUND(SABİTLER!$C$5,2)&amp;" · "&amp;ROUND(E30,2)&amp;" / "&amp;ROUND(E32,0)&amp;"   +   "&amp;ROUND(E36,2)&amp;" · "&amp;ROUND(SABİTLER!$C$5,2))</f>
        <v/>
      </c>
      <c r="E52" s="38">
        <f>IF(GİRİŞ!$C$27="","",CEILING(E31*SABİTLER!$C$5*E30/E32+E36*SABİTLER!$C$5,10))</f>
        <v/>
      </c>
      <c r="F52" s="37" t="inlineStr">
        <is>
          <t>N</t>
        </is>
      </c>
      <c r="G52" s="3" t="inlineStr"/>
    </row>
    <row r="54">
      <c r="A54" s="16" t="inlineStr">
        <is>
          <t xml:space="preserve">    E -   KUYU ÜSTÜ BETONUNA ETKİ EDEN KUVVET</t>
        </is>
      </c>
      <c r="B54" s="58" t="n"/>
      <c r="C54" s="58" t="n"/>
      <c r="D54" s="58" t="n"/>
      <c r="E54" s="58" t="n"/>
      <c r="F54" s="58" t="n"/>
      <c r="G54" s="59" t="n"/>
    </row>
    <row r="55">
      <c r="C55" s="34" t="inlineStr">
        <is>
          <t>Fs  =   gn · ( Fmk  +  Fsh  +  Fmt  +  P  +  Q  +  Ga )</t>
        </is>
      </c>
    </row>
    <row r="56">
      <c r="C56" s="35">
        <f>IF(GİRİŞ!$C$27="","","=   "&amp;ROUND(SABİTLER!$C$5,2)&amp;" · ( "&amp;ROUND(GİRİŞ!$C$40,0)&amp;" + "&amp;ROUND(GİRİŞ!$C$41,0)&amp;" + "&amp;ROUND(SABİTLER!$C$26,0)&amp;" + "&amp;ROUND(E26,2)&amp;" + "&amp;ROUND(GİRİŞ!$C$27,0)&amp;" + "&amp;ROUND(E30,2)&amp;" )")</f>
        <v/>
      </c>
      <c r="E56" s="38">
        <f>IF(GİRİŞ!$C$27="","",CEILING(SABİTLER!$C$5*(GİRİŞ!$C$40+GİRİŞ!$C$41+SABİTLER!$C$26+E26+GİRİŞ!$C$27+E30),10))</f>
        <v/>
      </c>
      <c r="F56" s="37" t="inlineStr">
        <is>
          <t>N</t>
        </is>
      </c>
      <c r="G56" s="3" t="inlineStr"/>
    </row>
    <row r="58">
      <c r="C58" s="20" t="inlineStr">
        <is>
          <t>PR ve PK, MMO/697 §2.3.3 formülündeki  Mg · gn  ray kütlesi terimini içerir  ( kitabın §4.3 örnek hesabı bu terimi ihmal etmiştir ).</t>
        </is>
      </c>
    </row>
    <row r="59">
      <c r="C59" s="20" t="inlineStr">
        <is>
          <t>Kılavuz ray uzunluğu 40 m'yi aşarsa halat / kompanzasyon kuvveti Fp uygulama projesinde ayrıca hesaplanır  ( MMO/697 s.20 ).</t>
        </is>
      </c>
    </row>
    <row r="60">
      <c r="C60" s="20" t="inlineStr">
        <is>
          <t>Karşı ağırlıkta paraşüt ( fren ) bulunması hâlinde PK dikkate alınır.</t>
        </is>
      </c>
    </row>
    <row r="62" ht="18" customHeight="1">
      <c r="A62" s="4" t="inlineStr">
        <is>
          <t xml:space="preserve">  3 -   KABİN AYDINLATMA HESABI                                        ( TS EN 81-20 )</t>
        </is>
      </c>
      <c r="B62" s="58" t="n"/>
      <c r="C62" s="58" t="n"/>
      <c r="D62" s="58" t="n"/>
      <c r="E62" s="58" t="n"/>
      <c r="F62" s="58" t="n"/>
      <c r="G62" s="59" t="n"/>
    </row>
    <row r="63">
      <c r="A63" s="28" t="inlineStr">
        <is>
          <t>a</t>
        </is>
      </c>
      <c r="B63" s="29" t="inlineStr">
        <is>
          <t>:</t>
        </is>
      </c>
      <c r="C63" s="30" t="inlineStr">
        <is>
          <t>Kabin boyu</t>
        </is>
      </c>
      <c r="D63" s="29" t="inlineStr">
        <is>
          <t>=</t>
        </is>
      </c>
      <c r="E63" s="32">
        <f>IF(GİRİŞ!$C$27="","",GİRİŞ!$C$33/1000)</f>
        <v/>
      </c>
      <c r="F63" s="30" t="inlineStr">
        <is>
          <t>m</t>
        </is>
      </c>
      <c r="G63" s="3" t="inlineStr">
        <is>
          <t>GİRİŞ</t>
        </is>
      </c>
    </row>
    <row r="64">
      <c r="A64" s="28" t="inlineStr">
        <is>
          <t>b</t>
        </is>
      </c>
      <c r="B64" s="29" t="inlineStr">
        <is>
          <t>:</t>
        </is>
      </c>
      <c r="C64" s="30" t="inlineStr">
        <is>
          <t>Kabin genişliği</t>
        </is>
      </c>
      <c r="D64" s="29" t="inlineStr">
        <is>
          <t>=</t>
        </is>
      </c>
      <c r="E64" s="32">
        <f>IF(GİRİŞ!$C$27="","",GİRİŞ!$C$34/1000)</f>
        <v/>
      </c>
      <c r="F64" s="30" t="inlineStr">
        <is>
          <t>m</t>
        </is>
      </c>
      <c r="G64" s="3" t="inlineStr">
        <is>
          <t>GİRİŞ</t>
        </is>
      </c>
    </row>
    <row r="65">
      <c r="A65" s="28" t="inlineStr">
        <is>
          <t>h</t>
        </is>
      </c>
      <c r="B65" s="29" t="inlineStr">
        <is>
          <t>:</t>
        </is>
      </c>
      <c r="C65" s="30" t="inlineStr">
        <is>
          <t>Armatür ile çalışma düzlemi arasındaki yükseklik</t>
        </is>
      </c>
      <c r="D65" s="29" t="inlineStr">
        <is>
          <t>=</t>
        </is>
      </c>
      <c r="E65" s="32">
        <f>IF(GİRİŞ!$C$27="","",SABİTLER!$C$17)</f>
        <v/>
      </c>
      <c r="F65" s="30" t="inlineStr">
        <is>
          <t>m</t>
        </is>
      </c>
      <c r="G65" s="3" t="inlineStr">
        <is>
          <t>SABİTLER A</t>
        </is>
      </c>
    </row>
    <row r="66">
      <c r="C66" s="34" t="inlineStr">
        <is>
          <t>k   =   a · b   /   ( h · ( a + b ) )                ( bölge indeksi )</t>
        </is>
      </c>
    </row>
    <row r="67">
      <c r="C67" s="35">
        <f>IF(GİRİŞ!$C$27="","","=   "&amp;ROUND(E63,2)&amp;" · "&amp;ROUND(E64,2)&amp;"   /   ( "&amp;ROUND(E65,2)&amp;" · ( "&amp;ROUND(E63,2)&amp;" + "&amp;ROUND(E64,2)&amp;" ) )")</f>
        <v/>
      </c>
      <c r="E67" s="36">
        <f>IF(GİRİŞ!$C$27="","",E63*E64/(E65*(E63+E64)))</f>
        <v/>
      </c>
      <c r="F67" s="37" t="inlineStr">
        <is>
          <t>—</t>
        </is>
      </c>
      <c r="G67" s="3" t="inlineStr"/>
    </row>
    <row r="68">
      <c r="A68" s="28" t="inlineStr">
        <is>
          <t>η</t>
        </is>
      </c>
      <c r="B68" s="29" t="inlineStr">
        <is>
          <t>:</t>
        </is>
      </c>
      <c r="C68" s="30" t="inlineStr">
        <is>
          <t>Oda aydınlatma verimi</t>
        </is>
      </c>
      <c r="D68" s="29" t="inlineStr">
        <is>
          <t>=</t>
        </is>
      </c>
      <c r="E68" s="32">
        <f>IF(GİRİŞ!$C$27="","",IFERROR(INDEX(TABLOLAR!$B$8:$K$17,MATCH(MAX(E67,TABLOLAR!$A$8),TABLOLAR!$A$8:$A$17,1),TABLOLAR!$B$19),""))</f>
        <v/>
      </c>
      <c r="F68" s="30" t="inlineStr">
        <is>
          <t>—</t>
        </is>
      </c>
      <c r="G68" s="3" t="inlineStr">
        <is>
          <t>TABLOLAR T2</t>
        </is>
      </c>
    </row>
    <row r="69">
      <c r="A69" s="28" t="inlineStr">
        <is>
          <t>E</t>
        </is>
      </c>
      <c r="B69" s="29" t="inlineStr">
        <is>
          <t>:</t>
        </is>
      </c>
      <c r="C69" s="30" t="inlineStr">
        <is>
          <t>Asgari aydınlatma şiddeti</t>
        </is>
      </c>
      <c r="D69" s="29" t="inlineStr">
        <is>
          <t>=</t>
        </is>
      </c>
      <c r="E69" s="33">
        <f>IF(GİRİŞ!$C$27="","",SABİTLER!$C$14)</f>
        <v/>
      </c>
      <c r="F69" s="30" t="inlineStr">
        <is>
          <t>lüx</t>
        </is>
      </c>
      <c r="G69" s="3" t="inlineStr">
        <is>
          <t>SABİTLER A</t>
        </is>
      </c>
    </row>
    <row r="70">
      <c r="A70" s="28" t="inlineStr">
        <is>
          <t>d</t>
        </is>
      </c>
      <c r="B70" s="29" t="inlineStr">
        <is>
          <t>:</t>
        </is>
      </c>
      <c r="C70" s="30" t="inlineStr">
        <is>
          <t>Kirlenme ( bakım ) faktörü</t>
        </is>
      </c>
      <c r="D70" s="29" t="inlineStr">
        <is>
          <t>=</t>
        </is>
      </c>
      <c r="E70" s="32">
        <f>IF(GİRİŞ!$C$27="","",SABİTLER!$C$12)</f>
        <v/>
      </c>
      <c r="F70" s="30" t="inlineStr">
        <is>
          <t>—</t>
        </is>
      </c>
      <c r="G70" s="3" t="inlineStr">
        <is>
          <t>SABİTLER A</t>
        </is>
      </c>
    </row>
    <row r="71">
      <c r="C71" s="34" t="inlineStr">
        <is>
          <t>T   =   E · a · b · d   /   η                        ( gerekli toplam ışık akısı )</t>
        </is>
      </c>
    </row>
    <row r="72">
      <c r="C72" s="35">
        <f>IF(GİRİŞ!$C$27="","","=   "&amp;ROUND(E69,0)&amp;" · "&amp;ROUND(E63,2)&amp;" · "&amp;ROUND(E64,2)&amp;" · "&amp;ROUND(E70,2)&amp;"   /   "&amp;ROUND(E68,2))</f>
        <v/>
      </c>
      <c r="E72" s="39">
        <f>IF(GİRİŞ!$C$27="","",IFERROR(E69*E63*E64*E70/E68,""))</f>
        <v/>
      </c>
      <c r="F72" s="37" t="inlineStr">
        <is>
          <t>lm</t>
        </is>
      </c>
      <c r="G72" s="3" t="inlineStr"/>
    </row>
    <row r="73">
      <c r="A73" s="28" t="inlineStr">
        <is>
          <t>ØL</t>
        </is>
      </c>
      <c r="B73" s="29" t="inlineStr">
        <is>
          <t>:</t>
        </is>
      </c>
      <c r="C73" s="30" t="inlineStr">
        <is>
          <t>Bir armatürün ışık akısı</t>
        </is>
      </c>
      <c r="D73" s="29" t="inlineStr">
        <is>
          <t>=</t>
        </is>
      </c>
      <c r="E73" s="31">
        <f>IF(GİRİŞ!$C$27="","",SABİTLER!$C$28)</f>
        <v/>
      </c>
      <c r="F73" s="30" t="inlineStr">
        <is>
          <t>lm</t>
        </is>
      </c>
      <c r="G73" s="3" t="inlineStr">
        <is>
          <t>SABİTLER B</t>
        </is>
      </c>
    </row>
    <row r="74">
      <c r="C74" s="34" t="inlineStr">
        <is>
          <t>Z   =   T   /   ØL                                   ( hesaplanan armatür sayısı )</t>
        </is>
      </c>
    </row>
    <row r="75">
      <c r="C75" s="35">
        <f>IF(GİRİŞ!$C$27="","","=   "&amp;ROUND(E72,2)&amp;"   /   "&amp;ROUND(E73,0))</f>
        <v/>
      </c>
      <c r="E75" s="36">
        <f>IF(GİRİŞ!$C$27="","",IFERROR(E72/E73,""))</f>
        <v/>
      </c>
      <c r="F75" s="37" t="inlineStr">
        <is>
          <t>adet</t>
        </is>
      </c>
      <c r="G75" s="3" t="inlineStr"/>
    </row>
    <row r="76">
      <c r="A76" s="28" t="inlineStr">
        <is>
          <t>n</t>
        </is>
      </c>
      <c r="B76" s="29" t="inlineStr">
        <is>
          <t>:</t>
        </is>
      </c>
      <c r="C76" s="37" t="inlineStr">
        <is>
          <t>SEÇİLEN armatür sayısı   ( Z yukarı yuvarlanır )</t>
        </is>
      </c>
      <c r="D76" s="29" t="inlineStr">
        <is>
          <t>=</t>
        </is>
      </c>
      <c r="E76" s="40">
        <f>IF(GİRİŞ!$C$27="","",IFERROR(ROUNDUP(E75,0),""))</f>
        <v/>
      </c>
      <c r="F76" s="37" t="inlineStr">
        <is>
          <t>adet</t>
        </is>
      </c>
      <c r="G76" s="3" t="inlineStr"/>
    </row>
    <row r="77">
      <c r="A77" s="41">
        <f>IF(GİRİŞ!$C$27="","",IF(E76="","","SONUÇ  :    "&amp;E76&amp;"  adet  "&amp;SABİTLER!$C$27&amp;" W  armatür  kullanılacaktır."))</f>
        <v/>
      </c>
      <c r="B77" s="58" t="n"/>
      <c r="C77" s="58" t="n"/>
      <c r="D77" s="58" t="n"/>
      <c r="E77" s="58" t="n"/>
      <c r="F77" s="58" t="n"/>
      <c r="G77" s="59" t="n"/>
    </row>
    <row r="79" ht="18" customHeight="1">
      <c r="A79" s="4" t="inlineStr">
        <is>
          <t xml:space="preserve">  4 -   KUYU AYDINLATMA HESABI                                        ( TS EN 81-20 )</t>
        </is>
      </c>
      <c r="B79" s="58" t="n"/>
      <c r="C79" s="58" t="n"/>
      <c r="D79" s="58" t="n"/>
      <c r="E79" s="58" t="n"/>
      <c r="F79" s="58" t="n"/>
      <c r="G79" s="59" t="n"/>
    </row>
    <row r="80">
      <c r="A80" s="28" t="inlineStr">
        <is>
          <t>a</t>
        </is>
      </c>
      <c r="B80" s="29" t="inlineStr">
        <is>
          <t>:</t>
        </is>
      </c>
      <c r="C80" s="30" t="inlineStr">
        <is>
          <t>Kuyu yüksekliği  ( kuyu boyu )</t>
        </is>
      </c>
      <c r="D80" s="29" t="inlineStr">
        <is>
          <t>=</t>
        </is>
      </c>
      <c r="E80" s="32">
        <f>IF(GİRİŞ!$C$27="","",GİRİŞ!$C$31)</f>
        <v/>
      </c>
      <c r="F80" s="30" t="inlineStr">
        <is>
          <t>m</t>
        </is>
      </c>
      <c r="G80" s="3" t="inlineStr">
        <is>
          <t>GİRİŞ</t>
        </is>
      </c>
    </row>
    <row r="81">
      <c r="A81" s="28" t="inlineStr">
        <is>
          <t>b</t>
        </is>
      </c>
      <c r="B81" s="29" t="inlineStr">
        <is>
          <t>:</t>
        </is>
      </c>
      <c r="C81" s="30" t="inlineStr">
        <is>
          <t>Kuyu genişliği</t>
        </is>
      </c>
      <c r="D81" s="29" t="inlineStr">
        <is>
          <t>=</t>
        </is>
      </c>
      <c r="E81" s="32">
        <f>IF(GİRİŞ!$C$27="","",GİRİŞ!$C$32/1000)</f>
        <v/>
      </c>
      <c r="F81" s="30" t="inlineStr">
        <is>
          <t>m</t>
        </is>
      </c>
      <c r="G81" s="3" t="inlineStr">
        <is>
          <t>GİRİŞ</t>
        </is>
      </c>
    </row>
    <row r="82">
      <c r="A82" s="28" t="inlineStr">
        <is>
          <t>h</t>
        </is>
      </c>
      <c r="B82" s="29" t="inlineStr">
        <is>
          <t>:</t>
        </is>
      </c>
      <c r="C82" s="30" t="inlineStr">
        <is>
          <t>Armatür ile çalışma düzlemi arasındaki yükseklik</t>
        </is>
      </c>
      <c r="D82" s="29" t="inlineStr">
        <is>
          <t>=</t>
        </is>
      </c>
      <c r="E82" s="32">
        <f>IF(GİRİŞ!$C$27="","",SABİTLER!$C$17)</f>
        <v/>
      </c>
      <c r="F82" s="30" t="inlineStr">
        <is>
          <t>m</t>
        </is>
      </c>
      <c r="G82" s="3" t="inlineStr">
        <is>
          <t>SABİTLER A</t>
        </is>
      </c>
    </row>
    <row r="83">
      <c r="C83" s="34" t="inlineStr">
        <is>
          <t>k   =   a · b   /   ( h · ( a + b ) )                ( bölge indeksi )</t>
        </is>
      </c>
    </row>
    <row r="84">
      <c r="C84" s="35">
        <f>IF(GİRİŞ!$C$27="","","=   "&amp;ROUND(E80,2)&amp;" · "&amp;ROUND(E81,2)&amp;"   /   ( "&amp;ROUND(E82,2)&amp;" · ( "&amp;ROUND(E80,2)&amp;" + "&amp;ROUND(E81,2)&amp;" ) )")</f>
        <v/>
      </c>
      <c r="E84" s="36">
        <f>IF(GİRİŞ!$C$27="","",E80*E81/(E82*(E80+E81)))</f>
        <v/>
      </c>
      <c r="F84" s="37" t="inlineStr">
        <is>
          <t>—</t>
        </is>
      </c>
      <c r="G84" s="3" t="inlineStr"/>
    </row>
    <row r="85">
      <c r="A85" s="28" t="inlineStr">
        <is>
          <t>η</t>
        </is>
      </c>
      <c r="B85" s="29" t="inlineStr">
        <is>
          <t>:</t>
        </is>
      </c>
      <c r="C85" s="30" t="inlineStr">
        <is>
          <t>Oda aydınlatma verimi</t>
        </is>
      </c>
      <c r="D85" s="29" t="inlineStr">
        <is>
          <t>=</t>
        </is>
      </c>
      <c r="E85" s="32">
        <f>IF(GİRİŞ!$C$27="","",IFERROR(INDEX(TABLOLAR!$B$8:$K$17,MATCH(MAX(E84,TABLOLAR!$A$8),TABLOLAR!$A$8:$A$17,1),TABLOLAR!$B$19),""))</f>
        <v/>
      </c>
      <c r="F85" s="30" t="inlineStr">
        <is>
          <t>—</t>
        </is>
      </c>
      <c r="G85" s="3" t="inlineStr">
        <is>
          <t>TABLOLAR T2</t>
        </is>
      </c>
    </row>
    <row r="86">
      <c r="A86" s="28" t="inlineStr">
        <is>
          <t>E</t>
        </is>
      </c>
      <c r="B86" s="29" t="inlineStr">
        <is>
          <t>:</t>
        </is>
      </c>
      <c r="C86" s="30" t="inlineStr">
        <is>
          <t>Asgari aydınlatma şiddeti</t>
        </is>
      </c>
      <c r="D86" s="29" t="inlineStr">
        <is>
          <t>=</t>
        </is>
      </c>
      <c r="E86" s="33">
        <f>IF(GİRİŞ!$C$27="","",SABİTLER!$C$15)</f>
        <v/>
      </c>
      <c r="F86" s="30" t="inlineStr">
        <is>
          <t>lüx</t>
        </is>
      </c>
      <c r="G86" s="3" t="inlineStr">
        <is>
          <t>SABİTLER A</t>
        </is>
      </c>
    </row>
    <row r="87">
      <c r="A87" s="28" t="inlineStr">
        <is>
          <t>d</t>
        </is>
      </c>
      <c r="B87" s="29" t="inlineStr">
        <is>
          <t>:</t>
        </is>
      </c>
      <c r="C87" s="30" t="inlineStr">
        <is>
          <t>Kirlenme ( bakım ) faktörü</t>
        </is>
      </c>
      <c r="D87" s="29" t="inlineStr">
        <is>
          <t>=</t>
        </is>
      </c>
      <c r="E87" s="32">
        <f>IF(GİRİŞ!$C$27="","",SABİTLER!$C$12)</f>
        <v/>
      </c>
      <c r="F87" s="30" t="inlineStr">
        <is>
          <t>—</t>
        </is>
      </c>
      <c r="G87" s="3" t="inlineStr">
        <is>
          <t>SABİTLER A</t>
        </is>
      </c>
    </row>
    <row r="88">
      <c r="C88" s="34" t="inlineStr">
        <is>
          <t>T   =   E · a · b · d   /   η                        ( gerekli toplam ışık akısı )</t>
        </is>
      </c>
    </row>
    <row r="89">
      <c r="C89" s="35">
        <f>IF(GİRİŞ!$C$27="","","=   "&amp;ROUND(E86,0)&amp;" · "&amp;ROUND(E80,2)&amp;" · "&amp;ROUND(E81,2)&amp;" · "&amp;ROUND(E87,2)&amp;"   /   "&amp;ROUND(E85,2))</f>
        <v/>
      </c>
      <c r="E89" s="39">
        <f>IF(GİRİŞ!$C$27="","",IFERROR(E86*E80*E81*E87/E85,""))</f>
        <v/>
      </c>
      <c r="F89" s="37" t="inlineStr">
        <is>
          <t>lm</t>
        </is>
      </c>
      <c r="G89" s="3" t="inlineStr"/>
    </row>
    <row r="90">
      <c r="A90" s="28" t="inlineStr">
        <is>
          <t>ØL</t>
        </is>
      </c>
      <c r="B90" s="29" t="inlineStr">
        <is>
          <t>:</t>
        </is>
      </c>
      <c r="C90" s="30" t="inlineStr">
        <is>
          <t>Bir armatürün ışık akısı</t>
        </is>
      </c>
      <c r="D90" s="29" t="inlineStr">
        <is>
          <t>=</t>
        </is>
      </c>
      <c r="E90" s="31">
        <f>IF(GİRİŞ!$C$27="","",SABİTLER!$C$31)</f>
        <v/>
      </c>
      <c r="F90" s="30" t="inlineStr">
        <is>
          <t>lm</t>
        </is>
      </c>
      <c r="G90" s="3" t="inlineStr">
        <is>
          <t>SABİTLER B</t>
        </is>
      </c>
    </row>
    <row r="91">
      <c r="C91" s="34" t="inlineStr">
        <is>
          <t>Z   =   T   /   ØL                                   ( hesaplanan armatür sayısı )</t>
        </is>
      </c>
    </row>
    <row r="92">
      <c r="C92" s="35">
        <f>IF(GİRİŞ!$C$27="","","=   "&amp;ROUND(E89,2)&amp;"   /   "&amp;ROUND(E90,0))</f>
        <v/>
      </c>
      <c r="E92" s="36">
        <f>IF(GİRİŞ!$C$27="","",IFERROR(E89/E90,""))</f>
        <v/>
      </c>
      <c r="F92" s="37" t="inlineStr">
        <is>
          <t>adet</t>
        </is>
      </c>
      <c r="G92" s="3" t="inlineStr"/>
    </row>
    <row r="93">
      <c r="A93" s="28" t="inlineStr">
        <is>
          <t>n1</t>
        </is>
      </c>
      <c r="B93" s="29" t="inlineStr">
        <is>
          <t>:</t>
        </is>
      </c>
      <c r="C93" s="30" t="inlineStr">
        <is>
          <t>Işık akısından  =  ROUNDUP( Z ) + 2   ( kuyu dibi + üstü )</t>
        </is>
      </c>
      <c r="D93" s="29" t="inlineStr">
        <is>
          <t>=</t>
        </is>
      </c>
      <c r="E93" s="33">
        <f>IF(GİRİŞ!$C$27="","",IFERROR(ROUNDUP(E92,0)+SABİTLER!$C$16,""))</f>
        <v/>
      </c>
      <c r="F93" s="30" t="inlineStr">
        <is>
          <t>adet</t>
        </is>
      </c>
      <c r="G93" s="3" t="inlineStr">
        <is>
          <t>SABİTLER A</t>
        </is>
      </c>
    </row>
    <row r="94">
      <c r="A94" s="28" t="inlineStr">
        <is>
          <t>Dmax</t>
        </is>
      </c>
      <c r="B94" s="29" t="inlineStr">
        <is>
          <t>:</t>
        </is>
      </c>
      <c r="C94" s="30" t="inlineStr">
        <is>
          <t>Armatürler arası azami aralık</t>
        </is>
      </c>
      <c r="D94" s="29" t="inlineStr">
        <is>
          <t>=</t>
        </is>
      </c>
      <c r="E94" s="32">
        <f>IF(GİRİŞ!$C$27="","",SABİTLER!$C$32)</f>
        <v/>
      </c>
      <c r="F94" s="30" t="inlineStr">
        <is>
          <t>m</t>
        </is>
      </c>
      <c r="G94" s="3" t="inlineStr">
        <is>
          <t>SABİTLER B</t>
        </is>
      </c>
    </row>
    <row r="95">
      <c r="C95" s="34" t="inlineStr">
        <is>
          <t>n2  =   ROUNDUP( ( Hk − 1 ) / Dmax )  +  1      ( geometrik asgari adet )</t>
        </is>
      </c>
    </row>
    <row r="96">
      <c r="C96" s="35">
        <f>IF(GİRİŞ!$C$27="","",IF(E94&lt;=0,"—   ( aralık kontrolü kapalı )","=   ROUNDUP( ( "&amp;ROUND(GİRİŞ!$C$31,2)&amp;" − 1 ) / "&amp;ROUND(E94,2)&amp;" )  +  1"))</f>
        <v/>
      </c>
      <c r="E96" s="40">
        <f>IF(GİRİŞ!$C$27="","",IF(E94&lt;=0,0,ROUNDUP((GİRİŞ!$C$31-1)/E94,0)+1))</f>
        <v/>
      </c>
      <c r="F96" s="37" t="inlineStr">
        <is>
          <t>adet</t>
        </is>
      </c>
      <c r="G96" s="3" t="inlineStr"/>
    </row>
    <row r="97">
      <c r="A97" s="28" t="inlineStr">
        <is>
          <t>n</t>
        </is>
      </c>
      <c r="B97" s="29" t="inlineStr">
        <is>
          <t>:</t>
        </is>
      </c>
      <c r="C97" s="37" t="inlineStr">
        <is>
          <t>SEÇİLEN armatür sayısı   =   MAX ( n1 ; n2 )</t>
        </is>
      </c>
      <c r="D97" s="29" t="inlineStr">
        <is>
          <t>=</t>
        </is>
      </c>
      <c r="E97" s="40">
        <f>IF(GİRİŞ!$C$27="","",IFERROR(MAX(E93,E96),""))</f>
        <v/>
      </c>
      <c r="F97" s="37" t="inlineStr">
        <is>
          <t>adet</t>
        </is>
      </c>
      <c r="G97" s="3" t="inlineStr"/>
    </row>
    <row r="98">
      <c r="A98" s="41">
        <f>IF(GİRİŞ!$C$27="","",IF(E97="","","SONUÇ  :    "&amp;E97&amp;"  adet  "&amp;SABİTLER!$C$30&amp;" W  armatür  kullanılacaktır."))</f>
        <v/>
      </c>
      <c r="B98" s="58" t="n"/>
      <c r="C98" s="58" t="n"/>
      <c r="D98" s="58" t="n"/>
      <c r="E98" s="58" t="n"/>
      <c r="F98" s="58" t="n"/>
      <c r="G98" s="59" t="n"/>
    </row>
    <row r="100" ht="18" customHeight="1">
      <c r="A100" s="4" t="inlineStr">
        <is>
          <t xml:space="preserve">  5 -   KURULU GÜÇ CETVELİ                                   ( tablo adı :  TAS1 )</t>
        </is>
      </c>
      <c r="B100" s="58" t="n"/>
      <c r="C100" s="58" t="n"/>
      <c r="D100" s="58" t="n"/>
      <c r="E100" s="58" t="n"/>
      <c r="F100" s="58" t="n"/>
      <c r="G100" s="59" t="n"/>
    </row>
    <row r="101">
      <c r="A101" s="6" t="inlineStr">
        <is>
          <t>Lin</t>
        </is>
      </c>
      <c r="B101" s="6" t="inlineStr"/>
      <c r="C101" s="42" t="inlineStr">
        <is>
          <t xml:space="preserve">  Sorti</t>
        </is>
      </c>
      <c r="D101" s="6" t="inlineStr"/>
      <c r="E101" s="6" t="inlineStr">
        <is>
          <t>Gücü</t>
        </is>
      </c>
      <c r="F101" s="6" t="inlineStr">
        <is>
          <t>Birim</t>
        </is>
      </c>
      <c r="G101" s="6" t="inlineStr">
        <is>
          <t>Sigorta A</t>
        </is>
      </c>
    </row>
    <row r="102">
      <c r="A102" s="43">
        <f>IF(GİRİŞ!$C$27="","",1)</f>
        <v/>
      </c>
      <c r="B102" s="29">
        <f>IF(GİRİŞ!$C$27="","",":")</f>
        <v/>
      </c>
      <c r="C102" s="30">
        <f>IF(GİRİŞ!$C$27="","","MOTOR")</f>
        <v/>
      </c>
      <c r="D102" s="29">
        <f>IF(GİRİŞ!$C$27="","","=")</f>
        <v/>
      </c>
      <c r="E102" s="31">
        <f>IF(GİRİŞ!$C$27="","",GİRİŞ!$C$43*1000/SABİTLER!$C$39)</f>
        <v/>
      </c>
      <c r="F102" s="30">
        <f>IF(GİRİŞ!$C$27="","","W")</f>
        <v/>
      </c>
      <c r="G102" s="44" t="inlineStr">
        <is>
          <t>4 x 25</t>
        </is>
      </c>
    </row>
    <row r="103">
      <c r="A103" s="43">
        <f>IF(GİRİŞ!$C$27="","",2)</f>
        <v/>
      </c>
      <c r="B103" s="29">
        <f>IF(GİRİŞ!$C$27="","",":")</f>
        <v/>
      </c>
      <c r="C103" s="30">
        <f>IF(GİRİŞ!$C$27="","","KUYU AYDINLATMASI          ( "&amp;'1 NOLU ASANSÖR'!E97&amp;" X "&amp;SABİTLER!$C$30&amp;" W )")</f>
        <v/>
      </c>
      <c r="D103" s="29">
        <f>IF(GİRİŞ!$C$27="","","=")</f>
        <v/>
      </c>
      <c r="E103" s="31">
        <f>IF(GİRİŞ!$C$27="","",'1 NOLU ASANSÖR'!E97*SABİTLER!$C$30)</f>
        <v/>
      </c>
      <c r="F103" s="30">
        <f>IF(GİRİŞ!$C$27="","","W")</f>
        <v/>
      </c>
      <c r="G103" s="44" t="inlineStr">
        <is>
          <t>10</t>
        </is>
      </c>
    </row>
    <row r="104">
      <c r="A104" s="43">
        <f>IF(GİRİŞ!$C$27="","",3)</f>
        <v/>
      </c>
      <c r="B104" s="29">
        <f>IF(GİRİŞ!$C$27="","",":")</f>
        <v/>
      </c>
      <c r="C104" s="30">
        <f>IF(GİRİŞ!$C$27="","","KABİN + KABİN ÜSTÜ AYD.     ( "&amp;'1 NOLU ASANSÖR'!E76&amp;" X "&amp;SABİTLER!$C$27&amp;" W  +  "&amp;SABİTLER!$C$29&amp;" X "&amp;SABİTLER!$C$27&amp;" W )")</f>
        <v/>
      </c>
      <c r="D104" s="29">
        <f>IF(GİRİŞ!$C$27="","","=")</f>
        <v/>
      </c>
      <c r="E104" s="31">
        <f>IF(GİRİŞ!$C$27="","",('1 NOLU ASANSÖR'!E76+SABİTLER!$C$29)*SABİTLER!$C$27)</f>
        <v/>
      </c>
      <c r="F104" s="30">
        <f>IF(GİRİŞ!$C$27="","","W")</f>
        <v/>
      </c>
      <c r="G104" s="44" t="inlineStr">
        <is>
          <t>10</t>
        </is>
      </c>
    </row>
    <row r="105">
      <c r="A105" s="43">
        <f>IF(GİRİŞ!$C$27="","",4)</f>
        <v/>
      </c>
      <c r="B105" s="29">
        <f>IF(GİRİŞ!$C$27="","",":")</f>
        <v/>
      </c>
      <c r="C105" s="30">
        <f>IF(GİRİŞ!$C$27="","","TOPLAM PRİZ          ( "&amp;SABİTLER!$C$33&amp;" X "&amp;SABİTLER!$C$34&amp;" W )")</f>
        <v/>
      </c>
      <c r="D105" s="29">
        <f>IF(GİRİŞ!$C$27="","","=")</f>
        <v/>
      </c>
      <c r="E105" s="31">
        <f>IF(GİRİŞ!$C$27="","",SABİTLER!$C$33*SABİTLER!$C$34)</f>
        <v/>
      </c>
      <c r="F105" s="30">
        <f>IF(GİRİŞ!$C$27="","","W")</f>
        <v/>
      </c>
      <c r="G105" s="44" t="inlineStr">
        <is>
          <t>16</t>
        </is>
      </c>
    </row>
    <row r="106">
      <c r="C106" s="37" t="inlineStr">
        <is>
          <t>ASANSÖRÜN KURULU GÜCÜ</t>
        </is>
      </c>
      <c r="D106" s="29">
        <f>IF(GİRİŞ!$C$27="","","=")</f>
        <v/>
      </c>
      <c r="E106" s="38">
        <f>IF(GİRİŞ!$C$27="","",SUM(E102:E105))</f>
        <v/>
      </c>
      <c r="F106" s="37">
        <f>IF(GİRİŞ!$C$27="","","W")</f>
        <v/>
      </c>
    </row>
    <row r="108" ht="18" customHeight="1">
      <c r="A108" s="4" t="inlineStr">
        <is>
          <t xml:space="preserve">  6 -   GERİLİM DÜŞÜMÜ VE KESİT KONTROLÜ</t>
        </is>
      </c>
      <c r="B108" s="58" t="n"/>
      <c r="C108" s="58" t="n"/>
      <c r="D108" s="58" t="n"/>
      <c r="E108" s="58" t="n"/>
      <c r="F108" s="58" t="n"/>
      <c r="G108" s="59" t="n"/>
    </row>
    <row r="110">
      <c r="C110" s="37" t="inlineStr">
        <is>
          <t>ε %  =  100 · P · L  /  ( κ · S · U² )          I  =  P  /  ( √3 · U · cosφ )</t>
        </is>
      </c>
    </row>
    <row r="116">
      <c r="A116" s="20" t="inlineStr">
        <is>
          <t>Kolon hattı asansörün TOPLAM kurulu gücünü ( motor + aydınlatma + priz ) taşır;  makine besleme hattı yalnız motoru besler.  Her iki hatta da motorun ŞEBEKEDEN ÇEKTİĞİ güç ( Pşeb = Nsç / ηm ) akar — Nsç mil gücüdür.</t>
        </is>
      </c>
    </row>
    <row r="118">
      <c r="A118" s="28" t="inlineStr">
        <is>
          <t>U</t>
        </is>
      </c>
      <c r="B118" s="29" t="inlineStr">
        <is>
          <t>:</t>
        </is>
      </c>
      <c r="C118" s="30" t="inlineStr">
        <is>
          <t>Şebeke gerilimi ( fazlar arası )</t>
        </is>
      </c>
      <c r="D118" s="29" t="inlineStr">
        <is>
          <t>=</t>
        </is>
      </c>
      <c r="E118" s="33">
        <f>IF(GİRİŞ!$C$27="","",GİRİŞ!$C$6)</f>
        <v/>
      </c>
      <c r="F118" s="30" t="inlineStr">
        <is>
          <t>V</t>
        </is>
      </c>
      <c r="G118" s="3" t="inlineStr">
        <is>
          <t>GİRİŞ</t>
        </is>
      </c>
    </row>
    <row r="119">
      <c r="A119" s="28" t="inlineStr">
        <is>
          <t>cosφ</t>
        </is>
      </c>
      <c r="B119" s="29" t="inlineStr">
        <is>
          <t>:</t>
        </is>
      </c>
      <c r="C119" s="30" t="inlineStr">
        <is>
          <t>Güç katsayısı</t>
        </is>
      </c>
      <c r="D119" s="29" t="inlineStr">
        <is>
          <t>=</t>
        </is>
      </c>
      <c r="E119" s="32">
        <f>IF(GİRİŞ!$C$27="","",SABİTLER!$C$35)</f>
        <v/>
      </c>
      <c r="F119" s="30" t="inlineStr">
        <is>
          <t>—</t>
        </is>
      </c>
      <c r="G119" s="3" t="inlineStr">
        <is>
          <t>SABİTLER B</t>
        </is>
      </c>
    </row>
    <row r="120">
      <c r="A120" s="28" t="inlineStr">
        <is>
          <t>κ</t>
        </is>
      </c>
      <c r="B120" s="29" t="inlineStr">
        <is>
          <t>:</t>
        </is>
      </c>
      <c r="C120" s="30" t="inlineStr">
        <is>
          <t>İletken iletkenliği</t>
        </is>
      </c>
      <c r="D120" s="29" t="inlineStr">
        <is>
          <t>=</t>
        </is>
      </c>
      <c r="E120" s="33">
        <f>IF(GİRİŞ!$C$27="","",GİRİŞ!$C$7)</f>
        <v/>
      </c>
      <c r="F120" s="30" t="inlineStr">
        <is>
          <t>m/Ω·mm²</t>
        </is>
      </c>
      <c r="G120" s="3" t="inlineStr">
        <is>
          <t>GİRİŞ</t>
        </is>
      </c>
    </row>
    <row r="121">
      <c r="A121" s="28" t="inlineStr">
        <is>
          <t>P1</t>
        </is>
      </c>
      <c r="B121" s="29" t="inlineStr">
        <is>
          <t>:</t>
        </is>
      </c>
      <c r="C121" s="30" t="inlineStr">
        <is>
          <t>Asansörün toplam kurulu gücü</t>
        </is>
      </c>
      <c r="D121" s="29" t="inlineStr">
        <is>
          <t>=</t>
        </is>
      </c>
      <c r="E121" s="31">
        <f>IF(GİRİŞ!$C$27="","",E106)</f>
        <v/>
      </c>
      <c r="F121" s="30" t="inlineStr">
        <is>
          <t>W</t>
        </is>
      </c>
      <c r="G121" s="3" t="inlineStr">
        <is>
          <t>yukarıdan</t>
        </is>
      </c>
    </row>
    <row r="122">
      <c r="A122" s="28" t="inlineStr">
        <is>
          <t>L1</t>
        </is>
      </c>
      <c r="B122" s="29" t="inlineStr">
        <is>
          <t>:</t>
        </is>
      </c>
      <c r="C122" s="30" t="inlineStr">
        <is>
          <t>Kolon hattı uzunluğu</t>
        </is>
      </c>
      <c r="D122" s="29" t="inlineStr">
        <is>
          <t>=</t>
        </is>
      </c>
      <c r="E122" s="32">
        <f>IF(GİRİŞ!$C$27="","",GİRİŞ!$C$45)</f>
        <v/>
      </c>
      <c r="F122" s="30" t="inlineStr">
        <is>
          <t>m</t>
        </is>
      </c>
      <c r="G122" s="3" t="inlineStr">
        <is>
          <t>GİRİŞ</t>
        </is>
      </c>
    </row>
    <row r="123">
      <c r="A123" s="28" t="inlineStr">
        <is>
          <t>S1</t>
        </is>
      </c>
      <c r="B123" s="29" t="inlineStr">
        <is>
          <t>:</t>
        </is>
      </c>
      <c r="C123" s="30" t="inlineStr">
        <is>
          <t>Kolon hattı kesiti</t>
        </is>
      </c>
      <c r="D123" s="29" t="inlineStr">
        <is>
          <t>=</t>
        </is>
      </c>
      <c r="E123" s="61">
        <f>IF(GİRİŞ!$C$27="","",GİRİŞ!$C$44)</f>
        <v/>
      </c>
      <c r="F123" s="30" t="inlineStr">
        <is>
          <t>mm²</t>
        </is>
      </c>
      <c r="G123" s="3" t="inlineStr">
        <is>
          <t>GİRİŞ</t>
        </is>
      </c>
    </row>
    <row r="124">
      <c r="C124" s="34" t="inlineStr">
        <is>
          <t>ε1  =   100 · P1 · L1   /   ( κ · S1 · U² )</t>
        </is>
      </c>
    </row>
    <row r="125">
      <c r="C125" s="35">
        <f>IF(GİRİŞ!$C$27="","","=   100 · "&amp;ROUND(E121,0)&amp;" · "&amp;ROUND(E122,2)&amp;"   /   ( "&amp;ROUND(GİRİŞ!$C$7,0)&amp;" · "&amp;ROUND(E123,2)&amp;" · "&amp;ROUND(GİRİŞ!$C$6,0)&amp;"² )")</f>
        <v/>
      </c>
      <c r="E125" s="62">
        <f>IF(GİRİŞ!$C$27="","",IF(OR(GİRİŞ!$C$7&lt;=0,E123&lt;=0,GİRİŞ!$C$6&lt;=0),"",100*E121*E122/(GİRİŞ!$C$7*E123*GİRİŞ!$C$6^2)))</f>
        <v/>
      </c>
      <c r="F125" s="37" t="inlineStr">
        <is>
          <t>%</t>
        </is>
      </c>
      <c r="G125" s="3" t="inlineStr">
        <is>
          <t>kolon hattı</t>
        </is>
      </c>
    </row>
    <row r="126">
      <c r="A126" s="28" t="inlineStr">
        <is>
          <t>P2</t>
        </is>
      </c>
      <c r="B126" s="29" t="inlineStr">
        <is>
          <t>:</t>
        </is>
      </c>
      <c r="C126" s="30" t="inlineStr">
        <is>
          <t>Makine besleme hattının gücü  ( = Pşeb )</t>
        </is>
      </c>
      <c r="D126" s="29" t="inlineStr">
        <is>
          <t>=</t>
        </is>
      </c>
      <c r="E126" s="31">
        <f>IF(GİRİŞ!$C$27="","",GİRİŞ!$C$43*1000/SABİTLER!$C$39)</f>
        <v/>
      </c>
      <c r="F126" s="30" t="inlineStr">
        <is>
          <t>W</t>
        </is>
      </c>
      <c r="G126" s="3" t="inlineStr">
        <is>
          <t>GİRİŞ</t>
        </is>
      </c>
    </row>
    <row r="127">
      <c r="A127" s="28" t="inlineStr">
        <is>
          <t>L2</t>
        </is>
      </c>
      <c r="B127" s="29" t="inlineStr">
        <is>
          <t>:</t>
        </is>
      </c>
      <c r="C127" s="30" t="inlineStr">
        <is>
          <t>Makine besleme uzunluğu</t>
        </is>
      </c>
      <c r="D127" s="29" t="inlineStr">
        <is>
          <t>=</t>
        </is>
      </c>
      <c r="E127" s="32">
        <f>IF(GİRİŞ!$C$27="","",GİRİŞ!$C$47)</f>
        <v/>
      </c>
      <c r="F127" s="30" t="inlineStr">
        <is>
          <t>m</t>
        </is>
      </c>
      <c r="G127" s="3" t="inlineStr">
        <is>
          <t>GİRİŞ</t>
        </is>
      </c>
    </row>
    <row r="128">
      <c r="A128" s="28" t="inlineStr">
        <is>
          <t>S2</t>
        </is>
      </c>
      <c r="B128" s="29" t="inlineStr">
        <is>
          <t>:</t>
        </is>
      </c>
      <c r="C128" s="30" t="inlineStr">
        <is>
          <t>Makine besleme kesiti</t>
        </is>
      </c>
      <c r="D128" s="29" t="inlineStr">
        <is>
          <t>=</t>
        </is>
      </c>
      <c r="E128" s="61">
        <f>IF(GİRİŞ!$C$27="","",GİRİŞ!$C$46)</f>
        <v/>
      </c>
      <c r="F128" s="30" t="inlineStr">
        <is>
          <t>mm²</t>
        </is>
      </c>
      <c r="G128" s="3" t="inlineStr">
        <is>
          <t>GİRİŞ</t>
        </is>
      </c>
    </row>
    <row r="129">
      <c r="C129" s="34" t="inlineStr">
        <is>
          <t>ε2  =   100 · P2 · L2   /   ( κ · S2 · U² )</t>
        </is>
      </c>
    </row>
    <row r="130">
      <c r="C130" s="35">
        <f>IF(GİRİŞ!$C$27="","","=   100 · "&amp;ROUND(E126,0)&amp;" · "&amp;ROUND(E127,2)&amp;"   /   ( "&amp;ROUND(GİRİŞ!$C$7,0)&amp;" · "&amp;ROUND(E128,2)&amp;" · "&amp;ROUND(GİRİŞ!$C$6,0)&amp;"² )")</f>
        <v/>
      </c>
      <c r="E130" s="62">
        <f>IF(GİRİŞ!$C$27="","",IF(OR(GİRİŞ!$C$7&lt;=0,E128&lt;=0,GİRİŞ!$C$6&lt;=0),"",100*E126*E127/(GİRİŞ!$C$7*E128*GİRİŞ!$C$6^2)))</f>
        <v/>
      </c>
      <c r="F130" s="37" t="inlineStr">
        <is>
          <t>%</t>
        </is>
      </c>
      <c r="G130" s="3" t="inlineStr">
        <is>
          <t>makine besleme</t>
        </is>
      </c>
    </row>
    <row r="131">
      <c r="C131" s="34" t="inlineStr">
        <is>
          <t>ε   =   ε1  +  ε2                                    ( toplam )</t>
        </is>
      </c>
    </row>
    <row r="132">
      <c r="C132" s="35">
        <f>IF(GİRİŞ!$C$27="","",IF(OR(NOT(ISNUMBER(E125)),NOT(ISNUMBER(E130))),"","=   "&amp;ROUND(E125,3)&amp;"  +  "&amp;ROUND(E130,3)))</f>
        <v/>
      </c>
      <c r="E132" s="62">
        <f>IF(GİRİŞ!$C$27="","",IF(OR(NOT(ISNUMBER(E125)),NOT(ISNUMBER(E130))),"",E125+E130))</f>
        <v/>
      </c>
      <c r="F132" s="37" t="inlineStr">
        <is>
          <t>%</t>
        </is>
      </c>
      <c r="G132" s="3" t="inlineStr"/>
    </row>
    <row r="133">
      <c r="A133" s="28" t="inlineStr">
        <is>
          <t>εmax</t>
        </is>
      </c>
      <c r="B133" s="29" t="inlineStr">
        <is>
          <t>:</t>
        </is>
      </c>
      <c r="C133" s="30" t="inlineStr">
        <is>
          <t>İzin verilen gerilim düşümü</t>
        </is>
      </c>
      <c r="D133" s="29" t="inlineStr">
        <is>
          <t>=</t>
        </is>
      </c>
      <c r="E133" s="63">
        <f>IF(GİRİŞ!$C$27="","",GİRİŞ!$C$8)</f>
        <v/>
      </c>
      <c r="F133" s="30" t="inlineStr">
        <is>
          <t>%</t>
        </is>
      </c>
      <c r="G133" s="3" t="inlineStr">
        <is>
          <t>GİRİŞ</t>
        </is>
      </c>
    </row>
    <row r="134">
      <c r="C134" s="37" t="inlineStr">
        <is>
          <t>KONTROL      ε  ≤  εmax</t>
        </is>
      </c>
      <c r="E134" s="28">
        <f>IF(GİRİŞ!$C$27="","",IF(NOT(ISNUMBER(E132)),"GİRDİ HATALI",IF(E132&lt;=GİRİŞ!$C$8,"UYGUN","UYGUN DEĞİL — kesiti büyütün")))</f>
        <v/>
      </c>
    </row>
    <row r="135" ht="21" customHeight="1">
      <c r="A135" s="3" t="inlineStr">
        <is>
          <t>Aydınlatma ve priz devrelerinde izin verilen gerilim düşümü %1,5'tir;  bu devrelerin uç noktalara kadar düşümü uygulama projesinde kontrol edilecektir.</t>
        </is>
      </c>
    </row>
    <row r="136">
      <c r="C136" s="34" t="inlineStr">
        <is>
          <t>I   =   P1   /   ( √3 · U · cosφ )                  ( hat akımı )</t>
        </is>
      </c>
    </row>
    <row r="137">
      <c r="C137" s="35">
        <f>IF(GİRİŞ!$C$27="","","=   "&amp;ROUND(E121,0)&amp;"   /   ( 1,73 · "&amp;ROUND(GİRİŞ!$C$6,0)&amp;" · "&amp;ROUND(SABİTLER!$C$35,2)&amp;" )")</f>
        <v/>
      </c>
      <c r="E137" s="36">
        <f>IF(GİRİŞ!$C$27="","",IF(OR(GİRİŞ!$C$6&lt;=0,SABİTLER!$C$35&lt;=0),"",E121/(SQRT(3)*GİRİŞ!$C$6*SABİTLER!$C$35)))</f>
        <v/>
      </c>
      <c r="F137" s="37" t="inlineStr">
        <is>
          <t>A</t>
        </is>
      </c>
      <c r="G137" s="3" t="inlineStr"/>
    </row>
    <row r="138">
      <c r="A138" s="28" t="inlineStr">
        <is>
          <t>Iz</t>
        </is>
      </c>
      <c r="B138" s="29" t="inlineStr">
        <is>
          <t>:</t>
        </is>
      </c>
      <c r="C138" s="30" t="inlineStr">
        <is>
          <t>Kablonun akım taşıma kapasitesi</t>
        </is>
      </c>
      <c r="D138" s="29" t="inlineStr">
        <is>
          <t>=</t>
        </is>
      </c>
      <c r="E138" s="61">
        <f>IF(GİRİŞ!$C$27="","",IFERROR(INDEX(TABLOLAR!$B$53:$B$64,MATCH(E123,TABLOLAR!$A$53:$A$64,0)),"tablo dışı"))</f>
        <v/>
      </c>
      <c r="F138" s="30" t="inlineStr">
        <is>
          <t>A</t>
        </is>
      </c>
      <c r="G138" s="3" t="inlineStr">
        <is>
          <t>TABLOLAR / IEC</t>
        </is>
      </c>
    </row>
    <row r="139">
      <c r="C139" s="37" t="inlineStr">
        <is>
          <t>KONTROL      I  ≤  Iz</t>
        </is>
      </c>
      <c r="E139" s="28">
        <f>IF(GİRİŞ!$C$27="","",IF(OR(NOT(ISNUMBER(E138)),NOT(ISNUMBER(E137))),"KESİT TABLO DIŞI",IF(E137&lt;=E138,"UYGUN","UYGUN DEĞİL — kesiti büyütün")))</f>
        <v/>
      </c>
    </row>
    <row r="140">
      <c r="A140" s="41">
        <f>IF(GİRİŞ!$C$27="","",IF(OR(GİRİŞ!$C$48="",NOT(ISNUMBER(E132)),NOT(ISNUMBER(E137))),"","Seçilen kablo :   "&amp;ROUND(E123,2)&amp;" mm²  "&amp;GİRİŞ!$C$48&amp;"   —   "&amp;IF(AND(E132&lt;=GİRİŞ!$C$8,E137&lt;=E138),"uygundur.","UYGUN DEĞİLDİR.")))</f>
        <v/>
      </c>
      <c r="B140" s="58" t="n"/>
      <c r="C140" s="58" t="n"/>
      <c r="D140" s="58" t="n"/>
      <c r="E140" s="58" t="n"/>
      <c r="F140" s="58" t="n"/>
      <c r="G140" s="59" t="n"/>
    </row>
  </sheetData>
  <mergeCells count="65">
    <mergeCell ref="C131:G131"/>
    <mergeCell ref="C92:D92"/>
    <mergeCell ref="C83:G83"/>
    <mergeCell ref="C24:D24"/>
    <mergeCell ref="A135:G135"/>
    <mergeCell ref="C30:D30"/>
    <mergeCell ref="E139:F139"/>
    <mergeCell ref="A116:G116"/>
    <mergeCell ref="A140:G140"/>
    <mergeCell ref="A62:G62"/>
    <mergeCell ref="A100:G100"/>
    <mergeCell ref="C14:D14"/>
    <mergeCell ref="A38:G38"/>
    <mergeCell ref="C89:D89"/>
    <mergeCell ref="A42:G42"/>
    <mergeCell ref="C74:G74"/>
    <mergeCell ref="C26:D26"/>
    <mergeCell ref="A19:G19"/>
    <mergeCell ref="C88:G88"/>
    <mergeCell ref="C29:G29"/>
    <mergeCell ref="C35:G35"/>
    <mergeCell ref="C47:G47"/>
    <mergeCell ref="A77:G77"/>
    <mergeCell ref="C25:G25"/>
    <mergeCell ref="C137:D137"/>
    <mergeCell ref="C44:D44"/>
    <mergeCell ref="C55:G55"/>
    <mergeCell ref="C75:D75"/>
    <mergeCell ref="C40:D40"/>
    <mergeCell ref="C84:D84"/>
    <mergeCell ref="A98:G98"/>
    <mergeCell ref="C124:G124"/>
    <mergeCell ref="C129:G129"/>
    <mergeCell ref="C56:D56"/>
    <mergeCell ref="C136:G136"/>
    <mergeCell ref="A1:G1"/>
    <mergeCell ref="C43:G43"/>
    <mergeCell ref="A79:G79"/>
    <mergeCell ref="C95:G95"/>
    <mergeCell ref="C130:D130"/>
    <mergeCell ref="C51:G51"/>
    <mergeCell ref="C36:D36"/>
    <mergeCell ref="C71:G71"/>
    <mergeCell ref="A54:G54"/>
    <mergeCell ref="C132:D132"/>
    <mergeCell ref="C52:D52"/>
    <mergeCell ref="C23:G23"/>
    <mergeCell ref="C39:G39"/>
    <mergeCell ref="C48:D48"/>
    <mergeCell ref="A108:G108"/>
    <mergeCell ref="C110:G110"/>
    <mergeCell ref="A46:G46"/>
    <mergeCell ref="C91:G91"/>
    <mergeCell ref="C125:D125"/>
    <mergeCell ref="E16:F16"/>
    <mergeCell ref="A18:G18"/>
    <mergeCell ref="C72:D72"/>
    <mergeCell ref="C67:D67"/>
    <mergeCell ref="A3:G3"/>
    <mergeCell ref="E134:F134"/>
    <mergeCell ref="A50:G50"/>
    <mergeCell ref="C66:G66"/>
    <mergeCell ref="C96:D96"/>
    <mergeCell ref="C13:G13"/>
    <mergeCell ref="A5:G5"/>
  </mergeCells>
  <conditionalFormatting sqref="A3:G3">
    <cfRule type="expression" priority="1" dxfId="2">
      <formula>LEFT($A$3,3)="!!!"</formula>
    </cfRule>
  </conditionalFormatting>
  <conditionalFormatting sqref="E16:F16">
    <cfRule type="expression" priority="2" dxfId="0">
      <formula>ISNUMBER(SEARCH("UYGUN DEĞİL",$E$16))</formula>
    </cfRule>
    <cfRule type="expression" priority="3" dxfId="1">
      <formula>AND(ISNUMBER(SEARCH("UYGUN",$E$16)),NOT(ISNUMBER(SEARCH("DEĞİL",$E$16))))</formula>
    </cfRule>
  </conditionalFormatting>
  <conditionalFormatting sqref="E134:F134">
    <cfRule type="expression" priority="4" dxfId="0">
      <formula>ISNUMBER(SEARCH("UYGUN DEĞİL",$E$134))</formula>
    </cfRule>
    <cfRule type="expression" priority="5" dxfId="1">
      <formula>AND(ISNUMBER(SEARCH("UYGUN",$E$134)),NOT(ISNUMBER(SEARCH("DEĞİL",$E$134))))</formula>
    </cfRule>
  </conditionalFormatting>
  <conditionalFormatting sqref="E139:F139">
    <cfRule type="expression" priority="6" dxfId="0">
      <formula>ISNUMBER(SEARCH("UYGUN DEĞİL",$E$139))</formula>
    </cfRule>
    <cfRule type="expression" priority="7" dxfId="1">
      <formula>AND(ISNUMBER(SEARCH("UYGUN",$E$139)),NOT(ISNUMBER(SEARCH("DEĞİL",$E$139))))</formula>
    </cfRule>
  </conditionalFormatting>
  <printOptions horizontalCentered="1"/>
  <pageMargins left="0.4" right="0.4" top="0.5" bottom="0.5" header="0.5" footer="0.5"/>
  <pageSetup orientation="portrait" fitToHeight="0" fitToWidth="1"/>
  <rowBreaks count="3" manualBreakCount="3">
    <brk id="17" min="0" max="16383" man="1"/>
    <brk id="61" min="0" max="16383" man="1"/>
    <brk id="99" min="0" max="16383" man="1"/>
  </rowBreaks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4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" customWidth="1" min="2" max="2"/>
    <col width="51" customWidth="1" min="3" max="3"/>
    <col width="2" customWidth="1" min="4" max="4"/>
    <col width="13" customWidth="1" min="5" max="5"/>
    <col width="10" customWidth="1" min="6" max="6"/>
    <col width="14" customWidth="1" min="7" max="7"/>
  </cols>
  <sheetData>
    <row r="1" ht="22" customHeight="1">
      <c r="A1" s="1" t="inlineStr">
        <is>
          <t>2 NOLU ASANSÖR   —   AVAN PROJE HESAPLARI</t>
        </is>
      </c>
      <c r="B1" s="58" t="n"/>
      <c r="C1" s="58" t="n"/>
      <c r="D1" s="58" t="n"/>
      <c r="E1" s="58" t="n"/>
      <c r="F1" s="58" t="n"/>
      <c r="G1" s="59" t="n"/>
    </row>
    <row r="3">
      <c r="A3" s="28">
        <f>IF(GİRİŞ!$D$27&lt;&gt;"",IF(GİRİŞ!$D$23="","","Asansör tanımı :   "&amp;GİRİŞ!$D$23),IF(GİRİŞ!$D$24="","!!!   BU ASANSÖR GİRİŞ SAYFASINDA TANIMLANMAMIŞ   —   hesaplar boştur   !!!","!!!   KAPASİTE TABLO-7 DIŞI   —   GİRİŞ sayfasında  'Anma yükü — elle'  satırını doldurun   !!!"))</f>
        <v/>
      </c>
    </row>
    <row r="5" ht="18" customHeight="1">
      <c r="A5" s="4" t="inlineStr">
        <is>
          <t xml:space="preserve">  1 -   MOTOR GÜCÜ HESABI                                    ( MMO / 697  —  s.21 )</t>
        </is>
      </c>
      <c r="B5" s="58" t="n"/>
      <c r="C5" s="58" t="n"/>
      <c r="D5" s="58" t="n"/>
      <c r="E5" s="58" t="n"/>
      <c r="F5" s="58" t="n"/>
      <c r="G5" s="59" t="n"/>
    </row>
    <row r="6">
      <c r="A6" s="28" t="inlineStr">
        <is>
          <t>Q</t>
        </is>
      </c>
      <c r="B6" s="29" t="inlineStr">
        <is>
          <t>:</t>
        </is>
      </c>
      <c r="C6" s="30" t="inlineStr">
        <is>
          <t>Anma yükü</t>
        </is>
      </c>
      <c r="D6" s="29" t="inlineStr">
        <is>
          <t>=</t>
        </is>
      </c>
      <c r="E6" s="31">
        <f>IF(GİRİŞ!$D$27="","",GİRİŞ!$D$27)</f>
        <v/>
      </c>
      <c r="F6" s="30" t="inlineStr">
        <is>
          <t>kg</t>
        </is>
      </c>
      <c r="G6" s="3" t="inlineStr">
        <is>
          <t>GİRİŞ</t>
        </is>
      </c>
    </row>
    <row r="7">
      <c r="A7" s="28" t="inlineStr">
        <is>
          <t>V</t>
        </is>
      </c>
      <c r="B7" s="29" t="inlineStr">
        <is>
          <t>:</t>
        </is>
      </c>
      <c r="C7" s="30" t="inlineStr">
        <is>
          <t>Kabin hızı</t>
        </is>
      </c>
      <c r="D7" s="29" t="inlineStr">
        <is>
          <t>=</t>
        </is>
      </c>
      <c r="E7" s="32">
        <f>IF(GİRİŞ!$D$27="","",GİRİŞ!$D$28)</f>
        <v/>
      </c>
      <c r="F7" s="30" t="inlineStr">
        <is>
          <t>m/s</t>
        </is>
      </c>
      <c r="G7" s="3" t="inlineStr">
        <is>
          <t>GİRİŞ</t>
        </is>
      </c>
    </row>
    <row r="8">
      <c r="A8" s="28" t="inlineStr">
        <is>
          <t>q</t>
        </is>
      </c>
      <c r="B8" s="29" t="inlineStr">
        <is>
          <t>:</t>
        </is>
      </c>
      <c r="C8" s="30" t="inlineStr">
        <is>
          <t>Denge faktörü  ( karşı ağırlığın dengelediği oran )</t>
        </is>
      </c>
      <c r="D8" s="29" t="inlineStr">
        <is>
          <t>=</t>
        </is>
      </c>
      <c r="E8" s="32">
        <f>IF(GİRİŞ!$D$27="","",IF(ISNUMBER(GİRİŞ!$D$54),GİRİŞ!$D$54,SABİTLER!$C$23))</f>
        <v/>
      </c>
      <c r="F8" s="30" t="inlineStr">
        <is>
          <t>—</t>
        </is>
      </c>
      <c r="G8" s="3">
        <f>IF(ISNUMBER(GİRİŞ!$D$54),"GİRİŞ — asansör bazında","SABİTLER B")</f>
        <v/>
      </c>
    </row>
    <row r="9">
      <c r="A9" s="28" t="inlineStr">
        <is>
          <t>i</t>
        </is>
      </c>
      <c r="B9" s="29" t="inlineStr">
        <is>
          <t>:</t>
        </is>
      </c>
      <c r="C9" s="30" t="inlineStr">
        <is>
          <t>Palanga ( askı ) katsayısı</t>
        </is>
      </c>
      <c r="D9" s="29" t="inlineStr">
        <is>
          <t>=</t>
        </is>
      </c>
      <c r="E9" s="33">
        <f>IF(GİRİŞ!$D$27="","",IF(ISNUMBER(GİRİŞ!$D$53),GİRİŞ!$D$53,SABİTLER!$C$22))</f>
        <v/>
      </c>
      <c r="F9" s="30" t="inlineStr">
        <is>
          <t>—</t>
        </is>
      </c>
      <c r="G9" s="3">
        <f>IF(ISNUMBER(GİRİŞ!$D$53),"GİRİŞ — asansör bazında","SABİTLER B")</f>
        <v/>
      </c>
    </row>
    <row r="10">
      <c r="A10" s="28" t="inlineStr">
        <is>
          <t>η</t>
        </is>
      </c>
      <c r="B10" s="29" t="inlineStr">
        <is>
          <t>:</t>
        </is>
      </c>
      <c r="C10" s="30" t="inlineStr">
        <is>
          <t>Makine verimi</t>
        </is>
      </c>
      <c r="D10" s="29" t="inlineStr">
        <is>
          <t>=</t>
        </is>
      </c>
      <c r="E10" s="32">
        <f>IF(GİRİŞ!$D$27="","",GİRİŞ!$D$29)</f>
        <v/>
      </c>
      <c r="F10" s="30" t="inlineStr">
        <is>
          <t>—</t>
        </is>
      </c>
      <c r="G10" s="3" t="inlineStr">
        <is>
          <t>GİRİŞ</t>
        </is>
      </c>
    </row>
    <row r="11">
      <c r="A11" s="28" t="inlineStr">
        <is>
          <t>η′</t>
        </is>
      </c>
      <c r="B11" s="29" t="inlineStr">
        <is>
          <t>:</t>
        </is>
      </c>
      <c r="C11" s="30">
        <f>IF(GİRİŞ!$D$27="","",IF(GİRİŞ!$D$56="Evet","Girilen değer TOPLAM sistem verimidir — palanga düşüşü uygulanmaz","Palangalı sistemde verim ( i &gt; 1 ise η − 0,10 )"))</f>
        <v/>
      </c>
      <c r="D11" s="29" t="inlineStr">
        <is>
          <t>=</t>
        </is>
      </c>
      <c r="E11" s="32">
        <f>IF(GİRİŞ!$D$27="","",IF(GİRİŞ!$D$56="Evet",GİRİŞ!$D$29,IF(IF(ISNUMBER(GİRİŞ!$D$53),GİRİŞ!$D$53,SABİTLER!$C$22)&gt;1,GİRİŞ!$D$29-SABİTLER!$C$11,GİRİŞ!$D$29)))</f>
        <v/>
      </c>
      <c r="F11" s="30" t="inlineStr">
        <is>
          <t>—</t>
        </is>
      </c>
      <c r="G11" s="3">
        <f>IF(GİRİŞ!$D$56="Evet","GİRİŞ — toplam sistem verimi","SABİTLER A  /  MMO/697 §2.4")</f>
        <v/>
      </c>
    </row>
    <row r="13">
      <c r="C13" s="34" t="inlineStr">
        <is>
          <t>N   =   ( 1 − q ) · Q · V   /   ( 102 · η′ )</t>
        </is>
      </c>
    </row>
    <row r="14">
      <c r="C14" s="35">
        <f>IF(GİRİŞ!$D$27="","","=   "&amp;IF(1-IF(ISNUMBER(GİRİŞ!$D$54),GİRİŞ!$D$54,SABİTLER!$C$23)&gt;=IF(ISNUMBER(GİRİŞ!$D$54),GİRİŞ!$D$54,SABİTLER!$C$23),"( 1 − "&amp;ROUND(IF(ISNUMBER(GİRİŞ!$D$54),GİRİŞ!$D$54,SABİTLER!$C$23),2)&amp;" )",ROUND(IF(ISNUMBER(GİRİŞ!$D$54),GİRİŞ!$D$54,SABİTLER!$C$23),2))&amp;" · "&amp;ROUND(GİRİŞ!$D$27,0)&amp;" · "&amp;ROUND(GİRİŞ!$D$28,2)&amp;"   /   ( 102 · "&amp;ROUND(E11,2)&amp;" )")</f>
        <v/>
      </c>
      <c r="E14" s="36">
        <f>IF(GİRİŞ!$D$27="","",IF(E11&lt;=0,"",MAX(1-IF(ISNUMBER(GİRİŞ!$D$54),GİRİŞ!$D$54,SABİTLER!$C$23),IF(ISNUMBER(GİRİŞ!$D$54),GİRİŞ!$D$54,SABİTLER!$C$23))*GİRİŞ!$D$27*GİRİŞ!$D$28/(SABİTLER!$C$10*E11)))</f>
        <v/>
      </c>
      <c r="F14" s="37" t="inlineStr">
        <is>
          <t>kW</t>
        </is>
      </c>
      <c r="G14" s="3" t="inlineStr">
        <is>
          <t>hesaplanan</t>
        </is>
      </c>
    </row>
    <row r="15">
      <c r="A15" s="28" t="inlineStr">
        <is>
          <t>Nsç</t>
        </is>
      </c>
      <c r="B15" s="29" t="inlineStr">
        <is>
          <t>:</t>
        </is>
      </c>
      <c r="C15" s="37" t="inlineStr">
        <is>
          <t>SEÇİLEN motor gücü</t>
        </is>
      </c>
      <c r="D15" s="29" t="inlineStr">
        <is>
          <t>=</t>
        </is>
      </c>
      <c r="E15" s="36">
        <f>IF(GİRİŞ!$D$27="","",GİRİŞ!$D$43)</f>
        <v/>
      </c>
      <c r="F15" s="37" t="inlineStr">
        <is>
          <t>kW</t>
        </is>
      </c>
      <c r="G15" s="3" t="inlineStr">
        <is>
          <t>GİRİŞ</t>
        </is>
      </c>
    </row>
    <row r="16">
      <c r="C16" s="37" t="inlineStr">
        <is>
          <t>KONTROL      Nsç  ≥  N</t>
        </is>
      </c>
      <c r="E16" s="28">
        <f>IF(GİRİŞ!$D$27="","",IF(NOT(ISNUMBER(E14)),"η GİRDİSİ HATALI",IF(GİRİŞ!$D$43&gt;=E14,"UYGUN","UYGUN DEĞİL — motoru büyütün")))</f>
        <v/>
      </c>
    </row>
    <row r="18" ht="18" customHeight="1">
      <c r="A18" s="4" t="inlineStr">
        <is>
          <t xml:space="preserve">  2 -   KUVVET HESAPLARI                                     ( MMO / 697  s.18-20   /   TS EN 81-20 )</t>
        </is>
      </c>
      <c r="B18" s="58" t="n"/>
      <c r="C18" s="58" t="n"/>
      <c r="D18" s="58" t="n"/>
      <c r="E18" s="58" t="n"/>
      <c r="F18" s="58" t="n"/>
      <c r="G18" s="59" t="n"/>
    </row>
    <row r="19">
      <c r="A19" s="16" t="inlineStr">
        <is>
          <t xml:space="preserve">        ORTAK BÜYÜKLÜKLER</t>
        </is>
      </c>
      <c r="B19" s="58" t="n"/>
      <c r="C19" s="58" t="n"/>
      <c r="D19" s="58" t="n"/>
      <c r="E19" s="58" t="n"/>
      <c r="F19" s="58" t="n"/>
      <c r="G19" s="59" t="n"/>
    </row>
    <row r="20">
      <c r="A20" s="28" t="inlineStr">
        <is>
          <t>gn</t>
        </is>
      </c>
      <c r="B20" s="29" t="inlineStr">
        <is>
          <t>:</t>
        </is>
      </c>
      <c r="C20" s="30" t="inlineStr">
        <is>
          <t>Yerçekimi ivmesi</t>
        </is>
      </c>
      <c r="D20" s="29" t="inlineStr">
        <is>
          <t>=</t>
        </is>
      </c>
      <c r="E20" s="32">
        <f>IF(GİRİŞ!$D$27="","",SABİTLER!$C$5)</f>
        <v/>
      </c>
      <c r="F20" s="30" t="inlineStr">
        <is>
          <t>m/s²</t>
        </is>
      </c>
      <c r="G20" s="3" t="inlineStr">
        <is>
          <t>SABİTLER A</t>
        </is>
      </c>
    </row>
    <row r="21">
      <c r="A21" s="28" t="inlineStr">
        <is>
          <t>Gk</t>
        </is>
      </c>
      <c r="B21" s="29" t="inlineStr">
        <is>
          <t>:</t>
        </is>
      </c>
      <c r="C21" s="30" t="inlineStr">
        <is>
          <t>Boş kabin kütlesi</t>
        </is>
      </c>
      <c r="D21" s="29" t="inlineStr">
        <is>
          <t>=</t>
        </is>
      </c>
      <c r="E21" s="31">
        <f>IF(GİRİŞ!$D$27="","",GİRİŞ!$D$38)</f>
        <v/>
      </c>
      <c r="F21" s="30" t="inlineStr">
        <is>
          <t>kg</t>
        </is>
      </c>
      <c r="G21" s="3" t="inlineStr">
        <is>
          <t>GİRİŞ</t>
        </is>
      </c>
    </row>
    <row r="22">
      <c r="A22" s="28" t="inlineStr">
        <is>
          <t>gf</t>
        </is>
      </c>
      <c r="B22" s="29" t="inlineStr">
        <is>
          <t>:</t>
        </is>
      </c>
      <c r="C22" s="30" t="inlineStr">
        <is>
          <t>Gezici kablo ( flexbil ) birim kütlesi</t>
        </is>
      </c>
      <c r="D22" s="29" t="inlineStr">
        <is>
          <t>=</t>
        </is>
      </c>
      <c r="E22" s="32">
        <f>IF(GİRİŞ!$D$27="","",SABİTLER!$C$25)</f>
        <v/>
      </c>
      <c r="F22" s="30" t="inlineStr">
        <is>
          <t>kg/m</t>
        </is>
      </c>
      <c r="G22" s="3" t="inlineStr">
        <is>
          <t>SABİTLER B</t>
        </is>
      </c>
    </row>
    <row r="23">
      <c r="C23" s="34" t="inlineStr">
        <is>
          <t>Gf   =   gf · ( Hk / 2  +  3 )              ( gezici kablo kütlesi )</t>
        </is>
      </c>
    </row>
    <row r="24">
      <c r="C24" s="35">
        <f>IF(GİRİŞ!$D$27="","","=   "&amp;ROUND(SABİTLER!$C$25,2)&amp;"  ·  ( "&amp;ROUND(GİRİŞ!$D$31,2)&amp;" / 2  +  3 )")</f>
        <v/>
      </c>
      <c r="E24" s="36">
        <f>IF(GİRİŞ!$D$27="","",SABİTLER!$C$25*(GİRİŞ!$D$31/2+SABİTLER!$C$19))</f>
        <v/>
      </c>
      <c r="F24" s="37" t="inlineStr">
        <is>
          <t>kg</t>
        </is>
      </c>
      <c r="G24" s="3" t="inlineStr"/>
    </row>
    <row r="25">
      <c r="C25" s="34" t="inlineStr">
        <is>
          <t>P    =   Gk  +  Gf                          ( kabin tarafından desteklenen toplam kütle )</t>
        </is>
      </c>
    </row>
    <row r="26">
      <c r="C26" s="35">
        <f>IF(GİRİŞ!$D$27="","","=   "&amp;ROUND(GİRİŞ!$D$38,0)&amp;"  +  "&amp;ROUND(E24,2))</f>
        <v/>
      </c>
      <c r="E26" s="36">
        <f>IF(GİRİŞ!$D$27="","",GİRİŞ!$D$38+E24)</f>
        <v/>
      </c>
      <c r="F26" s="37" t="inlineStr">
        <is>
          <t>kg</t>
        </is>
      </c>
      <c r="G26" s="3" t="inlineStr"/>
    </row>
    <row r="27">
      <c r="A27" s="28" t="inlineStr">
        <is>
          <t>Q</t>
        </is>
      </c>
      <c r="B27" s="29" t="inlineStr">
        <is>
          <t>:</t>
        </is>
      </c>
      <c r="C27" s="30" t="inlineStr">
        <is>
          <t>Anma yükü</t>
        </is>
      </c>
      <c r="D27" s="29" t="inlineStr">
        <is>
          <t>=</t>
        </is>
      </c>
      <c r="E27" s="31">
        <f>IF(GİRİŞ!$D$27="","",GİRİŞ!$D$27)</f>
        <v/>
      </c>
      <c r="F27" s="30" t="inlineStr">
        <is>
          <t>kg</t>
        </is>
      </c>
      <c r="G27" s="3" t="inlineStr">
        <is>
          <t>GİRİŞ</t>
        </is>
      </c>
    </row>
    <row r="28">
      <c r="A28" s="28" t="inlineStr">
        <is>
          <t>q</t>
        </is>
      </c>
      <c r="B28" s="29" t="inlineStr">
        <is>
          <t>:</t>
        </is>
      </c>
      <c r="C28" s="30" t="inlineStr">
        <is>
          <t>Denge faktörü</t>
        </is>
      </c>
      <c r="D28" s="29" t="inlineStr">
        <is>
          <t>=</t>
        </is>
      </c>
      <c r="E28" s="32">
        <f>IF(GİRİŞ!$D$27="","",IF(ISNUMBER(GİRİŞ!$D$54),GİRİŞ!$D$54,SABİTLER!$C$23))</f>
        <v/>
      </c>
      <c r="F28" s="30" t="inlineStr">
        <is>
          <t>—</t>
        </is>
      </c>
      <c r="G28" s="3">
        <f>IF(ISNUMBER(GİRİŞ!$D$54),"GİRİŞ — asansör bazında","SABİTLER B")</f>
        <v/>
      </c>
    </row>
    <row r="29">
      <c r="C29" s="34" t="inlineStr">
        <is>
          <t>Ga  =   P  +  q · Q                         ( karşı ağırlık kütlesi )</t>
        </is>
      </c>
    </row>
    <row r="30">
      <c r="C30" s="35">
        <f>IF(GİRİŞ!$D$27="","","=   "&amp;ROUND(E26,2)&amp;"  +  "&amp;ROUND(IF(ISNUMBER(GİRİŞ!$D$54),GİRİŞ!$D$54,SABİTLER!$C$23),2)&amp;" · "&amp;ROUND(GİRİŞ!$D$27,0))</f>
        <v/>
      </c>
      <c r="E30" s="36">
        <f>IF(GİRİŞ!$D$27="","",E26+IF(ISNUMBER(GİRİŞ!$D$54),GİRİŞ!$D$54,SABİTLER!$C$23)*GİRİŞ!$D$27)</f>
        <v/>
      </c>
      <c r="F30" s="37" t="inlineStr">
        <is>
          <t>kg</t>
        </is>
      </c>
      <c r="G30" s="3" t="inlineStr"/>
    </row>
    <row r="31" ht="21" customHeight="1">
      <c r="A31" s="28" t="inlineStr">
        <is>
          <t>k1</t>
        </is>
      </c>
      <c r="B31" s="29" t="inlineStr">
        <is>
          <t>:</t>
        </is>
      </c>
      <c r="C31" s="30" t="inlineStr">
        <is>
          <t>Darbe faktörü   ( V &gt; 1 → 2  /  V &gt; 0,63 → 3  /  V ≤ 0,63 → 5 )</t>
        </is>
      </c>
      <c r="D31" s="29" t="inlineStr">
        <is>
          <t>=</t>
        </is>
      </c>
      <c r="E31" s="33">
        <f>IF(GİRİŞ!$D$27="","",IF(GİRİŞ!$D$28&gt;1,SABİTLER!$C$7,IF(GİRİŞ!$D$28&gt;0.63,SABİTLER!$C$8,SABİTLER!$C$9)))</f>
        <v/>
      </c>
      <c r="F31" s="30" t="inlineStr">
        <is>
          <t>—</t>
        </is>
      </c>
      <c r="G31" s="3" t="inlineStr">
        <is>
          <t>SABİTLER A  /  MMO/697 Çiz-1</t>
        </is>
      </c>
    </row>
    <row r="32">
      <c r="A32" s="28" t="inlineStr">
        <is>
          <t>n</t>
        </is>
      </c>
      <c r="B32" s="29" t="inlineStr">
        <is>
          <t>:</t>
        </is>
      </c>
      <c r="C32" s="30" t="inlineStr">
        <is>
          <t>Kabin kılavuz ray sayısı</t>
        </is>
      </c>
      <c r="D32" s="29" t="inlineStr">
        <is>
          <t>=</t>
        </is>
      </c>
      <c r="E32" s="33">
        <f>IF(GİRİŞ!$D$27="","",SABİTLER!$C$24)</f>
        <v/>
      </c>
      <c r="F32" s="30" t="inlineStr">
        <is>
          <t>adet</t>
        </is>
      </c>
      <c r="G32" s="3" t="inlineStr">
        <is>
          <t>SABİTLER B</t>
        </is>
      </c>
    </row>
    <row r="33">
      <c r="A33" s="28" t="inlineStr">
        <is>
          <t>gr</t>
        </is>
      </c>
      <c r="B33" s="29" t="inlineStr">
        <is>
          <t>:</t>
        </is>
      </c>
      <c r="C33" s="30" t="inlineStr">
        <is>
          <t>1 m kılavuz rayın kütlesi</t>
        </is>
      </c>
      <c r="D33" s="29" t="inlineStr">
        <is>
          <t>=</t>
        </is>
      </c>
      <c r="E33" s="32">
        <f>IF(GİRİŞ!$D$27="","",GİRİŞ!$D$39)</f>
        <v/>
      </c>
      <c r="F33" s="30" t="inlineStr">
        <is>
          <t>kg/m</t>
        </is>
      </c>
      <c r="G33" s="3" t="inlineStr">
        <is>
          <t>GİRİŞ</t>
        </is>
      </c>
    </row>
    <row r="34">
      <c r="A34" s="28" t="inlineStr">
        <is>
          <t>Lr</t>
        </is>
      </c>
      <c r="B34" s="29" t="inlineStr">
        <is>
          <t>:</t>
        </is>
      </c>
      <c r="C34" s="30" t="inlineStr">
        <is>
          <t>Kılavuz ray uzunluğu   ( Hk − 0,20 )</t>
        </is>
      </c>
      <c r="D34" s="29" t="inlineStr">
        <is>
          <t>=</t>
        </is>
      </c>
      <c r="E34" s="32">
        <f>IF(GİRİŞ!$D$27="","",GİRİŞ!$D$31-SABİTLER!$C$18)</f>
        <v/>
      </c>
      <c r="F34" s="30" t="inlineStr">
        <is>
          <t>m</t>
        </is>
      </c>
      <c r="G34" s="3" t="inlineStr"/>
    </row>
    <row r="35">
      <c r="C35" s="34" t="inlineStr">
        <is>
          <t>Mg  =   Lr · gr                             ( bir kılavuz ray hattının kütlesi )</t>
        </is>
      </c>
    </row>
    <row r="36">
      <c r="C36" s="35">
        <f>IF(GİRİŞ!$D$27="","","=   "&amp;ROUND(E34,2)&amp;"  ·  "&amp;ROUND(GİRİŞ!$D$39,2))</f>
        <v/>
      </c>
      <c r="E36" s="36">
        <f>IF(GİRİŞ!$D$27="","",E34*GİRİŞ!$D$39)</f>
        <v/>
      </c>
      <c r="F36" s="37" t="inlineStr">
        <is>
          <t>kg</t>
        </is>
      </c>
      <c r="G36" s="3" t="inlineStr"/>
    </row>
    <row r="38">
      <c r="A38" s="16" t="inlineStr">
        <is>
          <t xml:space="preserve">    A -   KUYU ALT BOŞLUĞU TABANINA GELEN KUVVET  ( kabin tamponu altı )</t>
        </is>
      </c>
      <c r="B38" s="58" t="n"/>
      <c r="C38" s="58" t="n"/>
      <c r="D38" s="58" t="n"/>
      <c r="E38" s="58" t="n"/>
      <c r="F38" s="58" t="n"/>
      <c r="G38" s="59" t="n"/>
    </row>
    <row r="39">
      <c r="C39" s="34" t="inlineStr">
        <is>
          <t>P1  =   4 · gn · ( P  +  Q )</t>
        </is>
      </c>
    </row>
    <row r="40">
      <c r="C40" s="35">
        <f>IF(GİRİŞ!$D$27="","","=   "&amp;ROUND(SABİTLER!$C$6,0)&amp;"  ·  "&amp;ROUND(SABİTLER!$C$5,2)&amp;"  ·  ( "&amp;ROUND(E26,2)&amp;"  +  "&amp;ROUND(GİRİŞ!$D$27,0)&amp;" )")</f>
        <v/>
      </c>
      <c r="E40" s="38">
        <f>IF(GİRİŞ!$D$27="","",CEILING(SABİTLER!$C$6*SABİTLER!$C$5*(E26+GİRİŞ!$D$27),10))</f>
        <v/>
      </c>
      <c r="F40" s="37" t="inlineStr">
        <is>
          <t>N</t>
        </is>
      </c>
      <c r="G40" s="3" t="inlineStr"/>
    </row>
    <row r="42">
      <c r="A42" s="16" t="inlineStr">
        <is>
          <t xml:space="preserve">    B -   KARŞI AĞIRLIK TAMPONU ALTINDAKİ ZEMİNE GELEN KUVVET</t>
        </is>
      </c>
      <c r="B42" s="58" t="n"/>
      <c r="C42" s="58" t="n"/>
      <c r="D42" s="58" t="n"/>
      <c r="E42" s="58" t="n"/>
      <c r="F42" s="58" t="n"/>
      <c r="G42" s="59" t="n"/>
    </row>
    <row r="43">
      <c r="C43" s="34" t="inlineStr">
        <is>
          <t>P2  =   4 · gn · ( P  +  q · Q )   =   4 · gn · Ga</t>
        </is>
      </c>
    </row>
    <row r="44">
      <c r="C44" s="35">
        <f>IF(GİRİŞ!$D$27="","","=   "&amp;ROUND(SABİTLER!$C$6,0)&amp;"  ·  "&amp;ROUND(SABİTLER!$C$5,2)&amp;"  ·  "&amp;ROUND(E30,2))</f>
        <v/>
      </c>
      <c r="E44" s="38">
        <f>IF(GİRİŞ!$D$27="","",CEILING(SABİTLER!$C$6*SABİTLER!$C$5*E30,10))</f>
        <v/>
      </c>
      <c r="F44" s="37" t="inlineStr">
        <is>
          <t>N</t>
        </is>
      </c>
      <c r="G44" s="3" t="inlineStr"/>
    </row>
    <row r="46">
      <c r="A46" s="16" t="inlineStr">
        <is>
          <t xml:space="preserve">    C -   KABİN KILAVUZ RAYLARINA GELEN DÜŞEY KUVVET</t>
        </is>
      </c>
      <c r="B46" s="58" t="n"/>
      <c r="C46" s="58" t="n"/>
      <c r="D46" s="58" t="n"/>
      <c r="E46" s="58" t="n"/>
      <c r="F46" s="58" t="n"/>
      <c r="G46" s="59" t="n"/>
    </row>
    <row r="47">
      <c r="C47" s="34" t="inlineStr">
        <is>
          <t>PR  =   k1 · gn · ( P  +  Q ) / n   +   Mg · gn</t>
        </is>
      </c>
    </row>
    <row r="48">
      <c r="C48" s="35">
        <f>IF(GİRİŞ!$D$27="","","=   "&amp;ROUND(E31,0)&amp;" · "&amp;ROUND(SABİTLER!$C$5,2)&amp;" · ( "&amp;ROUND(E26,2)&amp;" + "&amp;ROUND(GİRİŞ!$D$27,0)&amp;" ) / "&amp;ROUND(E32,0)&amp;"   +   "&amp;ROUND(E36,2)&amp;" · "&amp;ROUND(SABİTLER!$C$5,2))</f>
        <v/>
      </c>
      <c r="E48" s="38">
        <f>IF(GİRİŞ!$D$27="","",CEILING(E31*SABİTLER!$C$5*(E26+GİRİŞ!$D$27)/E32+E36*SABİTLER!$C$5,10))</f>
        <v/>
      </c>
      <c r="F48" s="37" t="inlineStr">
        <is>
          <t>N</t>
        </is>
      </c>
      <c r="G48" s="3" t="inlineStr"/>
    </row>
    <row r="50">
      <c r="A50" s="16" t="inlineStr">
        <is>
          <t xml:space="preserve">    D -   KARŞI AĞIRLIK KILAVUZ RAYLARINA GELEN DÜŞEY KUVVET</t>
        </is>
      </c>
      <c r="B50" s="58" t="n"/>
      <c r="C50" s="58" t="n"/>
      <c r="D50" s="58" t="n"/>
      <c r="E50" s="58" t="n"/>
      <c r="F50" s="58" t="n"/>
      <c r="G50" s="59" t="n"/>
    </row>
    <row r="51">
      <c r="C51" s="34" t="inlineStr">
        <is>
          <t>PK  =   k1 · gn · Ga / n   +   Mg · gn</t>
        </is>
      </c>
    </row>
    <row r="52">
      <c r="C52" s="35">
        <f>IF(GİRİŞ!$D$27="","","=   "&amp;ROUND(E31,0)&amp;" · "&amp;ROUND(SABİTLER!$C$5,2)&amp;" · "&amp;ROUND(E30,2)&amp;" / "&amp;ROUND(E32,0)&amp;"   +   "&amp;ROUND(E36,2)&amp;" · "&amp;ROUND(SABİTLER!$C$5,2))</f>
        <v/>
      </c>
      <c r="E52" s="38">
        <f>IF(GİRİŞ!$D$27="","",CEILING(E31*SABİTLER!$C$5*E30/E32+E36*SABİTLER!$C$5,10))</f>
        <v/>
      </c>
      <c r="F52" s="37" t="inlineStr">
        <is>
          <t>N</t>
        </is>
      </c>
      <c r="G52" s="3" t="inlineStr"/>
    </row>
    <row r="54">
      <c r="A54" s="16" t="inlineStr">
        <is>
          <t xml:space="preserve">    E -   KUYU ÜSTÜ BETONUNA ETKİ EDEN KUVVET</t>
        </is>
      </c>
      <c r="B54" s="58" t="n"/>
      <c r="C54" s="58" t="n"/>
      <c r="D54" s="58" t="n"/>
      <c r="E54" s="58" t="n"/>
      <c r="F54" s="58" t="n"/>
      <c r="G54" s="59" t="n"/>
    </row>
    <row r="55">
      <c r="C55" s="34" t="inlineStr">
        <is>
          <t>Fs  =   gn · ( Fmk  +  Fsh  +  Fmt  +  P  +  Q  +  Ga )</t>
        </is>
      </c>
    </row>
    <row r="56">
      <c r="C56" s="35">
        <f>IF(GİRİŞ!$D$27="","","=   "&amp;ROUND(SABİTLER!$C$5,2)&amp;" · ( "&amp;ROUND(GİRİŞ!$D$40,0)&amp;" + "&amp;ROUND(GİRİŞ!$D$41,0)&amp;" + "&amp;ROUND(SABİTLER!$C$26,0)&amp;" + "&amp;ROUND(E26,2)&amp;" + "&amp;ROUND(GİRİŞ!$D$27,0)&amp;" + "&amp;ROUND(E30,2)&amp;" )")</f>
        <v/>
      </c>
      <c r="E56" s="38">
        <f>IF(GİRİŞ!$D$27="","",CEILING(SABİTLER!$C$5*(GİRİŞ!$D$40+GİRİŞ!$D$41+SABİTLER!$C$26+E26+GİRİŞ!$D$27+E30),10))</f>
        <v/>
      </c>
      <c r="F56" s="37" t="inlineStr">
        <is>
          <t>N</t>
        </is>
      </c>
      <c r="G56" s="3" t="inlineStr"/>
    </row>
    <row r="58">
      <c r="C58" s="20" t="inlineStr">
        <is>
          <t>PR ve PK, MMO/697 §2.3.3 formülündeki  Mg · gn  ray kütlesi terimini içerir  ( kitabın §4.3 örnek hesabı bu terimi ihmal etmiştir ).</t>
        </is>
      </c>
    </row>
    <row r="59">
      <c r="C59" s="20" t="inlineStr">
        <is>
          <t>Kılavuz ray uzunluğu 40 m'yi aşarsa halat / kompanzasyon kuvveti Fp uygulama projesinde ayrıca hesaplanır  ( MMO/697 s.20 ).</t>
        </is>
      </c>
    </row>
    <row r="60">
      <c r="C60" s="20" t="inlineStr">
        <is>
          <t>Karşı ağırlıkta paraşüt ( fren ) bulunması hâlinde PK dikkate alınır.</t>
        </is>
      </c>
    </row>
    <row r="62" ht="18" customHeight="1">
      <c r="A62" s="4" t="inlineStr">
        <is>
          <t xml:space="preserve">  3 -   KABİN AYDINLATMA HESABI                                        ( TS EN 81-20 )</t>
        </is>
      </c>
      <c r="B62" s="58" t="n"/>
      <c r="C62" s="58" t="n"/>
      <c r="D62" s="58" t="n"/>
      <c r="E62" s="58" t="n"/>
      <c r="F62" s="58" t="n"/>
      <c r="G62" s="59" t="n"/>
    </row>
    <row r="63">
      <c r="A63" s="28" t="inlineStr">
        <is>
          <t>a</t>
        </is>
      </c>
      <c r="B63" s="29" t="inlineStr">
        <is>
          <t>:</t>
        </is>
      </c>
      <c r="C63" s="30" t="inlineStr">
        <is>
          <t>Kabin boyu</t>
        </is>
      </c>
      <c r="D63" s="29" t="inlineStr">
        <is>
          <t>=</t>
        </is>
      </c>
      <c r="E63" s="32">
        <f>IF(GİRİŞ!$D$27="","",GİRİŞ!$D$33/1000)</f>
        <v/>
      </c>
      <c r="F63" s="30" t="inlineStr">
        <is>
          <t>m</t>
        </is>
      </c>
      <c r="G63" s="3" t="inlineStr">
        <is>
          <t>GİRİŞ</t>
        </is>
      </c>
    </row>
    <row r="64">
      <c r="A64" s="28" t="inlineStr">
        <is>
          <t>b</t>
        </is>
      </c>
      <c r="B64" s="29" t="inlineStr">
        <is>
          <t>:</t>
        </is>
      </c>
      <c r="C64" s="30" t="inlineStr">
        <is>
          <t>Kabin genişliği</t>
        </is>
      </c>
      <c r="D64" s="29" t="inlineStr">
        <is>
          <t>=</t>
        </is>
      </c>
      <c r="E64" s="32">
        <f>IF(GİRİŞ!$D$27="","",GİRİŞ!$D$34/1000)</f>
        <v/>
      </c>
      <c r="F64" s="30" t="inlineStr">
        <is>
          <t>m</t>
        </is>
      </c>
      <c r="G64" s="3" t="inlineStr">
        <is>
          <t>GİRİŞ</t>
        </is>
      </c>
    </row>
    <row r="65">
      <c r="A65" s="28" t="inlineStr">
        <is>
          <t>h</t>
        </is>
      </c>
      <c r="B65" s="29" t="inlineStr">
        <is>
          <t>:</t>
        </is>
      </c>
      <c r="C65" s="30" t="inlineStr">
        <is>
          <t>Armatür ile çalışma düzlemi arasındaki yükseklik</t>
        </is>
      </c>
      <c r="D65" s="29" t="inlineStr">
        <is>
          <t>=</t>
        </is>
      </c>
      <c r="E65" s="32">
        <f>IF(GİRİŞ!$D$27="","",SABİTLER!$C$17)</f>
        <v/>
      </c>
      <c r="F65" s="30" t="inlineStr">
        <is>
          <t>m</t>
        </is>
      </c>
      <c r="G65" s="3" t="inlineStr">
        <is>
          <t>SABİTLER A</t>
        </is>
      </c>
    </row>
    <row r="66">
      <c r="C66" s="34" t="inlineStr">
        <is>
          <t>k   =   a · b   /   ( h · ( a + b ) )                ( bölge indeksi )</t>
        </is>
      </c>
    </row>
    <row r="67">
      <c r="C67" s="35">
        <f>IF(GİRİŞ!$D$27="","","=   "&amp;ROUND(E63,2)&amp;" · "&amp;ROUND(E64,2)&amp;"   /   ( "&amp;ROUND(E65,2)&amp;" · ( "&amp;ROUND(E63,2)&amp;" + "&amp;ROUND(E64,2)&amp;" ) )")</f>
        <v/>
      </c>
      <c r="E67" s="36">
        <f>IF(GİRİŞ!$D$27="","",E63*E64/(E65*(E63+E64)))</f>
        <v/>
      </c>
      <c r="F67" s="37" t="inlineStr">
        <is>
          <t>—</t>
        </is>
      </c>
      <c r="G67" s="3" t="inlineStr"/>
    </row>
    <row r="68">
      <c r="A68" s="28" t="inlineStr">
        <is>
          <t>η</t>
        </is>
      </c>
      <c r="B68" s="29" t="inlineStr">
        <is>
          <t>:</t>
        </is>
      </c>
      <c r="C68" s="30" t="inlineStr">
        <is>
          <t>Oda aydınlatma verimi</t>
        </is>
      </c>
      <c r="D68" s="29" t="inlineStr">
        <is>
          <t>=</t>
        </is>
      </c>
      <c r="E68" s="32">
        <f>IF(GİRİŞ!$D$27="","",IFERROR(INDEX(TABLOLAR!$B$8:$K$17,MATCH(MAX(E67,TABLOLAR!$A$8),TABLOLAR!$A$8:$A$17,1),TABLOLAR!$B$19),""))</f>
        <v/>
      </c>
      <c r="F68" s="30" t="inlineStr">
        <is>
          <t>—</t>
        </is>
      </c>
      <c r="G68" s="3" t="inlineStr">
        <is>
          <t>TABLOLAR T2</t>
        </is>
      </c>
    </row>
    <row r="69">
      <c r="A69" s="28" t="inlineStr">
        <is>
          <t>E</t>
        </is>
      </c>
      <c r="B69" s="29" t="inlineStr">
        <is>
          <t>:</t>
        </is>
      </c>
      <c r="C69" s="30" t="inlineStr">
        <is>
          <t>Asgari aydınlatma şiddeti</t>
        </is>
      </c>
      <c r="D69" s="29" t="inlineStr">
        <is>
          <t>=</t>
        </is>
      </c>
      <c r="E69" s="33">
        <f>IF(GİRİŞ!$D$27="","",SABİTLER!$C$14)</f>
        <v/>
      </c>
      <c r="F69" s="30" t="inlineStr">
        <is>
          <t>lüx</t>
        </is>
      </c>
      <c r="G69" s="3" t="inlineStr">
        <is>
          <t>SABİTLER A</t>
        </is>
      </c>
    </row>
    <row r="70">
      <c r="A70" s="28" t="inlineStr">
        <is>
          <t>d</t>
        </is>
      </c>
      <c r="B70" s="29" t="inlineStr">
        <is>
          <t>:</t>
        </is>
      </c>
      <c r="C70" s="30" t="inlineStr">
        <is>
          <t>Kirlenme ( bakım ) faktörü</t>
        </is>
      </c>
      <c r="D70" s="29" t="inlineStr">
        <is>
          <t>=</t>
        </is>
      </c>
      <c r="E70" s="32">
        <f>IF(GİRİŞ!$D$27="","",SABİTLER!$C$12)</f>
        <v/>
      </c>
      <c r="F70" s="30" t="inlineStr">
        <is>
          <t>—</t>
        </is>
      </c>
      <c r="G70" s="3" t="inlineStr">
        <is>
          <t>SABİTLER A</t>
        </is>
      </c>
    </row>
    <row r="71">
      <c r="C71" s="34" t="inlineStr">
        <is>
          <t>T   =   E · a · b · d   /   η                        ( gerekli toplam ışık akısı )</t>
        </is>
      </c>
    </row>
    <row r="72">
      <c r="C72" s="35">
        <f>IF(GİRİŞ!$D$27="","","=   "&amp;ROUND(E69,0)&amp;" · "&amp;ROUND(E63,2)&amp;" · "&amp;ROUND(E64,2)&amp;" · "&amp;ROUND(E70,2)&amp;"   /   "&amp;ROUND(E68,2))</f>
        <v/>
      </c>
      <c r="E72" s="39">
        <f>IF(GİRİŞ!$D$27="","",IFERROR(E69*E63*E64*E70/E68,""))</f>
        <v/>
      </c>
      <c r="F72" s="37" t="inlineStr">
        <is>
          <t>lm</t>
        </is>
      </c>
      <c r="G72" s="3" t="inlineStr"/>
    </row>
    <row r="73">
      <c r="A73" s="28" t="inlineStr">
        <is>
          <t>ØL</t>
        </is>
      </c>
      <c r="B73" s="29" t="inlineStr">
        <is>
          <t>:</t>
        </is>
      </c>
      <c r="C73" s="30" t="inlineStr">
        <is>
          <t>Bir armatürün ışık akısı</t>
        </is>
      </c>
      <c r="D73" s="29" t="inlineStr">
        <is>
          <t>=</t>
        </is>
      </c>
      <c r="E73" s="31">
        <f>IF(GİRİŞ!$D$27="","",SABİTLER!$C$28)</f>
        <v/>
      </c>
      <c r="F73" s="30" t="inlineStr">
        <is>
          <t>lm</t>
        </is>
      </c>
      <c r="G73" s="3" t="inlineStr">
        <is>
          <t>SABİTLER B</t>
        </is>
      </c>
    </row>
    <row r="74">
      <c r="C74" s="34" t="inlineStr">
        <is>
          <t>Z   =   T   /   ØL                                   ( hesaplanan armatür sayısı )</t>
        </is>
      </c>
    </row>
    <row r="75">
      <c r="C75" s="35">
        <f>IF(GİRİŞ!$D$27="","","=   "&amp;ROUND(E72,2)&amp;"   /   "&amp;ROUND(E73,0))</f>
        <v/>
      </c>
      <c r="E75" s="36">
        <f>IF(GİRİŞ!$D$27="","",IFERROR(E72/E73,""))</f>
        <v/>
      </c>
      <c r="F75" s="37" t="inlineStr">
        <is>
          <t>adet</t>
        </is>
      </c>
      <c r="G75" s="3" t="inlineStr"/>
    </row>
    <row r="76">
      <c r="A76" s="28" t="inlineStr">
        <is>
          <t>n</t>
        </is>
      </c>
      <c r="B76" s="29" t="inlineStr">
        <is>
          <t>:</t>
        </is>
      </c>
      <c r="C76" s="37" t="inlineStr">
        <is>
          <t>SEÇİLEN armatür sayısı   ( Z yukarı yuvarlanır )</t>
        </is>
      </c>
      <c r="D76" s="29" t="inlineStr">
        <is>
          <t>=</t>
        </is>
      </c>
      <c r="E76" s="40">
        <f>IF(GİRİŞ!$D$27="","",IFERROR(ROUNDUP(E75,0),""))</f>
        <v/>
      </c>
      <c r="F76" s="37" t="inlineStr">
        <is>
          <t>adet</t>
        </is>
      </c>
      <c r="G76" s="3" t="inlineStr"/>
    </row>
    <row r="77">
      <c r="A77" s="41">
        <f>IF(GİRİŞ!$D$27="","",IF(E76="","","SONUÇ  :    "&amp;E76&amp;"  adet  "&amp;SABİTLER!$C$27&amp;" W  armatür  kullanılacaktır."))</f>
        <v/>
      </c>
      <c r="B77" s="58" t="n"/>
      <c r="C77" s="58" t="n"/>
      <c r="D77" s="58" t="n"/>
      <c r="E77" s="58" t="n"/>
      <c r="F77" s="58" t="n"/>
      <c r="G77" s="59" t="n"/>
    </row>
    <row r="79" ht="18" customHeight="1">
      <c r="A79" s="4" t="inlineStr">
        <is>
          <t xml:space="preserve">  4 -   KUYU AYDINLATMA HESABI                                        ( TS EN 81-20 )</t>
        </is>
      </c>
      <c r="B79" s="58" t="n"/>
      <c r="C79" s="58" t="n"/>
      <c r="D79" s="58" t="n"/>
      <c r="E79" s="58" t="n"/>
      <c r="F79" s="58" t="n"/>
      <c r="G79" s="59" t="n"/>
    </row>
    <row r="80">
      <c r="A80" s="28" t="inlineStr">
        <is>
          <t>a</t>
        </is>
      </c>
      <c r="B80" s="29" t="inlineStr">
        <is>
          <t>:</t>
        </is>
      </c>
      <c r="C80" s="30" t="inlineStr">
        <is>
          <t>Kuyu yüksekliği  ( kuyu boyu )</t>
        </is>
      </c>
      <c r="D80" s="29" t="inlineStr">
        <is>
          <t>=</t>
        </is>
      </c>
      <c r="E80" s="32">
        <f>IF(GİRİŞ!$D$27="","",GİRİŞ!$D$31)</f>
        <v/>
      </c>
      <c r="F80" s="30" t="inlineStr">
        <is>
          <t>m</t>
        </is>
      </c>
      <c r="G80" s="3" t="inlineStr">
        <is>
          <t>GİRİŞ</t>
        </is>
      </c>
    </row>
    <row r="81">
      <c r="A81" s="28" t="inlineStr">
        <is>
          <t>b</t>
        </is>
      </c>
      <c r="B81" s="29" t="inlineStr">
        <is>
          <t>:</t>
        </is>
      </c>
      <c r="C81" s="30" t="inlineStr">
        <is>
          <t>Kuyu genişliği</t>
        </is>
      </c>
      <c r="D81" s="29" t="inlineStr">
        <is>
          <t>=</t>
        </is>
      </c>
      <c r="E81" s="32">
        <f>IF(GİRİŞ!$D$27="","",GİRİŞ!$D$32/1000)</f>
        <v/>
      </c>
      <c r="F81" s="30" t="inlineStr">
        <is>
          <t>m</t>
        </is>
      </c>
      <c r="G81" s="3" t="inlineStr">
        <is>
          <t>GİRİŞ</t>
        </is>
      </c>
    </row>
    <row r="82">
      <c r="A82" s="28" t="inlineStr">
        <is>
          <t>h</t>
        </is>
      </c>
      <c r="B82" s="29" t="inlineStr">
        <is>
          <t>:</t>
        </is>
      </c>
      <c r="C82" s="30" t="inlineStr">
        <is>
          <t>Armatür ile çalışma düzlemi arasındaki yükseklik</t>
        </is>
      </c>
      <c r="D82" s="29" t="inlineStr">
        <is>
          <t>=</t>
        </is>
      </c>
      <c r="E82" s="32">
        <f>IF(GİRİŞ!$D$27="","",SABİTLER!$C$17)</f>
        <v/>
      </c>
      <c r="F82" s="30" t="inlineStr">
        <is>
          <t>m</t>
        </is>
      </c>
      <c r="G82" s="3" t="inlineStr">
        <is>
          <t>SABİTLER A</t>
        </is>
      </c>
    </row>
    <row r="83">
      <c r="C83" s="34" t="inlineStr">
        <is>
          <t>k   =   a · b   /   ( h · ( a + b ) )                ( bölge indeksi )</t>
        </is>
      </c>
    </row>
    <row r="84">
      <c r="C84" s="35">
        <f>IF(GİRİŞ!$D$27="","","=   "&amp;ROUND(E80,2)&amp;" · "&amp;ROUND(E81,2)&amp;"   /   ( "&amp;ROUND(E82,2)&amp;" · ( "&amp;ROUND(E80,2)&amp;" + "&amp;ROUND(E81,2)&amp;" ) )")</f>
        <v/>
      </c>
      <c r="E84" s="36">
        <f>IF(GİRİŞ!$D$27="","",E80*E81/(E82*(E80+E81)))</f>
        <v/>
      </c>
      <c r="F84" s="37" t="inlineStr">
        <is>
          <t>—</t>
        </is>
      </c>
      <c r="G84" s="3" t="inlineStr"/>
    </row>
    <row r="85">
      <c r="A85" s="28" t="inlineStr">
        <is>
          <t>η</t>
        </is>
      </c>
      <c r="B85" s="29" t="inlineStr">
        <is>
          <t>:</t>
        </is>
      </c>
      <c r="C85" s="30" t="inlineStr">
        <is>
          <t>Oda aydınlatma verimi</t>
        </is>
      </c>
      <c r="D85" s="29" t="inlineStr">
        <is>
          <t>=</t>
        </is>
      </c>
      <c r="E85" s="32">
        <f>IF(GİRİŞ!$D$27="","",IFERROR(INDEX(TABLOLAR!$B$8:$K$17,MATCH(MAX(E84,TABLOLAR!$A$8),TABLOLAR!$A$8:$A$17,1),TABLOLAR!$B$19),""))</f>
        <v/>
      </c>
      <c r="F85" s="30" t="inlineStr">
        <is>
          <t>—</t>
        </is>
      </c>
      <c r="G85" s="3" t="inlineStr">
        <is>
          <t>TABLOLAR T2</t>
        </is>
      </c>
    </row>
    <row r="86">
      <c r="A86" s="28" t="inlineStr">
        <is>
          <t>E</t>
        </is>
      </c>
      <c r="B86" s="29" t="inlineStr">
        <is>
          <t>:</t>
        </is>
      </c>
      <c r="C86" s="30" t="inlineStr">
        <is>
          <t>Asgari aydınlatma şiddeti</t>
        </is>
      </c>
      <c r="D86" s="29" t="inlineStr">
        <is>
          <t>=</t>
        </is>
      </c>
      <c r="E86" s="33">
        <f>IF(GİRİŞ!$D$27="","",SABİTLER!$C$15)</f>
        <v/>
      </c>
      <c r="F86" s="30" t="inlineStr">
        <is>
          <t>lüx</t>
        </is>
      </c>
      <c r="G86" s="3" t="inlineStr">
        <is>
          <t>SABİTLER A</t>
        </is>
      </c>
    </row>
    <row r="87">
      <c r="A87" s="28" t="inlineStr">
        <is>
          <t>d</t>
        </is>
      </c>
      <c r="B87" s="29" t="inlineStr">
        <is>
          <t>:</t>
        </is>
      </c>
      <c r="C87" s="30" t="inlineStr">
        <is>
          <t>Kirlenme ( bakım ) faktörü</t>
        </is>
      </c>
      <c r="D87" s="29" t="inlineStr">
        <is>
          <t>=</t>
        </is>
      </c>
      <c r="E87" s="32">
        <f>IF(GİRİŞ!$D$27="","",SABİTLER!$C$12)</f>
        <v/>
      </c>
      <c r="F87" s="30" t="inlineStr">
        <is>
          <t>—</t>
        </is>
      </c>
      <c r="G87" s="3" t="inlineStr">
        <is>
          <t>SABİTLER A</t>
        </is>
      </c>
    </row>
    <row r="88">
      <c r="C88" s="34" t="inlineStr">
        <is>
          <t>T   =   E · a · b · d   /   η                        ( gerekli toplam ışık akısı )</t>
        </is>
      </c>
    </row>
    <row r="89">
      <c r="C89" s="35">
        <f>IF(GİRİŞ!$D$27="","","=   "&amp;ROUND(E86,0)&amp;" · "&amp;ROUND(E80,2)&amp;" · "&amp;ROUND(E81,2)&amp;" · "&amp;ROUND(E87,2)&amp;"   /   "&amp;ROUND(E85,2))</f>
        <v/>
      </c>
      <c r="E89" s="39">
        <f>IF(GİRİŞ!$D$27="","",IFERROR(E86*E80*E81*E87/E85,""))</f>
        <v/>
      </c>
      <c r="F89" s="37" t="inlineStr">
        <is>
          <t>lm</t>
        </is>
      </c>
      <c r="G89" s="3" t="inlineStr"/>
    </row>
    <row r="90">
      <c r="A90" s="28" t="inlineStr">
        <is>
          <t>ØL</t>
        </is>
      </c>
      <c r="B90" s="29" t="inlineStr">
        <is>
          <t>:</t>
        </is>
      </c>
      <c r="C90" s="30" t="inlineStr">
        <is>
          <t>Bir armatürün ışık akısı</t>
        </is>
      </c>
      <c r="D90" s="29" t="inlineStr">
        <is>
          <t>=</t>
        </is>
      </c>
      <c r="E90" s="31">
        <f>IF(GİRİŞ!$D$27="","",SABİTLER!$C$31)</f>
        <v/>
      </c>
      <c r="F90" s="30" t="inlineStr">
        <is>
          <t>lm</t>
        </is>
      </c>
      <c r="G90" s="3" t="inlineStr">
        <is>
          <t>SABİTLER B</t>
        </is>
      </c>
    </row>
    <row r="91">
      <c r="C91" s="34" t="inlineStr">
        <is>
          <t>Z   =   T   /   ØL                                   ( hesaplanan armatür sayısı )</t>
        </is>
      </c>
    </row>
    <row r="92">
      <c r="C92" s="35">
        <f>IF(GİRİŞ!$D$27="","","=   "&amp;ROUND(E89,2)&amp;"   /   "&amp;ROUND(E90,0))</f>
        <v/>
      </c>
      <c r="E92" s="36">
        <f>IF(GİRİŞ!$D$27="","",IFERROR(E89/E90,""))</f>
        <v/>
      </c>
      <c r="F92" s="37" t="inlineStr">
        <is>
          <t>adet</t>
        </is>
      </c>
      <c r="G92" s="3" t="inlineStr"/>
    </row>
    <row r="93">
      <c r="A93" s="28" t="inlineStr">
        <is>
          <t>n1</t>
        </is>
      </c>
      <c r="B93" s="29" t="inlineStr">
        <is>
          <t>:</t>
        </is>
      </c>
      <c r="C93" s="30" t="inlineStr">
        <is>
          <t>Işık akısından  =  ROUNDUP( Z ) + 2   ( kuyu dibi + üstü )</t>
        </is>
      </c>
      <c r="D93" s="29" t="inlineStr">
        <is>
          <t>=</t>
        </is>
      </c>
      <c r="E93" s="33">
        <f>IF(GİRİŞ!$D$27="","",IFERROR(ROUNDUP(E92,0)+SABİTLER!$C$16,""))</f>
        <v/>
      </c>
      <c r="F93" s="30" t="inlineStr">
        <is>
          <t>adet</t>
        </is>
      </c>
      <c r="G93" s="3" t="inlineStr">
        <is>
          <t>SABİTLER A</t>
        </is>
      </c>
    </row>
    <row r="94">
      <c r="A94" s="28" t="inlineStr">
        <is>
          <t>Dmax</t>
        </is>
      </c>
      <c r="B94" s="29" t="inlineStr">
        <is>
          <t>:</t>
        </is>
      </c>
      <c r="C94" s="30" t="inlineStr">
        <is>
          <t>Armatürler arası azami aralık</t>
        </is>
      </c>
      <c r="D94" s="29" t="inlineStr">
        <is>
          <t>=</t>
        </is>
      </c>
      <c r="E94" s="32">
        <f>IF(GİRİŞ!$D$27="","",SABİTLER!$C$32)</f>
        <v/>
      </c>
      <c r="F94" s="30" t="inlineStr">
        <is>
          <t>m</t>
        </is>
      </c>
      <c r="G94" s="3" t="inlineStr">
        <is>
          <t>SABİTLER B</t>
        </is>
      </c>
    </row>
    <row r="95">
      <c r="C95" s="34" t="inlineStr">
        <is>
          <t>n2  =   ROUNDUP( ( Hk − 1 ) / Dmax )  +  1      ( geometrik asgari adet )</t>
        </is>
      </c>
    </row>
    <row r="96">
      <c r="C96" s="35">
        <f>IF(GİRİŞ!$D$27="","",IF(E94&lt;=0,"—   ( aralık kontrolü kapalı )","=   ROUNDUP( ( "&amp;ROUND(GİRİŞ!$D$31,2)&amp;" − 1 ) / "&amp;ROUND(E94,2)&amp;" )  +  1"))</f>
        <v/>
      </c>
      <c r="E96" s="40">
        <f>IF(GİRİŞ!$D$27="","",IF(E94&lt;=0,0,ROUNDUP((GİRİŞ!$D$31-1)/E94,0)+1))</f>
        <v/>
      </c>
      <c r="F96" s="37" t="inlineStr">
        <is>
          <t>adet</t>
        </is>
      </c>
      <c r="G96" s="3" t="inlineStr"/>
    </row>
    <row r="97">
      <c r="A97" s="28" t="inlineStr">
        <is>
          <t>n</t>
        </is>
      </c>
      <c r="B97" s="29" t="inlineStr">
        <is>
          <t>:</t>
        </is>
      </c>
      <c r="C97" s="37" t="inlineStr">
        <is>
          <t>SEÇİLEN armatür sayısı   =   MAX ( n1 ; n2 )</t>
        </is>
      </c>
      <c r="D97" s="29" t="inlineStr">
        <is>
          <t>=</t>
        </is>
      </c>
      <c r="E97" s="40">
        <f>IF(GİRİŞ!$D$27="","",IFERROR(MAX(E93,E96),""))</f>
        <v/>
      </c>
      <c r="F97" s="37" t="inlineStr">
        <is>
          <t>adet</t>
        </is>
      </c>
      <c r="G97" s="3" t="inlineStr"/>
    </row>
    <row r="98">
      <c r="A98" s="41">
        <f>IF(GİRİŞ!$D$27="","",IF(E97="","","SONUÇ  :    "&amp;E97&amp;"  adet  "&amp;SABİTLER!$C$30&amp;" W  armatür  kullanılacaktır."))</f>
        <v/>
      </c>
      <c r="B98" s="58" t="n"/>
      <c r="C98" s="58" t="n"/>
      <c r="D98" s="58" t="n"/>
      <c r="E98" s="58" t="n"/>
      <c r="F98" s="58" t="n"/>
      <c r="G98" s="59" t="n"/>
    </row>
    <row r="100" ht="18" customHeight="1">
      <c r="A100" s="4" t="inlineStr">
        <is>
          <t xml:space="preserve">  5 -   KURULU GÜÇ CETVELİ                                   ( tablo adı :  TAS2 )</t>
        </is>
      </c>
      <c r="B100" s="58" t="n"/>
      <c r="C100" s="58" t="n"/>
      <c r="D100" s="58" t="n"/>
      <c r="E100" s="58" t="n"/>
      <c r="F100" s="58" t="n"/>
      <c r="G100" s="59" t="n"/>
    </row>
    <row r="101">
      <c r="A101" s="6" t="inlineStr">
        <is>
          <t>Lin</t>
        </is>
      </c>
      <c r="B101" s="6" t="inlineStr"/>
      <c r="C101" s="42" t="inlineStr">
        <is>
          <t xml:space="preserve">  Sorti</t>
        </is>
      </c>
      <c r="D101" s="6" t="inlineStr"/>
      <c r="E101" s="6" t="inlineStr">
        <is>
          <t>Gücü</t>
        </is>
      </c>
      <c r="F101" s="6" t="inlineStr">
        <is>
          <t>Birim</t>
        </is>
      </c>
      <c r="G101" s="6" t="inlineStr">
        <is>
          <t>Sigorta A</t>
        </is>
      </c>
    </row>
    <row r="102">
      <c r="A102" s="43">
        <f>IF(GİRİŞ!$D$27="","",1)</f>
        <v/>
      </c>
      <c r="B102" s="29">
        <f>IF(GİRİŞ!$D$27="","",":")</f>
        <v/>
      </c>
      <c r="C102" s="30">
        <f>IF(GİRİŞ!$D$27="","","MOTOR")</f>
        <v/>
      </c>
      <c r="D102" s="29">
        <f>IF(GİRİŞ!$D$27="","","=")</f>
        <v/>
      </c>
      <c r="E102" s="31">
        <f>IF(GİRİŞ!$D$27="","",GİRİŞ!$D$43*1000/SABİTLER!$C$39)</f>
        <v/>
      </c>
      <c r="F102" s="30">
        <f>IF(GİRİŞ!$D$27="","","W")</f>
        <v/>
      </c>
      <c r="G102" s="44" t="inlineStr">
        <is>
          <t>4 x 25</t>
        </is>
      </c>
    </row>
    <row r="103">
      <c r="A103" s="43">
        <f>IF(GİRİŞ!$D$27="","",2)</f>
        <v/>
      </c>
      <c r="B103" s="29">
        <f>IF(GİRİŞ!$D$27="","",":")</f>
        <v/>
      </c>
      <c r="C103" s="30">
        <f>IF(GİRİŞ!$D$27="","","KUYU AYDINLATMASI          ( "&amp;'2 NOLU ASANSÖR'!E97&amp;" X "&amp;SABİTLER!$C$30&amp;" W )")</f>
        <v/>
      </c>
      <c r="D103" s="29">
        <f>IF(GİRİŞ!$D$27="","","=")</f>
        <v/>
      </c>
      <c r="E103" s="31">
        <f>IF(GİRİŞ!$D$27="","",'2 NOLU ASANSÖR'!E97*SABİTLER!$C$30)</f>
        <v/>
      </c>
      <c r="F103" s="30">
        <f>IF(GİRİŞ!$D$27="","","W")</f>
        <v/>
      </c>
      <c r="G103" s="44" t="inlineStr">
        <is>
          <t>10</t>
        </is>
      </c>
    </row>
    <row r="104">
      <c r="A104" s="43">
        <f>IF(GİRİŞ!$D$27="","",3)</f>
        <v/>
      </c>
      <c r="B104" s="29">
        <f>IF(GİRİŞ!$D$27="","",":")</f>
        <v/>
      </c>
      <c r="C104" s="30">
        <f>IF(GİRİŞ!$D$27="","","KABİN + KABİN ÜSTÜ AYD.     ( "&amp;'2 NOLU ASANSÖR'!E76&amp;" X "&amp;SABİTLER!$C$27&amp;" W  +  "&amp;SABİTLER!$C$29&amp;" X "&amp;SABİTLER!$C$27&amp;" W )")</f>
        <v/>
      </c>
      <c r="D104" s="29">
        <f>IF(GİRİŞ!$D$27="","","=")</f>
        <v/>
      </c>
      <c r="E104" s="31">
        <f>IF(GİRİŞ!$D$27="","",('2 NOLU ASANSÖR'!E76+SABİTLER!$C$29)*SABİTLER!$C$27)</f>
        <v/>
      </c>
      <c r="F104" s="30">
        <f>IF(GİRİŞ!$D$27="","","W")</f>
        <v/>
      </c>
      <c r="G104" s="44" t="inlineStr">
        <is>
          <t>10</t>
        </is>
      </c>
    </row>
    <row r="105">
      <c r="A105" s="43">
        <f>IF(GİRİŞ!$D$27="","",4)</f>
        <v/>
      </c>
      <c r="B105" s="29">
        <f>IF(GİRİŞ!$D$27="","",":")</f>
        <v/>
      </c>
      <c r="C105" s="30">
        <f>IF(GİRİŞ!$D$27="","","TOPLAM PRİZ          ( "&amp;SABİTLER!$C$33&amp;" X "&amp;SABİTLER!$C$34&amp;" W )")</f>
        <v/>
      </c>
      <c r="D105" s="29">
        <f>IF(GİRİŞ!$D$27="","","=")</f>
        <v/>
      </c>
      <c r="E105" s="31">
        <f>IF(GİRİŞ!$D$27="","",SABİTLER!$C$33*SABİTLER!$C$34)</f>
        <v/>
      </c>
      <c r="F105" s="30">
        <f>IF(GİRİŞ!$D$27="","","W")</f>
        <v/>
      </c>
      <c r="G105" s="44" t="inlineStr">
        <is>
          <t>16</t>
        </is>
      </c>
    </row>
    <row r="106">
      <c r="C106" s="37" t="inlineStr">
        <is>
          <t>ASANSÖRÜN KURULU GÜCÜ</t>
        </is>
      </c>
      <c r="D106" s="29">
        <f>IF(GİRİŞ!$D$27="","","=")</f>
        <v/>
      </c>
      <c r="E106" s="38">
        <f>IF(GİRİŞ!$D$27="","",SUM(E102:E105))</f>
        <v/>
      </c>
      <c r="F106" s="37">
        <f>IF(GİRİŞ!$D$27="","","W")</f>
        <v/>
      </c>
    </row>
    <row r="108" ht="18" customHeight="1">
      <c r="A108" s="4" t="inlineStr">
        <is>
          <t xml:space="preserve">  6 -   GERİLİM DÜŞÜMÜ VE KESİT KONTROLÜ</t>
        </is>
      </c>
      <c r="B108" s="58" t="n"/>
      <c r="C108" s="58" t="n"/>
      <c r="D108" s="58" t="n"/>
      <c r="E108" s="58" t="n"/>
      <c r="F108" s="58" t="n"/>
      <c r="G108" s="59" t="n"/>
    </row>
    <row r="110">
      <c r="C110" s="37" t="inlineStr">
        <is>
          <t>ε %  =  100 · P · L  /  ( κ · S · U² )          I  =  P  /  ( √3 · U · cosφ )</t>
        </is>
      </c>
    </row>
    <row r="116">
      <c r="A116" s="20" t="inlineStr">
        <is>
          <t>Kolon hattı asansörün TOPLAM kurulu gücünü ( motor + aydınlatma + priz ) taşır;  makine besleme hattı yalnız motoru besler.  Her iki hatta da motorun ŞEBEKEDEN ÇEKTİĞİ güç ( Pşeb = Nsç / ηm ) akar — Nsç mil gücüdür.</t>
        </is>
      </c>
    </row>
    <row r="118">
      <c r="A118" s="28" t="inlineStr">
        <is>
          <t>U</t>
        </is>
      </c>
      <c r="B118" s="29" t="inlineStr">
        <is>
          <t>:</t>
        </is>
      </c>
      <c r="C118" s="30" t="inlineStr">
        <is>
          <t>Şebeke gerilimi ( fazlar arası )</t>
        </is>
      </c>
      <c r="D118" s="29" t="inlineStr">
        <is>
          <t>=</t>
        </is>
      </c>
      <c r="E118" s="33">
        <f>IF(GİRİŞ!$D$27="","",GİRİŞ!$C$6)</f>
        <v/>
      </c>
      <c r="F118" s="30" t="inlineStr">
        <is>
          <t>V</t>
        </is>
      </c>
      <c r="G118" s="3" t="inlineStr">
        <is>
          <t>GİRİŞ</t>
        </is>
      </c>
    </row>
    <row r="119">
      <c r="A119" s="28" t="inlineStr">
        <is>
          <t>cosφ</t>
        </is>
      </c>
      <c r="B119" s="29" t="inlineStr">
        <is>
          <t>:</t>
        </is>
      </c>
      <c r="C119" s="30" t="inlineStr">
        <is>
          <t>Güç katsayısı</t>
        </is>
      </c>
      <c r="D119" s="29" t="inlineStr">
        <is>
          <t>=</t>
        </is>
      </c>
      <c r="E119" s="32">
        <f>IF(GİRİŞ!$D$27="","",SABİTLER!$C$35)</f>
        <v/>
      </c>
      <c r="F119" s="30" t="inlineStr">
        <is>
          <t>—</t>
        </is>
      </c>
      <c r="G119" s="3" t="inlineStr">
        <is>
          <t>SABİTLER B</t>
        </is>
      </c>
    </row>
    <row r="120">
      <c r="A120" s="28" t="inlineStr">
        <is>
          <t>κ</t>
        </is>
      </c>
      <c r="B120" s="29" t="inlineStr">
        <is>
          <t>:</t>
        </is>
      </c>
      <c r="C120" s="30" t="inlineStr">
        <is>
          <t>İletken iletkenliği</t>
        </is>
      </c>
      <c r="D120" s="29" t="inlineStr">
        <is>
          <t>=</t>
        </is>
      </c>
      <c r="E120" s="33">
        <f>IF(GİRİŞ!$D$27="","",GİRİŞ!$C$7)</f>
        <v/>
      </c>
      <c r="F120" s="30" t="inlineStr">
        <is>
          <t>m/Ω·mm²</t>
        </is>
      </c>
      <c r="G120" s="3" t="inlineStr">
        <is>
          <t>GİRİŞ</t>
        </is>
      </c>
    </row>
    <row r="121">
      <c r="A121" s="28" t="inlineStr">
        <is>
          <t>P1</t>
        </is>
      </c>
      <c r="B121" s="29" t="inlineStr">
        <is>
          <t>:</t>
        </is>
      </c>
      <c r="C121" s="30" t="inlineStr">
        <is>
          <t>Asansörün toplam kurulu gücü</t>
        </is>
      </c>
      <c r="D121" s="29" t="inlineStr">
        <is>
          <t>=</t>
        </is>
      </c>
      <c r="E121" s="31">
        <f>IF(GİRİŞ!$D$27="","",E106)</f>
        <v/>
      </c>
      <c r="F121" s="30" t="inlineStr">
        <is>
          <t>W</t>
        </is>
      </c>
      <c r="G121" s="3" t="inlineStr">
        <is>
          <t>yukarıdan</t>
        </is>
      </c>
    </row>
    <row r="122">
      <c r="A122" s="28" t="inlineStr">
        <is>
          <t>L1</t>
        </is>
      </c>
      <c r="B122" s="29" t="inlineStr">
        <is>
          <t>:</t>
        </is>
      </c>
      <c r="C122" s="30" t="inlineStr">
        <is>
          <t>Kolon hattı uzunluğu</t>
        </is>
      </c>
      <c r="D122" s="29" t="inlineStr">
        <is>
          <t>=</t>
        </is>
      </c>
      <c r="E122" s="32">
        <f>IF(GİRİŞ!$D$27="","",GİRİŞ!$D$45)</f>
        <v/>
      </c>
      <c r="F122" s="30" t="inlineStr">
        <is>
          <t>m</t>
        </is>
      </c>
      <c r="G122" s="3" t="inlineStr">
        <is>
          <t>GİRİŞ</t>
        </is>
      </c>
    </row>
    <row r="123">
      <c r="A123" s="28" t="inlineStr">
        <is>
          <t>S1</t>
        </is>
      </c>
      <c r="B123" s="29" t="inlineStr">
        <is>
          <t>:</t>
        </is>
      </c>
      <c r="C123" s="30" t="inlineStr">
        <is>
          <t>Kolon hattı kesiti</t>
        </is>
      </c>
      <c r="D123" s="29" t="inlineStr">
        <is>
          <t>=</t>
        </is>
      </c>
      <c r="E123" s="61">
        <f>IF(GİRİŞ!$D$27="","",GİRİŞ!$D$44)</f>
        <v/>
      </c>
      <c r="F123" s="30" t="inlineStr">
        <is>
          <t>mm²</t>
        </is>
      </c>
      <c r="G123" s="3" t="inlineStr">
        <is>
          <t>GİRİŞ</t>
        </is>
      </c>
    </row>
    <row r="124">
      <c r="C124" s="34" t="inlineStr">
        <is>
          <t>ε1  =   100 · P1 · L1   /   ( κ · S1 · U² )</t>
        </is>
      </c>
    </row>
    <row r="125">
      <c r="C125" s="35">
        <f>IF(GİRİŞ!$D$27="","","=   100 · "&amp;ROUND(E121,0)&amp;" · "&amp;ROUND(E122,2)&amp;"   /   ( "&amp;ROUND(GİRİŞ!$C$7,0)&amp;" · "&amp;ROUND(E123,2)&amp;" · "&amp;ROUND(GİRİŞ!$C$6,0)&amp;"² )")</f>
        <v/>
      </c>
      <c r="E125" s="62">
        <f>IF(GİRİŞ!$D$27="","",IF(OR(GİRİŞ!$C$7&lt;=0,E123&lt;=0,GİRİŞ!$C$6&lt;=0),"",100*E121*E122/(GİRİŞ!$C$7*E123*GİRİŞ!$C$6^2)))</f>
        <v/>
      </c>
      <c r="F125" s="37" t="inlineStr">
        <is>
          <t>%</t>
        </is>
      </c>
      <c r="G125" s="3" t="inlineStr">
        <is>
          <t>kolon hattı</t>
        </is>
      </c>
    </row>
    <row r="126">
      <c r="A126" s="28" t="inlineStr">
        <is>
          <t>P2</t>
        </is>
      </c>
      <c r="B126" s="29" t="inlineStr">
        <is>
          <t>:</t>
        </is>
      </c>
      <c r="C126" s="30" t="inlineStr">
        <is>
          <t>Makine besleme hattının gücü  ( = Pşeb )</t>
        </is>
      </c>
      <c r="D126" s="29" t="inlineStr">
        <is>
          <t>=</t>
        </is>
      </c>
      <c r="E126" s="31">
        <f>IF(GİRİŞ!$D$27="","",GİRİŞ!$D$43*1000/SABİTLER!$C$39)</f>
        <v/>
      </c>
      <c r="F126" s="30" t="inlineStr">
        <is>
          <t>W</t>
        </is>
      </c>
      <c r="G126" s="3" t="inlineStr">
        <is>
          <t>GİRİŞ</t>
        </is>
      </c>
    </row>
    <row r="127">
      <c r="A127" s="28" t="inlineStr">
        <is>
          <t>L2</t>
        </is>
      </c>
      <c r="B127" s="29" t="inlineStr">
        <is>
          <t>:</t>
        </is>
      </c>
      <c r="C127" s="30" t="inlineStr">
        <is>
          <t>Makine besleme uzunluğu</t>
        </is>
      </c>
      <c r="D127" s="29" t="inlineStr">
        <is>
          <t>=</t>
        </is>
      </c>
      <c r="E127" s="32">
        <f>IF(GİRİŞ!$D$27="","",GİRİŞ!$D$47)</f>
        <v/>
      </c>
      <c r="F127" s="30" t="inlineStr">
        <is>
          <t>m</t>
        </is>
      </c>
      <c r="G127" s="3" t="inlineStr">
        <is>
          <t>GİRİŞ</t>
        </is>
      </c>
    </row>
    <row r="128">
      <c r="A128" s="28" t="inlineStr">
        <is>
          <t>S2</t>
        </is>
      </c>
      <c r="B128" s="29" t="inlineStr">
        <is>
          <t>:</t>
        </is>
      </c>
      <c r="C128" s="30" t="inlineStr">
        <is>
          <t>Makine besleme kesiti</t>
        </is>
      </c>
      <c r="D128" s="29" t="inlineStr">
        <is>
          <t>=</t>
        </is>
      </c>
      <c r="E128" s="61">
        <f>IF(GİRİŞ!$D$27="","",GİRİŞ!$D$46)</f>
        <v/>
      </c>
      <c r="F128" s="30" t="inlineStr">
        <is>
          <t>mm²</t>
        </is>
      </c>
      <c r="G128" s="3" t="inlineStr">
        <is>
          <t>GİRİŞ</t>
        </is>
      </c>
    </row>
    <row r="129">
      <c r="C129" s="34" t="inlineStr">
        <is>
          <t>ε2  =   100 · P2 · L2   /   ( κ · S2 · U² )</t>
        </is>
      </c>
    </row>
    <row r="130">
      <c r="C130" s="35">
        <f>IF(GİRİŞ!$D$27="","","=   100 · "&amp;ROUND(E126,0)&amp;" · "&amp;ROUND(E127,2)&amp;"   /   ( "&amp;ROUND(GİRİŞ!$C$7,0)&amp;" · "&amp;ROUND(E128,2)&amp;" · "&amp;ROUND(GİRİŞ!$C$6,0)&amp;"² )")</f>
        <v/>
      </c>
      <c r="E130" s="62">
        <f>IF(GİRİŞ!$D$27="","",IF(OR(GİRİŞ!$C$7&lt;=0,E128&lt;=0,GİRİŞ!$C$6&lt;=0),"",100*E126*E127/(GİRİŞ!$C$7*E128*GİRİŞ!$C$6^2)))</f>
        <v/>
      </c>
      <c r="F130" s="37" t="inlineStr">
        <is>
          <t>%</t>
        </is>
      </c>
      <c r="G130" s="3" t="inlineStr">
        <is>
          <t>makine besleme</t>
        </is>
      </c>
    </row>
    <row r="131">
      <c r="C131" s="34" t="inlineStr">
        <is>
          <t>ε   =   ε1  +  ε2                                    ( toplam )</t>
        </is>
      </c>
    </row>
    <row r="132">
      <c r="C132" s="35">
        <f>IF(GİRİŞ!$D$27="","",IF(OR(NOT(ISNUMBER(E125)),NOT(ISNUMBER(E130))),"","=   "&amp;ROUND(E125,3)&amp;"  +  "&amp;ROUND(E130,3)))</f>
        <v/>
      </c>
      <c r="E132" s="62">
        <f>IF(GİRİŞ!$D$27="","",IF(OR(NOT(ISNUMBER(E125)),NOT(ISNUMBER(E130))),"",E125+E130))</f>
        <v/>
      </c>
      <c r="F132" s="37" t="inlineStr">
        <is>
          <t>%</t>
        </is>
      </c>
      <c r="G132" s="3" t="inlineStr"/>
    </row>
    <row r="133">
      <c r="A133" s="28" t="inlineStr">
        <is>
          <t>εmax</t>
        </is>
      </c>
      <c r="B133" s="29" t="inlineStr">
        <is>
          <t>:</t>
        </is>
      </c>
      <c r="C133" s="30" t="inlineStr">
        <is>
          <t>İzin verilen gerilim düşümü</t>
        </is>
      </c>
      <c r="D133" s="29" t="inlineStr">
        <is>
          <t>=</t>
        </is>
      </c>
      <c r="E133" s="63">
        <f>IF(GİRİŞ!$D$27="","",GİRİŞ!$C$8)</f>
        <v/>
      </c>
      <c r="F133" s="30" t="inlineStr">
        <is>
          <t>%</t>
        </is>
      </c>
      <c r="G133" s="3" t="inlineStr">
        <is>
          <t>GİRİŞ</t>
        </is>
      </c>
    </row>
    <row r="134">
      <c r="C134" s="37" t="inlineStr">
        <is>
          <t>KONTROL      ε  ≤  εmax</t>
        </is>
      </c>
      <c r="E134" s="28">
        <f>IF(GİRİŞ!$D$27="","",IF(NOT(ISNUMBER(E132)),"GİRDİ HATALI",IF(E132&lt;=GİRİŞ!$C$8,"UYGUN","UYGUN DEĞİL — kesiti büyütün")))</f>
        <v/>
      </c>
    </row>
    <row r="135" ht="21" customHeight="1">
      <c r="A135" s="3" t="inlineStr">
        <is>
          <t>Aydınlatma ve priz devrelerinde izin verilen gerilim düşümü %1,5'tir;  bu devrelerin uç noktalara kadar düşümü uygulama projesinde kontrol edilecektir.</t>
        </is>
      </c>
    </row>
    <row r="136">
      <c r="C136" s="34" t="inlineStr">
        <is>
          <t>I   =   P1   /   ( √3 · U · cosφ )                  ( hat akımı )</t>
        </is>
      </c>
    </row>
    <row r="137">
      <c r="C137" s="35">
        <f>IF(GİRİŞ!$D$27="","","=   "&amp;ROUND(E121,0)&amp;"   /   ( 1,73 · "&amp;ROUND(GİRİŞ!$C$6,0)&amp;" · "&amp;ROUND(SABİTLER!$C$35,2)&amp;" )")</f>
        <v/>
      </c>
      <c r="E137" s="36">
        <f>IF(GİRİŞ!$D$27="","",IF(OR(GİRİŞ!$C$6&lt;=0,SABİTLER!$C$35&lt;=0),"",E121/(SQRT(3)*GİRİŞ!$C$6*SABİTLER!$C$35)))</f>
        <v/>
      </c>
      <c r="F137" s="37" t="inlineStr">
        <is>
          <t>A</t>
        </is>
      </c>
      <c r="G137" s="3" t="inlineStr"/>
    </row>
    <row r="138">
      <c r="A138" s="28" t="inlineStr">
        <is>
          <t>Iz</t>
        </is>
      </c>
      <c r="B138" s="29" t="inlineStr">
        <is>
          <t>:</t>
        </is>
      </c>
      <c r="C138" s="30" t="inlineStr">
        <is>
          <t>Kablonun akım taşıma kapasitesi</t>
        </is>
      </c>
      <c r="D138" s="29" t="inlineStr">
        <is>
          <t>=</t>
        </is>
      </c>
      <c r="E138" s="61">
        <f>IF(GİRİŞ!$D$27="","",IFERROR(INDEX(TABLOLAR!$B$53:$B$64,MATCH(E123,TABLOLAR!$A$53:$A$64,0)),"tablo dışı"))</f>
        <v/>
      </c>
      <c r="F138" s="30" t="inlineStr">
        <is>
          <t>A</t>
        </is>
      </c>
      <c r="G138" s="3" t="inlineStr">
        <is>
          <t>TABLOLAR / IEC</t>
        </is>
      </c>
    </row>
    <row r="139">
      <c r="C139" s="37" t="inlineStr">
        <is>
          <t>KONTROL      I  ≤  Iz</t>
        </is>
      </c>
      <c r="E139" s="28">
        <f>IF(GİRİŞ!$D$27="","",IF(OR(NOT(ISNUMBER(E138)),NOT(ISNUMBER(E137))),"KESİT TABLO DIŞI",IF(E137&lt;=E138,"UYGUN","UYGUN DEĞİL — kesiti büyütün")))</f>
        <v/>
      </c>
    </row>
    <row r="140">
      <c r="A140" s="41">
        <f>IF(GİRİŞ!$D$27="","",IF(OR(GİRİŞ!$D$48="",NOT(ISNUMBER(E132)),NOT(ISNUMBER(E137))),"","Seçilen kablo :   "&amp;ROUND(E123,2)&amp;" mm²  "&amp;GİRİŞ!$D$48&amp;"   —   "&amp;IF(AND(E132&lt;=GİRİŞ!$C$8,E137&lt;=E138),"uygundur.","UYGUN DEĞİLDİR.")))</f>
        <v/>
      </c>
      <c r="B140" s="58" t="n"/>
      <c r="C140" s="58" t="n"/>
      <c r="D140" s="58" t="n"/>
      <c r="E140" s="58" t="n"/>
      <c r="F140" s="58" t="n"/>
      <c r="G140" s="59" t="n"/>
    </row>
  </sheetData>
  <mergeCells count="65">
    <mergeCell ref="C131:G131"/>
    <mergeCell ref="C92:D92"/>
    <mergeCell ref="C83:G83"/>
    <mergeCell ref="C24:D24"/>
    <mergeCell ref="A135:G135"/>
    <mergeCell ref="C30:D30"/>
    <mergeCell ref="E139:F139"/>
    <mergeCell ref="A116:G116"/>
    <mergeCell ref="A140:G140"/>
    <mergeCell ref="A62:G62"/>
    <mergeCell ref="A100:G100"/>
    <mergeCell ref="C14:D14"/>
    <mergeCell ref="A38:G38"/>
    <mergeCell ref="C89:D89"/>
    <mergeCell ref="A42:G42"/>
    <mergeCell ref="C74:G74"/>
    <mergeCell ref="C26:D26"/>
    <mergeCell ref="A19:G19"/>
    <mergeCell ref="C88:G88"/>
    <mergeCell ref="C29:G29"/>
    <mergeCell ref="C35:G35"/>
    <mergeCell ref="C47:G47"/>
    <mergeCell ref="A77:G77"/>
    <mergeCell ref="C25:G25"/>
    <mergeCell ref="C137:D137"/>
    <mergeCell ref="C44:D44"/>
    <mergeCell ref="C55:G55"/>
    <mergeCell ref="C75:D75"/>
    <mergeCell ref="C40:D40"/>
    <mergeCell ref="C84:D84"/>
    <mergeCell ref="A98:G98"/>
    <mergeCell ref="C124:G124"/>
    <mergeCell ref="C129:G129"/>
    <mergeCell ref="C56:D56"/>
    <mergeCell ref="C136:G136"/>
    <mergeCell ref="A1:G1"/>
    <mergeCell ref="C43:G43"/>
    <mergeCell ref="A79:G79"/>
    <mergeCell ref="C95:G95"/>
    <mergeCell ref="C130:D130"/>
    <mergeCell ref="C51:G51"/>
    <mergeCell ref="C36:D36"/>
    <mergeCell ref="C71:G71"/>
    <mergeCell ref="A54:G54"/>
    <mergeCell ref="C132:D132"/>
    <mergeCell ref="C52:D52"/>
    <mergeCell ref="C23:G23"/>
    <mergeCell ref="C39:G39"/>
    <mergeCell ref="C48:D48"/>
    <mergeCell ref="A108:G108"/>
    <mergeCell ref="C110:G110"/>
    <mergeCell ref="A46:G46"/>
    <mergeCell ref="C91:G91"/>
    <mergeCell ref="C125:D125"/>
    <mergeCell ref="E16:F16"/>
    <mergeCell ref="A18:G18"/>
    <mergeCell ref="C72:D72"/>
    <mergeCell ref="C67:D67"/>
    <mergeCell ref="A3:G3"/>
    <mergeCell ref="E134:F134"/>
    <mergeCell ref="A50:G50"/>
    <mergeCell ref="C66:G66"/>
    <mergeCell ref="C96:D96"/>
    <mergeCell ref="C13:G13"/>
    <mergeCell ref="A5:G5"/>
  </mergeCells>
  <conditionalFormatting sqref="A3:G3">
    <cfRule type="expression" priority="1" dxfId="2">
      <formula>LEFT($A$3,3)="!!!"</formula>
    </cfRule>
  </conditionalFormatting>
  <conditionalFormatting sqref="E16:F16">
    <cfRule type="expression" priority="2" dxfId="0">
      <formula>ISNUMBER(SEARCH("UYGUN DEĞİL",$E$16))</formula>
    </cfRule>
    <cfRule type="expression" priority="3" dxfId="1">
      <formula>AND(ISNUMBER(SEARCH("UYGUN",$E$16)),NOT(ISNUMBER(SEARCH("DEĞİL",$E$16))))</formula>
    </cfRule>
  </conditionalFormatting>
  <conditionalFormatting sqref="E134:F134">
    <cfRule type="expression" priority="4" dxfId="0">
      <formula>ISNUMBER(SEARCH("UYGUN DEĞİL",$E$134))</formula>
    </cfRule>
    <cfRule type="expression" priority="5" dxfId="1">
      <formula>AND(ISNUMBER(SEARCH("UYGUN",$E$134)),NOT(ISNUMBER(SEARCH("DEĞİL",$E$134))))</formula>
    </cfRule>
  </conditionalFormatting>
  <conditionalFormatting sqref="E139:F139">
    <cfRule type="expression" priority="6" dxfId="0">
      <formula>ISNUMBER(SEARCH("UYGUN DEĞİL",$E$139))</formula>
    </cfRule>
    <cfRule type="expression" priority="7" dxfId="1">
      <formula>AND(ISNUMBER(SEARCH("UYGUN",$E$139)),NOT(ISNUMBER(SEARCH("DEĞİL",$E$139))))</formula>
    </cfRule>
  </conditionalFormatting>
  <printOptions horizontalCentered="1"/>
  <pageMargins left="0.4" right="0.4" top="0.5" bottom="0.5" header="0.5" footer="0.5"/>
  <pageSetup orientation="portrait" fitToHeight="0" fitToWidth="1"/>
  <rowBreaks count="3" manualBreakCount="3">
    <brk id="17" min="0" max="16383" man="1"/>
    <brk id="61" min="0" max="16383" man="1"/>
    <brk id="99" min="0" max="16383" man="1"/>
  </row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4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" customWidth="1" min="2" max="2"/>
    <col width="51" customWidth="1" min="3" max="3"/>
    <col width="2" customWidth="1" min="4" max="4"/>
    <col width="13" customWidth="1" min="5" max="5"/>
    <col width="10" customWidth="1" min="6" max="6"/>
    <col width="14" customWidth="1" min="7" max="7"/>
  </cols>
  <sheetData>
    <row r="1" ht="22" customHeight="1">
      <c r="A1" s="1" t="inlineStr">
        <is>
          <t>3 NOLU ASANSÖR   —   AVAN PROJE HESAPLARI</t>
        </is>
      </c>
      <c r="B1" s="58" t="n"/>
      <c r="C1" s="58" t="n"/>
      <c r="D1" s="58" t="n"/>
      <c r="E1" s="58" t="n"/>
      <c r="F1" s="58" t="n"/>
      <c r="G1" s="59" t="n"/>
    </row>
    <row r="3">
      <c r="A3" s="28">
        <f>IF(GİRİŞ!$E$27&lt;&gt;"",IF(GİRİŞ!$E$23="","","Asansör tanımı :   "&amp;GİRİŞ!$E$23),IF(GİRİŞ!$E$24="","!!!   BU ASANSÖR GİRİŞ SAYFASINDA TANIMLANMAMIŞ   —   hesaplar boştur   !!!","!!!   KAPASİTE TABLO-7 DIŞI   —   GİRİŞ sayfasında  'Anma yükü — elle'  satırını doldurun   !!!"))</f>
        <v/>
      </c>
    </row>
    <row r="5" ht="18" customHeight="1">
      <c r="A5" s="4" t="inlineStr">
        <is>
          <t xml:space="preserve">  1 -   MOTOR GÜCÜ HESABI                                    ( MMO / 697  —  s.21 )</t>
        </is>
      </c>
      <c r="B5" s="58" t="n"/>
      <c r="C5" s="58" t="n"/>
      <c r="D5" s="58" t="n"/>
      <c r="E5" s="58" t="n"/>
      <c r="F5" s="58" t="n"/>
      <c r="G5" s="59" t="n"/>
    </row>
    <row r="6">
      <c r="A6" s="28" t="inlineStr">
        <is>
          <t>Q</t>
        </is>
      </c>
      <c r="B6" s="29" t="inlineStr">
        <is>
          <t>:</t>
        </is>
      </c>
      <c r="C6" s="30" t="inlineStr">
        <is>
          <t>Anma yükü</t>
        </is>
      </c>
      <c r="D6" s="29" t="inlineStr">
        <is>
          <t>=</t>
        </is>
      </c>
      <c r="E6" s="31">
        <f>IF(GİRİŞ!$E$27="","",GİRİŞ!$E$27)</f>
        <v/>
      </c>
      <c r="F6" s="30" t="inlineStr">
        <is>
          <t>kg</t>
        </is>
      </c>
      <c r="G6" s="3" t="inlineStr">
        <is>
          <t>GİRİŞ</t>
        </is>
      </c>
    </row>
    <row r="7">
      <c r="A7" s="28" t="inlineStr">
        <is>
          <t>V</t>
        </is>
      </c>
      <c r="B7" s="29" t="inlineStr">
        <is>
          <t>:</t>
        </is>
      </c>
      <c r="C7" s="30" t="inlineStr">
        <is>
          <t>Kabin hızı</t>
        </is>
      </c>
      <c r="D7" s="29" t="inlineStr">
        <is>
          <t>=</t>
        </is>
      </c>
      <c r="E7" s="32">
        <f>IF(GİRİŞ!$E$27="","",GİRİŞ!$E$28)</f>
        <v/>
      </c>
      <c r="F7" s="30" t="inlineStr">
        <is>
          <t>m/s</t>
        </is>
      </c>
      <c r="G7" s="3" t="inlineStr">
        <is>
          <t>GİRİŞ</t>
        </is>
      </c>
    </row>
    <row r="8">
      <c r="A8" s="28" t="inlineStr">
        <is>
          <t>q</t>
        </is>
      </c>
      <c r="B8" s="29" t="inlineStr">
        <is>
          <t>:</t>
        </is>
      </c>
      <c r="C8" s="30" t="inlineStr">
        <is>
          <t>Denge faktörü  ( karşı ağırlığın dengelediği oran )</t>
        </is>
      </c>
      <c r="D8" s="29" t="inlineStr">
        <is>
          <t>=</t>
        </is>
      </c>
      <c r="E8" s="32">
        <f>IF(GİRİŞ!$E$27="","",IF(ISNUMBER(GİRİŞ!$E$54),GİRİŞ!$E$54,SABİTLER!$C$23))</f>
        <v/>
      </c>
      <c r="F8" s="30" t="inlineStr">
        <is>
          <t>—</t>
        </is>
      </c>
      <c r="G8" s="3">
        <f>IF(ISNUMBER(GİRİŞ!$E$54),"GİRİŞ — asansör bazında","SABİTLER B")</f>
        <v/>
      </c>
    </row>
    <row r="9">
      <c r="A9" s="28" t="inlineStr">
        <is>
          <t>i</t>
        </is>
      </c>
      <c r="B9" s="29" t="inlineStr">
        <is>
          <t>:</t>
        </is>
      </c>
      <c r="C9" s="30" t="inlineStr">
        <is>
          <t>Palanga ( askı ) katsayısı</t>
        </is>
      </c>
      <c r="D9" s="29" t="inlineStr">
        <is>
          <t>=</t>
        </is>
      </c>
      <c r="E9" s="33">
        <f>IF(GİRİŞ!$E$27="","",IF(ISNUMBER(GİRİŞ!$E$53),GİRİŞ!$E$53,SABİTLER!$C$22))</f>
        <v/>
      </c>
      <c r="F9" s="30" t="inlineStr">
        <is>
          <t>—</t>
        </is>
      </c>
      <c r="G9" s="3">
        <f>IF(ISNUMBER(GİRİŞ!$E$53),"GİRİŞ — asansör bazında","SABİTLER B")</f>
        <v/>
      </c>
    </row>
    <row r="10">
      <c r="A10" s="28" t="inlineStr">
        <is>
          <t>η</t>
        </is>
      </c>
      <c r="B10" s="29" t="inlineStr">
        <is>
          <t>:</t>
        </is>
      </c>
      <c r="C10" s="30" t="inlineStr">
        <is>
          <t>Makine verimi</t>
        </is>
      </c>
      <c r="D10" s="29" t="inlineStr">
        <is>
          <t>=</t>
        </is>
      </c>
      <c r="E10" s="32">
        <f>IF(GİRİŞ!$E$27="","",GİRİŞ!$E$29)</f>
        <v/>
      </c>
      <c r="F10" s="30" t="inlineStr">
        <is>
          <t>—</t>
        </is>
      </c>
      <c r="G10" s="3" t="inlineStr">
        <is>
          <t>GİRİŞ</t>
        </is>
      </c>
    </row>
    <row r="11">
      <c r="A11" s="28" t="inlineStr">
        <is>
          <t>η′</t>
        </is>
      </c>
      <c r="B11" s="29" t="inlineStr">
        <is>
          <t>:</t>
        </is>
      </c>
      <c r="C11" s="30">
        <f>IF(GİRİŞ!$E$27="","",IF(GİRİŞ!$E$56="Evet","Girilen değer TOPLAM sistem verimidir — palanga düşüşü uygulanmaz","Palangalı sistemde verim ( i &gt; 1 ise η − 0,10 )"))</f>
        <v/>
      </c>
      <c r="D11" s="29" t="inlineStr">
        <is>
          <t>=</t>
        </is>
      </c>
      <c r="E11" s="32">
        <f>IF(GİRİŞ!$E$27="","",IF(GİRİŞ!$E$56="Evet",GİRİŞ!$E$29,IF(IF(ISNUMBER(GİRİŞ!$E$53),GİRİŞ!$E$53,SABİTLER!$C$22)&gt;1,GİRİŞ!$E$29-SABİTLER!$C$11,GİRİŞ!$E$29)))</f>
        <v/>
      </c>
      <c r="F11" s="30" t="inlineStr">
        <is>
          <t>—</t>
        </is>
      </c>
      <c r="G11" s="3">
        <f>IF(GİRİŞ!$E$56="Evet","GİRİŞ — toplam sistem verimi","SABİTLER A  /  MMO/697 §2.4")</f>
        <v/>
      </c>
    </row>
    <row r="13">
      <c r="C13" s="34" t="inlineStr">
        <is>
          <t>N   =   ( 1 − q ) · Q · V   /   ( 102 · η′ )</t>
        </is>
      </c>
    </row>
    <row r="14">
      <c r="C14" s="35">
        <f>IF(GİRİŞ!$E$27="","","=   "&amp;IF(1-IF(ISNUMBER(GİRİŞ!$E$54),GİRİŞ!$E$54,SABİTLER!$C$23)&gt;=IF(ISNUMBER(GİRİŞ!$E$54),GİRİŞ!$E$54,SABİTLER!$C$23),"( 1 − "&amp;ROUND(IF(ISNUMBER(GİRİŞ!$E$54),GİRİŞ!$E$54,SABİTLER!$C$23),2)&amp;" )",ROUND(IF(ISNUMBER(GİRİŞ!$E$54),GİRİŞ!$E$54,SABİTLER!$C$23),2))&amp;" · "&amp;ROUND(GİRİŞ!$E$27,0)&amp;" · "&amp;ROUND(GİRİŞ!$E$28,2)&amp;"   /   ( 102 · "&amp;ROUND(E11,2)&amp;" )")</f>
        <v/>
      </c>
      <c r="E14" s="36">
        <f>IF(GİRİŞ!$E$27="","",IF(E11&lt;=0,"",MAX(1-IF(ISNUMBER(GİRİŞ!$E$54),GİRİŞ!$E$54,SABİTLER!$C$23),IF(ISNUMBER(GİRİŞ!$E$54),GİRİŞ!$E$54,SABİTLER!$C$23))*GİRİŞ!$E$27*GİRİŞ!$E$28/(SABİTLER!$C$10*E11)))</f>
        <v/>
      </c>
      <c r="F14" s="37" t="inlineStr">
        <is>
          <t>kW</t>
        </is>
      </c>
      <c r="G14" s="3" t="inlineStr">
        <is>
          <t>hesaplanan</t>
        </is>
      </c>
    </row>
    <row r="15">
      <c r="A15" s="28" t="inlineStr">
        <is>
          <t>Nsç</t>
        </is>
      </c>
      <c r="B15" s="29" t="inlineStr">
        <is>
          <t>:</t>
        </is>
      </c>
      <c r="C15" s="37" t="inlineStr">
        <is>
          <t>SEÇİLEN motor gücü</t>
        </is>
      </c>
      <c r="D15" s="29" t="inlineStr">
        <is>
          <t>=</t>
        </is>
      </c>
      <c r="E15" s="36">
        <f>IF(GİRİŞ!$E$27="","",GİRİŞ!$E$43)</f>
        <v/>
      </c>
      <c r="F15" s="37" t="inlineStr">
        <is>
          <t>kW</t>
        </is>
      </c>
      <c r="G15" s="3" t="inlineStr">
        <is>
          <t>GİRİŞ</t>
        </is>
      </c>
    </row>
    <row r="16">
      <c r="C16" s="37" t="inlineStr">
        <is>
          <t>KONTROL      Nsç  ≥  N</t>
        </is>
      </c>
      <c r="E16" s="28">
        <f>IF(GİRİŞ!$E$27="","",IF(NOT(ISNUMBER(E14)),"η GİRDİSİ HATALI",IF(GİRİŞ!$E$43&gt;=E14,"UYGUN","UYGUN DEĞİL — motoru büyütün")))</f>
        <v/>
      </c>
    </row>
    <row r="18" ht="18" customHeight="1">
      <c r="A18" s="4" t="inlineStr">
        <is>
          <t xml:space="preserve">  2 -   KUVVET HESAPLARI                                     ( MMO / 697  s.18-20   /   TS EN 81-20 )</t>
        </is>
      </c>
      <c r="B18" s="58" t="n"/>
      <c r="C18" s="58" t="n"/>
      <c r="D18" s="58" t="n"/>
      <c r="E18" s="58" t="n"/>
      <c r="F18" s="58" t="n"/>
      <c r="G18" s="59" t="n"/>
    </row>
    <row r="19">
      <c r="A19" s="16" t="inlineStr">
        <is>
          <t xml:space="preserve">        ORTAK BÜYÜKLÜKLER</t>
        </is>
      </c>
      <c r="B19" s="58" t="n"/>
      <c r="C19" s="58" t="n"/>
      <c r="D19" s="58" t="n"/>
      <c r="E19" s="58" t="n"/>
      <c r="F19" s="58" t="n"/>
      <c r="G19" s="59" t="n"/>
    </row>
    <row r="20">
      <c r="A20" s="28" t="inlineStr">
        <is>
          <t>gn</t>
        </is>
      </c>
      <c r="B20" s="29" t="inlineStr">
        <is>
          <t>:</t>
        </is>
      </c>
      <c r="C20" s="30" t="inlineStr">
        <is>
          <t>Yerçekimi ivmesi</t>
        </is>
      </c>
      <c r="D20" s="29" t="inlineStr">
        <is>
          <t>=</t>
        </is>
      </c>
      <c r="E20" s="32">
        <f>IF(GİRİŞ!$E$27="","",SABİTLER!$C$5)</f>
        <v/>
      </c>
      <c r="F20" s="30" t="inlineStr">
        <is>
          <t>m/s²</t>
        </is>
      </c>
      <c r="G20" s="3" t="inlineStr">
        <is>
          <t>SABİTLER A</t>
        </is>
      </c>
    </row>
    <row r="21">
      <c r="A21" s="28" t="inlineStr">
        <is>
          <t>Gk</t>
        </is>
      </c>
      <c r="B21" s="29" t="inlineStr">
        <is>
          <t>:</t>
        </is>
      </c>
      <c r="C21" s="30" t="inlineStr">
        <is>
          <t>Boş kabin kütlesi</t>
        </is>
      </c>
      <c r="D21" s="29" t="inlineStr">
        <is>
          <t>=</t>
        </is>
      </c>
      <c r="E21" s="31">
        <f>IF(GİRİŞ!$E$27="","",GİRİŞ!$E$38)</f>
        <v/>
      </c>
      <c r="F21" s="30" t="inlineStr">
        <is>
          <t>kg</t>
        </is>
      </c>
      <c r="G21" s="3" t="inlineStr">
        <is>
          <t>GİRİŞ</t>
        </is>
      </c>
    </row>
    <row r="22">
      <c r="A22" s="28" t="inlineStr">
        <is>
          <t>gf</t>
        </is>
      </c>
      <c r="B22" s="29" t="inlineStr">
        <is>
          <t>:</t>
        </is>
      </c>
      <c r="C22" s="30" t="inlineStr">
        <is>
          <t>Gezici kablo ( flexbil ) birim kütlesi</t>
        </is>
      </c>
      <c r="D22" s="29" t="inlineStr">
        <is>
          <t>=</t>
        </is>
      </c>
      <c r="E22" s="32">
        <f>IF(GİRİŞ!$E$27="","",SABİTLER!$C$25)</f>
        <v/>
      </c>
      <c r="F22" s="30" t="inlineStr">
        <is>
          <t>kg/m</t>
        </is>
      </c>
      <c r="G22" s="3" t="inlineStr">
        <is>
          <t>SABİTLER B</t>
        </is>
      </c>
    </row>
    <row r="23">
      <c r="C23" s="34" t="inlineStr">
        <is>
          <t>Gf   =   gf · ( Hk / 2  +  3 )              ( gezici kablo kütlesi )</t>
        </is>
      </c>
    </row>
    <row r="24">
      <c r="C24" s="35">
        <f>IF(GİRİŞ!$E$27="","","=   "&amp;ROUND(SABİTLER!$C$25,2)&amp;"  ·  ( "&amp;ROUND(GİRİŞ!$E$31,2)&amp;" / 2  +  3 )")</f>
        <v/>
      </c>
      <c r="E24" s="36">
        <f>IF(GİRİŞ!$E$27="","",SABİTLER!$C$25*(GİRİŞ!$E$31/2+SABİTLER!$C$19))</f>
        <v/>
      </c>
      <c r="F24" s="37" t="inlineStr">
        <is>
          <t>kg</t>
        </is>
      </c>
      <c r="G24" s="3" t="inlineStr"/>
    </row>
    <row r="25">
      <c r="C25" s="34" t="inlineStr">
        <is>
          <t>P    =   Gk  +  Gf                          ( kabin tarafından desteklenen toplam kütle )</t>
        </is>
      </c>
    </row>
    <row r="26">
      <c r="C26" s="35">
        <f>IF(GİRİŞ!$E$27="","","=   "&amp;ROUND(GİRİŞ!$E$38,0)&amp;"  +  "&amp;ROUND(E24,2))</f>
        <v/>
      </c>
      <c r="E26" s="36">
        <f>IF(GİRİŞ!$E$27="","",GİRİŞ!$E$38+E24)</f>
        <v/>
      </c>
      <c r="F26" s="37" t="inlineStr">
        <is>
          <t>kg</t>
        </is>
      </c>
      <c r="G26" s="3" t="inlineStr"/>
    </row>
    <row r="27">
      <c r="A27" s="28" t="inlineStr">
        <is>
          <t>Q</t>
        </is>
      </c>
      <c r="B27" s="29" t="inlineStr">
        <is>
          <t>:</t>
        </is>
      </c>
      <c r="C27" s="30" t="inlineStr">
        <is>
          <t>Anma yükü</t>
        </is>
      </c>
      <c r="D27" s="29" t="inlineStr">
        <is>
          <t>=</t>
        </is>
      </c>
      <c r="E27" s="31">
        <f>IF(GİRİŞ!$E$27="","",GİRİŞ!$E$27)</f>
        <v/>
      </c>
      <c r="F27" s="30" t="inlineStr">
        <is>
          <t>kg</t>
        </is>
      </c>
      <c r="G27" s="3" t="inlineStr">
        <is>
          <t>GİRİŞ</t>
        </is>
      </c>
    </row>
    <row r="28">
      <c r="A28" s="28" t="inlineStr">
        <is>
          <t>q</t>
        </is>
      </c>
      <c r="B28" s="29" t="inlineStr">
        <is>
          <t>:</t>
        </is>
      </c>
      <c r="C28" s="30" t="inlineStr">
        <is>
          <t>Denge faktörü</t>
        </is>
      </c>
      <c r="D28" s="29" t="inlineStr">
        <is>
          <t>=</t>
        </is>
      </c>
      <c r="E28" s="32">
        <f>IF(GİRİŞ!$E$27="","",IF(ISNUMBER(GİRİŞ!$E$54),GİRİŞ!$E$54,SABİTLER!$C$23))</f>
        <v/>
      </c>
      <c r="F28" s="30" t="inlineStr">
        <is>
          <t>—</t>
        </is>
      </c>
      <c r="G28" s="3">
        <f>IF(ISNUMBER(GİRİŞ!$E$54),"GİRİŞ — asansör bazında","SABİTLER B")</f>
        <v/>
      </c>
    </row>
    <row r="29">
      <c r="C29" s="34" t="inlineStr">
        <is>
          <t>Ga  =   P  +  q · Q                         ( karşı ağırlık kütlesi )</t>
        </is>
      </c>
    </row>
    <row r="30">
      <c r="C30" s="35">
        <f>IF(GİRİŞ!$E$27="","","=   "&amp;ROUND(E26,2)&amp;"  +  "&amp;ROUND(IF(ISNUMBER(GİRİŞ!$E$54),GİRİŞ!$E$54,SABİTLER!$C$23),2)&amp;" · "&amp;ROUND(GİRİŞ!$E$27,0))</f>
        <v/>
      </c>
      <c r="E30" s="36">
        <f>IF(GİRİŞ!$E$27="","",E26+IF(ISNUMBER(GİRİŞ!$E$54),GİRİŞ!$E$54,SABİTLER!$C$23)*GİRİŞ!$E$27)</f>
        <v/>
      </c>
      <c r="F30" s="37" t="inlineStr">
        <is>
          <t>kg</t>
        </is>
      </c>
      <c r="G30" s="3" t="inlineStr"/>
    </row>
    <row r="31" ht="21" customHeight="1">
      <c r="A31" s="28" t="inlineStr">
        <is>
          <t>k1</t>
        </is>
      </c>
      <c r="B31" s="29" t="inlineStr">
        <is>
          <t>:</t>
        </is>
      </c>
      <c r="C31" s="30" t="inlineStr">
        <is>
          <t>Darbe faktörü   ( V &gt; 1 → 2  /  V &gt; 0,63 → 3  /  V ≤ 0,63 → 5 )</t>
        </is>
      </c>
      <c r="D31" s="29" t="inlineStr">
        <is>
          <t>=</t>
        </is>
      </c>
      <c r="E31" s="33">
        <f>IF(GİRİŞ!$E$27="","",IF(GİRİŞ!$E$28&gt;1,SABİTLER!$C$7,IF(GİRİŞ!$E$28&gt;0.63,SABİTLER!$C$8,SABİTLER!$C$9)))</f>
        <v/>
      </c>
      <c r="F31" s="30" t="inlineStr">
        <is>
          <t>—</t>
        </is>
      </c>
      <c r="G31" s="3" t="inlineStr">
        <is>
          <t>SABİTLER A  /  MMO/697 Çiz-1</t>
        </is>
      </c>
    </row>
    <row r="32">
      <c r="A32" s="28" t="inlineStr">
        <is>
          <t>n</t>
        </is>
      </c>
      <c r="B32" s="29" t="inlineStr">
        <is>
          <t>:</t>
        </is>
      </c>
      <c r="C32" s="30" t="inlineStr">
        <is>
          <t>Kabin kılavuz ray sayısı</t>
        </is>
      </c>
      <c r="D32" s="29" t="inlineStr">
        <is>
          <t>=</t>
        </is>
      </c>
      <c r="E32" s="33">
        <f>IF(GİRİŞ!$E$27="","",SABİTLER!$C$24)</f>
        <v/>
      </c>
      <c r="F32" s="30" t="inlineStr">
        <is>
          <t>adet</t>
        </is>
      </c>
      <c r="G32" s="3" t="inlineStr">
        <is>
          <t>SABİTLER B</t>
        </is>
      </c>
    </row>
    <row r="33">
      <c r="A33" s="28" t="inlineStr">
        <is>
          <t>gr</t>
        </is>
      </c>
      <c r="B33" s="29" t="inlineStr">
        <is>
          <t>:</t>
        </is>
      </c>
      <c r="C33" s="30" t="inlineStr">
        <is>
          <t>1 m kılavuz rayın kütlesi</t>
        </is>
      </c>
      <c r="D33" s="29" t="inlineStr">
        <is>
          <t>=</t>
        </is>
      </c>
      <c r="E33" s="32">
        <f>IF(GİRİŞ!$E$27="","",GİRİŞ!$E$39)</f>
        <v/>
      </c>
      <c r="F33" s="30" t="inlineStr">
        <is>
          <t>kg/m</t>
        </is>
      </c>
      <c r="G33" s="3" t="inlineStr">
        <is>
          <t>GİRİŞ</t>
        </is>
      </c>
    </row>
    <row r="34">
      <c r="A34" s="28" t="inlineStr">
        <is>
          <t>Lr</t>
        </is>
      </c>
      <c r="B34" s="29" t="inlineStr">
        <is>
          <t>:</t>
        </is>
      </c>
      <c r="C34" s="30" t="inlineStr">
        <is>
          <t>Kılavuz ray uzunluğu   ( Hk − 0,20 )</t>
        </is>
      </c>
      <c r="D34" s="29" t="inlineStr">
        <is>
          <t>=</t>
        </is>
      </c>
      <c r="E34" s="32">
        <f>IF(GİRİŞ!$E$27="","",GİRİŞ!$E$31-SABİTLER!$C$18)</f>
        <v/>
      </c>
      <c r="F34" s="30" t="inlineStr">
        <is>
          <t>m</t>
        </is>
      </c>
      <c r="G34" s="3" t="inlineStr"/>
    </row>
    <row r="35">
      <c r="C35" s="34" t="inlineStr">
        <is>
          <t>Mg  =   Lr · gr                             ( bir kılavuz ray hattının kütlesi )</t>
        </is>
      </c>
    </row>
    <row r="36">
      <c r="C36" s="35">
        <f>IF(GİRİŞ!$E$27="","","=   "&amp;ROUND(E34,2)&amp;"  ·  "&amp;ROUND(GİRİŞ!$E$39,2))</f>
        <v/>
      </c>
      <c r="E36" s="36">
        <f>IF(GİRİŞ!$E$27="","",E34*GİRİŞ!$E$39)</f>
        <v/>
      </c>
      <c r="F36" s="37" t="inlineStr">
        <is>
          <t>kg</t>
        </is>
      </c>
      <c r="G36" s="3" t="inlineStr"/>
    </row>
    <row r="38">
      <c r="A38" s="16" t="inlineStr">
        <is>
          <t xml:space="preserve">    A -   KUYU ALT BOŞLUĞU TABANINA GELEN KUVVET  ( kabin tamponu altı )</t>
        </is>
      </c>
      <c r="B38" s="58" t="n"/>
      <c r="C38" s="58" t="n"/>
      <c r="D38" s="58" t="n"/>
      <c r="E38" s="58" t="n"/>
      <c r="F38" s="58" t="n"/>
      <c r="G38" s="59" t="n"/>
    </row>
    <row r="39">
      <c r="C39" s="34" t="inlineStr">
        <is>
          <t>P1  =   4 · gn · ( P  +  Q )</t>
        </is>
      </c>
    </row>
    <row r="40">
      <c r="C40" s="35">
        <f>IF(GİRİŞ!$E$27="","","=   "&amp;ROUND(SABİTLER!$C$6,0)&amp;"  ·  "&amp;ROUND(SABİTLER!$C$5,2)&amp;"  ·  ( "&amp;ROUND(E26,2)&amp;"  +  "&amp;ROUND(GİRİŞ!$E$27,0)&amp;" )")</f>
        <v/>
      </c>
      <c r="E40" s="38">
        <f>IF(GİRİŞ!$E$27="","",CEILING(SABİTLER!$C$6*SABİTLER!$C$5*(E26+GİRİŞ!$E$27),10))</f>
        <v/>
      </c>
      <c r="F40" s="37" t="inlineStr">
        <is>
          <t>N</t>
        </is>
      </c>
      <c r="G40" s="3" t="inlineStr"/>
    </row>
    <row r="42">
      <c r="A42" s="16" t="inlineStr">
        <is>
          <t xml:space="preserve">    B -   KARŞI AĞIRLIK TAMPONU ALTINDAKİ ZEMİNE GELEN KUVVET</t>
        </is>
      </c>
      <c r="B42" s="58" t="n"/>
      <c r="C42" s="58" t="n"/>
      <c r="D42" s="58" t="n"/>
      <c r="E42" s="58" t="n"/>
      <c r="F42" s="58" t="n"/>
      <c r="G42" s="59" t="n"/>
    </row>
    <row r="43">
      <c r="C43" s="34" t="inlineStr">
        <is>
          <t>P2  =   4 · gn · ( P  +  q · Q )   =   4 · gn · Ga</t>
        </is>
      </c>
    </row>
    <row r="44">
      <c r="C44" s="35">
        <f>IF(GİRİŞ!$E$27="","","=   "&amp;ROUND(SABİTLER!$C$6,0)&amp;"  ·  "&amp;ROUND(SABİTLER!$C$5,2)&amp;"  ·  "&amp;ROUND(E30,2))</f>
        <v/>
      </c>
      <c r="E44" s="38">
        <f>IF(GİRİŞ!$E$27="","",CEILING(SABİTLER!$C$6*SABİTLER!$C$5*E30,10))</f>
        <v/>
      </c>
      <c r="F44" s="37" t="inlineStr">
        <is>
          <t>N</t>
        </is>
      </c>
      <c r="G44" s="3" t="inlineStr"/>
    </row>
    <row r="46">
      <c r="A46" s="16" t="inlineStr">
        <is>
          <t xml:space="preserve">    C -   KABİN KILAVUZ RAYLARINA GELEN DÜŞEY KUVVET</t>
        </is>
      </c>
      <c r="B46" s="58" t="n"/>
      <c r="C46" s="58" t="n"/>
      <c r="D46" s="58" t="n"/>
      <c r="E46" s="58" t="n"/>
      <c r="F46" s="58" t="n"/>
      <c r="G46" s="59" t="n"/>
    </row>
    <row r="47">
      <c r="C47" s="34" t="inlineStr">
        <is>
          <t>PR  =   k1 · gn · ( P  +  Q ) / n   +   Mg · gn</t>
        </is>
      </c>
    </row>
    <row r="48">
      <c r="C48" s="35">
        <f>IF(GİRİŞ!$E$27="","","=   "&amp;ROUND(E31,0)&amp;" · "&amp;ROUND(SABİTLER!$C$5,2)&amp;" · ( "&amp;ROUND(E26,2)&amp;" + "&amp;ROUND(GİRİŞ!$E$27,0)&amp;" ) / "&amp;ROUND(E32,0)&amp;"   +   "&amp;ROUND(E36,2)&amp;" · "&amp;ROUND(SABİTLER!$C$5,2))</f>
        <v/>
      </c>
      <c r="E48" s="38">
        <f>IF(GİRİŞ!$E$27="","",CEILING(E31*SABİTLER!$C$5*(E26+GİRİŞ!$E$27)/E32+E36*SABİTLER!$C$5,10))</f>
        <v/>
      </c>
      <c r="F48" s="37" t="inlineStr">
        <is>
          <t>N</t>
        </is>
      </c>
      <c r="G48" s="3" t="inlineStr"/>
    </row>
    <row r="50">
      <c r="A50" s="16" t="inlineStr">
        <is>
          <t xml:space="preserve">    D -   KARŞI AĞIRLIK KILAVUZ RAYLARINA GELEN DÜŞEY KUVVET</t>
        </is>
      </c>
      <c r="B50" s="58" t="n"/>
      <c r="C50" s="58" t="n"/>
      <c r="D50" s="58" t="n"/>
      <c r="E50" s="58" t="n"/>
      <c r="F50" s="58" t="n"/>
      <c r="G50" s="59" t="n"/>
    </row>
    <row r="51">
      <c r="C51" s="34" t="inlineStr">
        <is>
          <t>PK  =   k1 · gn · Ga / n   +   Mg · gn</t>
        </is>
      </c>
    </row>
    <row r="52">
      <c r="C52" s="35">
        <f>IF(GİRİŞ!$E$27="","","=   "&amp;ROUND(E31,0)&amp;" · "&amp;ROUND(SABİTLER!$C$5,2)&amp;" · "&amp;ROUND(E30,2)&amp;" / "&amp;ROUND(E32,0)&amp;"   +   "&amp;ROUND(E36,2)&amp;" · "&amp;ROUND(SABİTLER!$C$5,2))</f>
        <v/>
      </c>
      <c r="E52" s="38">
        <f>IF(GİRİŞ!$E$27="","",CEILING(E31*SABİTLER!$C$5*E30/E32+E36*SABİTLER!$C$5,10))</f>
        <v/>
      </c>
      <c r="F52" s="37" t="inlineStr">
        <is>
          <t>N</t>
        </is>
      </c>
      <c r="G52" s="3" t="inlineStr"/>
    </row>
    <row r="54">
      <c r="A54" s="16" t="inlineStr">
        <is>
          <t xml:space="preserve">    E -   KUYU ÜSTÜ BETONUNA ETKİ EDEN KUVVET</t>
        </is>
      </c>
      <c r="B54" s="58" t="n"/>
      <c r="C54" s="58" t="n"/>
      <c r="D54" s="58" t="n"/>
      <c r="E54" s="58" t="n"/>
      <c r="F54" s="58" t="n"/>
      <c r="G54" s="59" t="n"/>
    </row>
    <row r="55">
      <c r="C55" s="34" t="inlineStr">
        <is>
          <t>Fs  =   gn · ( Fmk  +  Fsh  +  Fmt  +  P  +  Q  +  Ga )</t>
        </is>
      </c>
    </row>
    <row r="56">
      <c r="C56" s="35">
        <f>IF(GİRİŞ!$E$27="","","=   "&amp;ROUND(SABİTLER!$C$5,2)&amp;" · ( "&amp;ROUND(GİRİŞ!$E$40,0)&amp;" + "&amp;ROUND(GİRİŞ!$E$41,0)&amp;" + "&amp;ROUND(SABİTLER!$C$26,0)&amp;" + "&amp;ROUND(E26,2)&amp;" + "&amp;ROUND(GİRİŞ!$E$27,0)&amp;" + "&amp;ROUND(E30,2)&amp;" )")</f>
        <v/>
      </c>
      <c r="E56" s="38">
        <f>IF(GİRİŞ!$E$27="","",CEILING(SABİTLER!$C$5*(GİRİŞ!$E$40+GİRİŞ!$E$41+SABİTLER!$C$26+E26+GİRİŞ!$E$27+E30),10))</f>
        <v/>
      </c>
      <c r="F56" s="37" t="inlineStr">
        <is>
          <t>N</t>
        </is>
      </c>
      <c r="G56" s="3" t="inlineStr"/>
    </row>
    <row r="58">
      <c r="C58" s="20" t="inlineStr">
        <is>
          <t>PR ve PK, MMO/697 §2.3.3 formülündeki  Mg · gn  ray kütlesi terimini içerir  ( kitabın §4.3 örnek hesabı bu terimi ihmal etmiştir ).</t>
        </is>
      </c>
    </row>
    <row r="59">
      <c r="C59" s="20" t="inlineStr">
        <is>
          <t>Kılavuz ray uzunluğu 40 m'yi aşarsa halat / kompanzasyon kuvveti Fp uygulama projesinde ayrıca hesaplanır  ( MMO/697 s.20 ).</t>
        </is>
      </c>
    </row>
    <row r="60">
      <c r="C60" s="20" t="inlineStr">
        <is>
          <t>Karşı ağırlıkta paraşüt ( fren ) bulunması hâlinde PK dikkate alınır.</t>
        </is>
      </c>
    </row>
    <row r="62" ht="18" customHeight="1">
      <c r="A62" s="4" t="inlineStr">
        <is>
          <t xml:space="preserve">  3 -   KABİN AYDINLATMA HESABI                                        ( TS EN 81-20 )</t>
        </is>
      </c>
      <c r="B62" s="58" t="n"/>
      <c r="C62" s="58" t="n"/>
      <c r="D62" s="58" t="n"/>
      <c r="E62" s="58" t="n"/>
      <c r="F62" s="58" t="n"/>
      <c r="G62" s="59" t="n"/>
    </row>
    <row r="63">
      <c r="A63" s="28" t="inlineStr">
        <is>
          <t>a</t>
        </is>
      </c>
      <c r="B63" s="29" t="inlineStr">
        <is>
          <t>:</t>
        </is>
      </c>
      <c r="C63" s="30" t="inlineStr">
        <is>
          <t>Kabin boyu</t>
        </is>
      </c>
      <c r="D63" s="29" t="inlineStr">
        <is>
          <t>=</t>
        </is>
      </c>
      <c r="E63" s="32">
        <f>IF(GİRİŞ!$E$27="","",GİRİŞ!$E$33/1000)</f>
        <v/>
      </c>
      <c r="F63" s="30" t="inlineStr">
        <is>
          <t>m</t>
        </is>
      </c>
      <c r="G63" s="3" t="inlineStr">
        <is>
          <t>GİRİŞ</t>
        </is>
      </c>
    </row>
    <row r="64">
      <c r="A64" s="28" t="inlineStr">
        <is>
          <t>b</t>
        </is>
      </c>
      <c r="B64" s="29" t="inlineStr">
        <is>
          <t>:</t>
        </is>
      </c>
      <c r="C64" s="30" t="inlineStr">
        <is>
          <t>Kabin genişliği</t>
        </is>
      </c>
      <c r="D64" s="29" t="inlineStr">
        <is>
          <t>=</t>
        </is>
      </c>
      <c r="E64" s="32">
        <f>IF(GİRİŞ!$E$27="","",GİRİŞ!$E$34/1000)</f>
        <v/>
      </c>
      <c r="F64" s="30" t="inlineStr">
        <is>
          <t>m</t>
        </is>
      </c>
      <c r="G64" s="3" t="inlineStr">
        <is>
          <t>GİRİŞ</t>
        </is>
      </c>
    </row>
    <row r="65">
      <c r="A65" s="28" t="inlineStr">
        <is>
          <t>h</t>
        </is>
      </c>
      <c r="B65" s="29" t="inlineStr">
        <is>
          <t>:</t>
        </is>
      </c>
      <c r="C65" s="30" t="inlineStr">
        <is>
          <t>Armatür ile çalışma düzlemi arasındaki yükseklik</t>
        </is>
      </c>
      <c r="D65" s="29" t="inlineStr">
        <is>
          <t>=</t>
        </is>
      </c>
      <c r="E65" s="32">
        <f>IF(GİRİŞ!$E$27="","",SABİTLER!$C$17)</f>
        <v/>
      </c>
      <c r="F65" s="30" t="inlineStr">
        <is>
          <t>m</t>
        </is>
      </c>
      <c r="G65" s="3" t="inlineStr">
        <is>
          <t>SABİTLER A</t>
        </is>
      </c>
    </row>
    <row r="66">
      <c r="C66" s="34" t="inlineStr">
        <is>
          <t>k   =   a · b   /   ( h · ( a + b ) )                ( bölge indeksi )</t>
        </is>
      </c>
    </row>
    <row r="67">
      <c r="C67" s="35">
        <f>IF(GİRİŞ!$E$27="","","=   "&amp;ROUND(E63,2)&amp;" · "&amp;ROUND(E64,2)&amp;"   /   ( "&amp;ROUND(E65,2)&amp;" · ( "&amp;ROUND(E63,2)&amp;" + "&amp;ROUND(E64,2)&amp;" ) )")</f>
        <v/>
      </c>
      <c r="E67" s="36">
        <f>IF(GİRİŞ!$E$27="","",E63*E64/(E65*(E63+E64)))</f>
        <v/>
      </c>
      <c r="F67" s="37" t="inlineStr">
        <is>
          <t>—</t>
        </is>
      </c>
      <c r="G67" s="3" t="inlineStr"/>
    </row>
    <row r="68">
      <c r="A68" s="28" t="inlineStr">
        <is>
          <t>η</t>
        </is>
      </c>
      <c r="B68" s="29" t="inlineStr">
        <is>
          <t>:</t>
        </is>
      </c>
      <c r="C68" s="30" t="inlineStr">
        <is>
          <t>Oda aydınlatma verimi</t>
        </is>
      </c>
      <c r="D68" s="29" t="inlineStr">
        <is>
          <t>=</t>
        </is>
      </c>
      <c r="E68" s="32">
        <f>IF(GİRİŞ!$E$27="","",IFERROR(INDEX(TABLOLAR!$B$8:$K$17,MATCH(MAX(E67,TABLOLAR!$A$8),TABLOLAR!$A$8:$A$17,1),TABLOLAR!$B$19),""))</f>
        <v/>
      </c>
      <c r="F68" s="30" t="inlineStr">
        <is>
          <t>—</t>
        </is>
      </c>
      <c r="G68" s="3" t="inlineStr">
        <is>
          <t>TABLOLAR T2</t>
        </is>
      </c>
    </row>
    <row r="69">
      <c r="A69" s="28" t="inlineStr">
        <is>
          <t>E</t>
        </is>
      </c>
      <c r="B69" s="29" t="inlineStr">
        <is>
          <t>:</t>
        </is>
      </c>
      <c r="C69" s="30" t="inlineStr">
        <is>
          <t>Asgari aydınlatma şiddeti</t>
        </is>
      </c>
      <c r="D69" s="29" t="inlineStr">
        <is>
          <t>=</t>
        </is>
      </c>
      <c r="E69" s="33">
        <f>IF(GİRİŞ!$E$27="","",SABİTLER!$C$14)</f>
        <v/>
      </c>
      <c r="F69" s="30" t="inlineStr">
        <is>
          <t>lüx</t>
        </is>
      </c>
      <c r="G69" s="3" t="inlineStr">
        <is>
          <t>SABİTLER A</t>
        </is>
      </c>
    </row>
    <row r="70">
      <c r="A70" s="28" t="inlineStr">
        <is>
          <t>d</t>
        </is>
      </c>
      <c r="B70" s="29" t="inlineStr">
        <is>
          <t>:</t>
        </is>
      </c>
      <c r="C70" s="30" t="inlineStr">
        <is>
          <t>Kirlenme ( bakım ) faktörü</t>
        </is>
      </c>
      <c r="D70" s="29" t="inlineStr">
        <is>
          <t>=</t>
        </is>
      </c>
      <c r="E70" s="32">
        <f>IF(GİRİŞ!$E$27="","",SABİTLER!$C$12)</f>
        <v/>
      </c>
      <c r="F70" s="30" t="inlineStr">
        <is>
          <t>—</t>
        </is>
      </c>
      <c r="G70" s="3" t="inlineStr">
        <is>
          <t>SABİTLER A</t>
        </is>
      </c>
    </row>
    <row r="71">
      <c r="C71" s="34" t="inlineStr">
        <is>
          <t>T   =   E · a · b · d   /   η                        ( gerekli toplam ışık akısı )</t>
        </is>
      </c>
    </row>
    <row r="72">
      <c r="C72" s="35">
        <f>IF(GİRİŞ!$E$27="","","=   "&amp;ROUND(E69,0)&amp;" · "&amp;ROUND(E63,2)&amp;" · "&amp;ROUND(E64,2)&amp;" · "&amp;ROUND(E70,2)&amp;"   /   "&amp;ROUND(E68,2))</f>
        <v/>
      </c>
      <c r="E72" s="39">
        <f>IF(GİRİŞ!$E$27="","",IFERROR(E69*E63*E64*E70/E68,""))</f>
        <v/>
      </c>
      <c r="F72" s="37" t="inlineStr">
        <is>
          <t>lm</t>
        </is>
      </c>
      <c r="G72" s="3" t="inlineStr"/>
    </row>
    <row r="73">
      <c r="A73" s="28" t="inlineStr">
        <is>
          <t>ØL</t>
        </is>
      </c>
      <c r="B73" s="29" t="inlineStr">
        <is>
          <t>:</t>
        </is>
      </c>
      <c r="C73" s="30" t="inlineStr">
        <is>
          <t>Bir armatürün ışık akısı</t>
        </is>
      </c>
      <c r="D73" s="29" t="inlineStr">
        <is>
          <t>=</t>
        </is>
      </c>
      <c r="E73" s="31">
        <f>IF(GİRİŞ!$E$27="","",SABİTLER!$C$28)</f>
        <v/>
      </c>
      <c r="F73" s="30" t="inlineStr">
        <is>
          <t>lm</t>
        </is>
      </c>
      <c r="G73" s="3" t="inlineStr">
        <is>
          <t>SABİTLER B</t>
        </is>
      </c>
    </row>
    <row r="74">
      <c r="C74" s="34" t="inlineStr">
        <is>
          <t>Z   =   T   /   ØL                                   ( hesaplanan armatür sayısı )</t>
        </is>
      </c>
    </row>
    <row r="75">
      <c r="C75" s="35">
        <f>IF(GİRİŞ!$E$27="","","=   "&amp;ROUND(E72,2)&amp;"   /   "&amp;ROUND(E73,0))</f>
        <v/>
      </c>
      <c r="E75" s="36">
        <f>IF(GİRİŞ!$E$27="","",IFERROR(E72/E73,""))</f>
        <v/>
      </c>
      <c r="F75" s="37" t="inlineStr">
        <is>
          <t>adet</t>
        </is>
      </c>
      <c r="G75" s="3" t="inlineStr"/>
    </row>
    <row r="76">
      <c r="A76" s="28" t="inlineStr">
        <is>
          <t>n</t>
        </is>
      </c>
      <c r="B76" s="29" t="inlineStr">
        <is>
          <t>:</t>
        </is>
      </c>
      <c r="C76" s="37" t="inlineStr">
        <is>
          <t>SEÇİLEN armatür sayısı   ( Z yukarı yuvarlanır )</t>
        </is>
      </c>
      <c r="D76" s="29" t="inlineStr">
        <is>
          <t>=</t>
        </is>
      </c>
      <c r="E76" s="40">
        <f>IF(GİRİŞ!$E$27="","",IFERROR(ROUNDUP(E75,0),""))</f>
        <v/>
      </c>
      <c r="F76" s="37" t="inlineStr">
        <is>
          <t>adet</t>
        </is>
      </c>
      <c r="G76" s="3" t="inlineStr"/>
    </row>
    <row r="77">
      <c r="A77" s="41">
        <f>IF(GİRİŞ!$E$27="","",IF(E76="","","SONUÇ  :    "&amp;E76&amp;"  adet  "&amp;SABİTLER!$C$27&amp;" W  armatür  kullanılacaktır."))</f>
        <v/>
      </c>
      <c r="B77" s="58" t="n"/>
      <c r="C77" s="58" t="n"/>
      <c r="D77" s="58" t="n"/>
      <c r="E77" s="58" t="n"/>
      <c r="F77" s="58" t="n"/>
      <c r="G77" s="59" t="n"/>
    </row>
    <row r="79" ht="18" customHeight="1">
      <c r="A79" s="4" t="inlineStr">
        <is>
          <t xml:space="preserve">  4 -   KUYU AYDINLATMA HESABI                                        ( TS EN 81-20 )</t>
        </is>
      </c>
      <c r="B79" s="58" t="n"/>
      <c r="C79" s="58" t="n"/>
      <c r="D79" s="58" t="n"/>
      <c r="E79" s="58" t="n"/>
      <c r="F79" s="58" t="n"/>
      <c r="G79" s="59" t="n"/>
    </row>
    <row r="80">
      <c r="A80" s="28" t="inlineStr">
        <is>
          <t>a</t>
        </is>
      </c>
      <c r="B80" s="29" t="inlineStr">
        <is>
          <t>:</t>
        </is>
      </c>
      <c r="C80" s="30" t="inlineStr">
        <is>
          <t>Kuyu yüksekliği  ( kuyu boyu )</t>
        </is>
      </c>
      <c r="D80" s="29" t="inlineStr">
        <is>
          <t>=</t>
        </is>
      </c>
      <c r="E80" s="32">
        <f>IF(GİRİŞ!$E$27="","",GİRİŞ!$E$31)</f>
        <v/>
      </c>
      <c r="F80" s="30" t="inlineStr">
        <is>
          <t>m</t>
        </is>
      </c>
      <c r="G80" s="3" t="inlineStr">
        <is>
          <t>GİRİŞ</t>
        </is>
      </c>
    </row>
    <row r="81">
      <c r="A81" s="28" t="inlineStr">
        <is>
          <t>b</t>
        </is>
      </c>
      <c r="B81" s="29" t="inlineStr">
        <is>
          <t>:</t>
        </is>
      </c>
      <c r="C81" s="30" t="inlineStr">
        <is>
          <t>Kuyu genişliği</t>
        </is>
      </c>
      <c r="D81" s="29" t="inlineStr">
        <is>
          <t>=</t>
        </is>
      </c>
      <c r="E81" s="32">
        <f>IF(GİRİŞ!$E$27="","",GİRİŞ!$E$32/1000)</f>
        <v/>
      </c>
      <c r="F81" s="30" t="inlineStr">
        <is>
          <t>m</t>
        </is>
      </c>
      <c r="G81" s="3" t="inlineStr">
        <is>
          <t>GİRİŞ</t>
        </is>
      </c>
    </row>
    <row r="82">
      <c r="A82" s="28" t="inlineStr">
        <is>
          <t>h</t>
        </is>
      </c>
      <c r="B82" s="29" t="inlineStr">
        <is>
          <t>:</t>
        </is>
      </c>
      <c r="C82" s="30" t="inlineStr">
        <is>
          <t>Armatür ile çalışma düzlemi arasındaki yükseklik</t>
        </is>
      </c>
      <c r="D82" s="29" t="inlineStr">
        <is>
          <t>=</t>
        </is>
      </c>
      <c r="E82" s="32">
        <f>IF(GİRİŞ!$E$27="","",SABİTLER!$C$17)</f>
        <v/>
      </c>
      <c r="F82" s="30" t="inlineStr">
        <is>
          <t>m</t>
        </is>
      </c>
      <c r="G82" s="3" t="inlineStr">
        <is>
          <t>SABİTLER A</t>
        </is>
      </c>
    </row>
    <row r="83">
      <c r="C83" s="34" t="inlineStr">
        <is>
          <t>k   =   a · b   /   ( h · ( a + b ) )                ( bölge indeksi )</t>
        </is>
      </c>
    </row>
    <row r="84">
      <c r="C84" s="35">
        <f>IF(GİRİŞ!$E$27="","","=   "&amp;ROUND(E80,2)&amp;" · "&amp;ROUND(E81,2)&amp;"   /   ( "&amp;ROUND(E82,2)&amp;" · ( "&amp;ROUND(E80,2)&amp;" + "&amp;ROUND(E81,2)&amp;" ) )")</f>
        <v/>
      </c>
      <c r="E84" s="36">
        <f>IF(GİRİŞ!$E$27="","",E80*E81/(E82*(E80+E81)))</f>
        <v/>
      </c>
      <c r="F84" s="37" t="inlineStr">
        <is>
          <t>—</t>
        </is>
      </c>
      <c r="G84" s="3" t="inlineStr"/>
    </row>
    <row r="85">
      <c r="A85" s="28" t="inlineStr">
        <is>
          <t>η</t>
        </is>
      </c>
      <c r="B85" s="29" t="inlineStr">
        <is>
          <t>:</t>
        </is>
      </c>
      <c r="C85" s="30" t="inlineStr">
        <is>
          <t>Oda aydınlatma verimi</t>
        </is>
      </c>
      <c r="D85" s="29" t="inlineStr">
        <is>
          <t>=</t>
        </is>
      </c>
      <c r="E85" s="32">
        <f>IF(GİRİŞ!$E$27="","",IFERROR(INDEX(TABLOLAR!$B$8:$K$17,MATCH(MAX(E84,TABLOLAR!$A$8),TABLOLAR!$A$8:$A$17,1),TABLOLAR!$B$19),""))</f>
        <v/>
      </c>
      <c r="F85" s="30" t="inlineStr">
        <is>
          <t>—</t>
        </is>
      </c>
      <c r="G85" s="3" t="inlineStr">
        <is>
          <t>TABLOLAR T2</t>
        </is>
      </c>
    </row>
    <row r="86">
      <c r="A86" s="28" t="inlineStr">
        <is>
          <t>E</t>
        </is>
      </c>
      <c r="B86" s="29" t="inlineStr">
        <is>
          <t>:</t>
        </is>
      </c>
      <c r="C86" s="30" t="inlineStr">
        <is>
          <t>Asgari aydınlatma şiddeti</t>
        </is>
      </c>
      <c r="D86" s="29" t="inlineStr">
        <is>
          <t>=</t>
        </is>
      </c>
      <c r="E86" s="33">
        <f>IF(GİRİŞ!$E$27="","",SABİTLER!$C$15)</f>
        <v/>
      </c>
      <c r="F86" s="30" t="inlineStr">
        <is>
          <t>lüx</t>
        </is>
      </c>
      <c r="G86" s="3" t="inlineStr">
        <is>
          <t>SABİTLER A</t>
        </is>
      </c>
    </row>
    <row r="87">
      <c r="A87" s="28" t="inlineStr">
        <is>
          <t>d</t>
        </is>
      </c>
      <c r="B87" s="29" t="inlineStr">
        <is>
          <t>:</t>
        </is>
      </c>
      <c r="C87" s="30" t="inlineStr">
        <is>
          <t>Kirlenme ( bakım ) faktörü</t>
        </is>
      </c>
      <c r="D87" s="29" t="inlineStr">
        <is>
          <t>=</t>
        </is>
      </c>
      <c r="E87" s="32">
        <f>IF(GİRİŞ!$E$27="","",SABİTLER!$C$12)</f>
        <v/>
      </c>
      <c r="F87" s="30" t="inlineStr">
        <is>
          <t>—</t>
        </is>
      </c>
      <c r="G87" s="3" t="inlineStr">
        <is>
          <t>SABİTLER A</t>
        </is>
      </c>
    </row>
    <row r="88">
      <c r="C88" s="34" t="inlineStr">
        <is>
          <t>T   =   E · a · b · d   /   η                        ( gerekli toplam ışık akısı )</t>
        </is>
      </c>
    </row>
    <row r="89">
      <c r="C89" s="35">
        <f>IF(GİRİŞ!$E$27="","","=   "&amp;ROUND(E86,0)&amp;" · "&amp;ROUND(E80,2)&amp;" · "&amp;ROUND(E81,2)&amp;" · "&amp;ROUND(E87,2)&amp;"   /   "&amp;ROUND(E85,2))</f>
        <v/>
      </c>
      <c r="E89" s="39">
        <f>IF(GİRİŞ!$E$27="","",IFERROR(E86*E80*E81*E87/E85,""))</f>
        <v/>
      </c>
      <c r="F89" s="37" t="inlineStr">
        <is>
          <t>lm</t>
        </is>
      </c>
      <c r="G89" s="3" t="inlineStr"/>
    </row>
    <row r="90">
      <c r="A90" s="28" t="inlineStr">
        <is>
          <t>ØL</t>
        </is>
      </c>
      <c r="B90" s="29" t="inlineStr">
        <is>
          <t>:</t>
        </is>
      </c>
      <c r="C90" s="30" t="inlineStr">
        <is>
          <t>Bir armatürün ışık akısı</t>
        </is>
      </c>
      <c r="D90" s="29" t="inlineStr">
        <is>
          <t>=</t>
        </is>
      </c>
      <c r="E90" s="31">
        <f>IF(GİRİŞ!$E$27="","",SABİTLER!$C$31)</f>
        <v/>
      </c>
      <c r="F90" s="30" t="inlineStr">
        <is>
          <t>lm</t>
        </is>
      </c>
      <c r="G90" s="3" t="inlineStr">
        <is>
          <t>SABİTLER B</t>
        </is>
      </c>
    </row>
    <row r="91">
      <c r="C91" s="34" t="inlineStr">
        <is>
          <t>Z   =   T   /   ØL                                   ( hesaplanan armatür sayısı )</t>
        </is>
      </c>
    </row>
    <row r="92">
      <c r="C92" s="35">
        <f>IF(GİRİŞ!$E$27="","","=   "&amp;ROUND(E89,2)&amp;"   /   "&amp;ROUND(E90,0))</f>
        <v/>
      </c>
      <c r="E92" s="36">
        <f>IF(GİRİŞ!$E$27="","",IFERROR(E89/E90,""))</f>
        <v/>
      </c>
      <c r="F92" s="37" t="inlineStr">
        <is>
          <t>adet</t>
        </is>
      </c>
      <c r="G92" s="3" t="inlineStr"/>
    </row>
    <row r="93">
      <c r="A93" s="28" t="inlineStr">
        <is>
          <t>n1</t>
        </is>
      </c>
      <c r="B93" s="29" t="inlineStr">
        <is>
          <t>:</t>
        </is>
      </c>
      <c r="C93" s="30" t="inlineStr">
        <is>
          <t>Işık akısından  =  ROUNDUP( Z ) + 2   ( kuyu dibi + üstü )</t>
        </is>
      </c>
      <c r="D93" s="29" t="inlineStr">
        <is>
          <t>=</t>
        </is>
      </c>
      <c r="E93" s="33">
        <f>IF(GİRİŞ!$E$27="","",IFERROR(ROUNDUP(E92,0)+SABİTLER!$C$16,""))</f>
        <v/>
      </c>
      <c r="F93" s="30" t="inlineStr">
        <is>
          <t>adet</t>
        </is>
      </c>
      <c r="G93" s="3" t="inlineStr">
        <is>
          <t>SABİTLER A</t>
        </is>
      </c>
    </row>
    <row r="94">
      <c r="A94" s="28" t="inlineStr">
        <is>
          <t>Dmax</t>
        </is>
      </c>
      <c r="B94" s="29" t="inlineStr">
        <is>
          <t>:</t>
        </is>
      </c>
      <c r="C94" s="30" t="inlineStr">
        <is>
          <t>Armatürler arası azami aralık</t>
        </is>
      </c>
      <c r="D94" s="29" t="inlineStr">
        <is>
          <t>=</t>
        </is>
      </c>
      <c r="E94" s="32">
        <f>IF(GİRİŞ!$E$27="","",SABİTLER!$C$32)</f>
        <v/>
      </c>
      <c r="F94" s="30" t="inlineStr">
        <is>
          <t>m</t>
        </is>
      </c>
      <c r="G94" s="3" t="inlineStr">
        <is>
          <t>SABİTLER B</t>
        </is>
      </c>
    </row>
    <row r="95">
      <c r="C95" s="34" t="inlineStr">
        <is>
          <t>n2  =   ROUNDUP( ( Hk − 1 ) / Dmax )  +  1      ( geometrik asgari adet )</t>
        </is>
      </c>
    </row>
    <row r="96">
      <c r="C96" s="35">
        <f>IF(GİRİŞ!$E$27="","",IF(E94&lt;=0,"—   ( aralık kontrolü kapalı )","=   ROUNDUP( ( "&amp;ROUND(GİRİŞ!$E$31,2)&amp;" − 1 ) / "&amp;ROUND(E94,2)&amp;" )  +  1"))</f>
        <v/>
      </c>
      <c r="E96" s="40">
        <f>IF(GİRİŞ!$E$27="","",IF(E94&lt;=0,0,ROUNDUP((GİRİŞ!$E$31-1)/E94,0)+1))</f>
        <v/>
      </c>
      <c r="F96" s="37" t="inlineStr">
        <is>
          <t>adet</t>
        </is>
      </c>
      <c r="G96" s="3" t="inlineStr"/>
    </row>
    <row r="97">
      <c r="A97" s="28" t="inlineStr">
        <is>
          <t>n</t>
        </is>
      </c>
      <c r="B97" s="29" t="inlineStr">
        <is>
          <t>:</t>
        </is>
      </c>
      <c r="C97" s="37" t="inlineStr">
        <is>
          <t>SEÇİLEN armatür sayısı   =   MAX ( n1 ; n2 )</t>
        </is>
      </c>
      <c r="D97" s="29" t="inlineStr">
        <is>
          <t>=</t>
        </is>
      </c>
      <c r="E97" s="40">
        <f>IF(GİRİŞ!$E$27="","",IFERROR(MAX(E93,E96),""))</f>
        <v/>
      </c>
      <c r="F97" s="37" t="inlineStr">
        <is>
          <t>adet</t>
        </is>
      </c>
      <c r="G97" s="3" t="inlineStr"/>
    </row>
    <row r="98">
      <c r="A98" s="41">
        <f>IF(GİRİŞ!$E$27="","",IF(E97="","","SONUÇ  :    "&amp;E97&amp;"  adet  "&amp;SABİTLER!$C$30&amp;" W  armatür  kullanılacaktır."))</f>
        <v/>
      </c>
      <c r="B98" s="58" t="n"/>
      <c r="C98" s="58" t="n"/>
      <c r="D98" s="58" t="n"/>
      <c r="E98" s="58" t="n"/>
      <c r="F98" s="58" t="n"/>
      <c r="G98" s="59" t="n"/>
    </row>
    <row r="100" ht="18" customHeight="1">
      <c r="A100" s="4" t="inlineStr">
        <is>
          <t xml:space="preserve">  5 -   KURULU GÜÇ CETVELİ                                   ( tablo adı :  TAS3 )</t>
        </is>
      </c>
      <c r="B100" s="58" t="n"/>
      <c r="C100" s="58" t="n"/>
      <c r="D100" s="58" t="n"/>
      <c r="E100" s="58" t="n"/>
      <c r="F100" s="58" t="n"/>
      <c r="G100" s="59" t="n"/>
    </row>
    <row r="101">
      <c r="A101" s="6" t="inlineStr">
        <is>
          <t>Lin</t>
        </is>
      </c>
      <c r="B101" s="6" t="inlineStr"/>
      <c r="C101" s="42" t="inlineStr">
        <is>
          <t xml:space="preserve">  Sorti</t>
        </is>
      </c>
      <c r="D101" s="6" t="inlineStr"/>
      <c r="E101" s="6" t="inlineStr">
        <is>
          <t>Gücü</t>
        </is>
      </c>
      <c r="F101" s="6" t="inlineStr">
        <is>
          <t>Birim</t>
        </is>
      </c>
      <c r="G101" s="6" t="inlineStr">
        <is>
          <t>Sigorta A</t>
        </is>
      </c>
    </row>
    <row r="102">
      <c r="A102" s="43">
        <f>IF(GİRİŞ!$E$27="","",1)</f>
        <v/>
      </c>
      <c r="B102" s="29">
        <f>IF(GİRİŞ!$E$27="","",":")</f>
        <v/>
      </c>
      <c r="C102" s="30">
        <f>IF(GİRİŞ!$E$27="","","MOTOR")</f>
        <v/>
      </c>
      <c r="D102" s="29">
        <f>IF(GİRİŞ!$E$27="","","=")</f>
        <v/>
      </c>
      <c r="E102" s="31">
        <f>IF(GİRİŞ!$E$27="","",GİRİŞ!$E$43*1000/SABİTLER!$C$39)</f>
        <v/>
      </c>
      <c r="F102" s="30">
        <f>IF(GİRİŞ!$E$27="","","W")</f>
        <v/>
      </c>
      <c r="G102" s="44" t="inlineStr">
        <is>
          <t>4 x 25</t>
        </is>
      </c>
    </row>
    <row r="103">
      <c r="A103" s="43">
        <f>IF(GİRİŞ!$E$27="","",2)</f>
        <v/>
      </c>
      <c r="B103" s="29">
        <f>IF(GİRİŞ!$E$27="","",":")</f>
        <v/>
      </c>
      <c r="C103" s="30">
        <f>IF(GİRİŞ!$E$27="","","KUYU AYDINLATMASI          ( "&amp;'3 NOLU ASANSÖR'!E97&amp;" X "&amp;SABİTLER!$C$30&amp;" W )")</f>
        <v/>
      </c>
      <c r="D103" s="29">
        <f>IF(GİRİŞ!$E$27="","","=")</f>
        <v/>
      </c>
      <c r="E103" s="31">
        <f>IF(GİRİŞ!$E$27="","",'3 NOLU ASANSÖR'!E97*SABİTLER!$C$30)</f>
        <v/>
      </c>
      <c r="F103" s="30">
        <f>IF(GİRİŞ!$E$27="","","W")</f>
        <v/>
      </c>
      <c r="G103" s="44" t="inlineStr">
        <is>
          <t>10</t>
        </is>
      </c>
    </row>
    <row r="104">
      <c r="A104" s="43">
        <f>IF(GİRİŞ!$E$27="","",3)</f>
        <v/>
      </c>
      <c r="B104" s="29">
        <f>IF(GİRİŞ!$E$27="","",":")</f>
        <v/>
      </c>
      <c r="C104" s="30">
        <f>IF(GİRİŞ!$E$27="","","KABİN + KABİN ÜSTÜ AYD.     ( "&amp;'3 NOLU ASANSÖR'!E76&amp;" X "&amp;SABİTLER!$C$27&amp;" W  +  "&amp;SABİTLER!$C$29&amp;" X "&amp;SABİTLER!$C$27&amp;" W )")</f>
        <v/>
      </c>
      <c r="D104" s="29">
        <f>IF(GİRİŞ!$E$27="","","=")</f>
        <v/>
      </c>
      <c r="E104" s="31">
        <f>IF(GİRİŞ!$E$27="","",('3 NOLU ASANSÖR'!E76+SABİTLER!$C$29)*SABİTLER!$C$27)</f>
        <v/>
      </c>
      <c r="F104" s="30">
        <f>IF(GİRİŞ!$E$27="","","W")</f>
        <v/>
      </c>
      <c r="G104" s="44" t="inlineStr">
        <is>
          <t>10</t>
        </is>
      </c>
    </row>
    <row r="105">
      <c r="A105" s="43">
        <f>IF(GİRİŞ!$E$27="","",4)</f>
        <v/>
      </c>
      <c r="B105" s="29">
        <f>IF(GİRİŞ!$E$27="","",":")</f>
        <v/>
      </c>
      <c r="C105" s="30">
        <f>IF(GİRİŞ!$E$27="","","TOPLAM PRİZ          ( "&amp;SABİTLER!$C$33&amp;" X "&amp;SABİTLER!$C$34&amp;" W )")</f>
        <v/>
      </c>
      <c r="D105" s="29">
        <f>IF(GİRİŞ!$E$27="","","=")</f>
        <v/>
      </c>
      <c r="E105" s="31">
        <f>IF(GİRİŞ!$E$27="","",SABİTLER!$C$33*SABİTLER!$C$34)</f>
        <v/>
      </c>
      <c r="F105" s="30">
        <f>IF(GİRİŞ!$E$27="","","W")</f>
        <v/>
      </c>
      <c r="G105" s="44" t="inlineStr">
        <is>
          <t>16</t>
        </is>
      </c>
    </row>
    <row r="106">
      <c r="C106" s="37" t="inlineStr">
        <is>
          <t>ASANSÖRÜN KURULU GÜCÜ</t>
        </is>
      </c>
      <c r="D106" s="29">
        <f>IF(GİRİŞ!$E$27="","","=")</f>
        <v/>
      </c>
      <c r="E106" s="38">
        <f>IF(GİRİŞ!$E$27="","",SUM(E102:E105))</f>
        <v/>
      </c>
      <c r="F106" s="37">
        <f>IF(GİRİŞ!$E$27="","","W")</f>
        <v/>
      </c>
    </row>
    <row r="108" ht="18" customHeight="1">
      <c r="A108" s="4" t="inlineStr">
        <is>
          <t xml:space="preserve">  6 -   GERİLİM DÜŞÜMÜ VE KESİT KONTROLÜ</t>
        </is>
      </c>
      <c r="B108" s="58" t="n"/>
      <c r="C108" s="58" t="n"/>
      <c r="D108" s="58" t="n"/>
      <c r="E108" s="58" t="n"/>
      <c r="F108" s="58" t="n"/>
      <c r="G108" s="59" t="n"/>
    </row>
    <row r="110">
      <c r="C110" s="37" t="inlineStr">
        <is>
          <t>ε %  =  100 · P · L  /  ( κ · S · U² )          I  =  P  /  ( √3 · U · cosφ )</t>
        </is>
      </c>
    </row>
    <row r="116">
      <c r="A116" s="20" t="inlineStr">
        <is>
          <t>Kolon hattı asansörün TOPLAM kurulu gücünü ( motor + aydınlatma + priz ) taşır;  makine besleme hattı yalnız motoru besler.  Her iki hatta da motorun ŞEBEKEDEN ÇEKTİĞİ güç ( Pşeb = Nsç / ηm ) akar — Nsç mil gücüdür.</t>
        </is>
      </c>
    </row>
    <row r="118">
      <c r="A118" s="28" t="inlineStr">
        <is>
          <t>U</t>
        </is>
      </c>
      <c r="B118" s="29" t="inlineStr">
        <is>
          <t>:</t>
        </is>
      </c>
      <c r="C118" s="30" t="inlineStr">
        <is>
          <t>Şebeke gerilimi ( fazlar arası )</t>
        </is>
      </c>
      <c r="D118" s="29" t="inlineStr">
        <is>
          <t>=</t>
        </is>
      </c>
      <c r="E118" s="33">
        <f>IF(GİRİŞ!$E$27="","",GİRİŞ!$C$6)</f>
        <v/>
      </c>
      <c r="F118" s="30" t="inlineStr">
        <is>
          <t>V</t>
        </is>
      </c>
      <c r="G118" s="3" t="inlineStr">
        <is>
          <t>GİRİŞ</t>
        </is>
      </c>
    </row>
    <row r="119">
      <c r="A119" s="28" t="inlineStr">
        <is>
          <t>cosφ</t>
        </is>
      </c>
      <c r="B119" s="29" t="inlineStr">
        <is>
          <t>:</t>
        </is>
      </c>
      <c r="C119" s="30" t="inlineStr">
        <is>
          <t>Güç katsayısı</t>
        </is>
      </c>
      <c r="D119" s="29" t="inlineStr">
        <is>
          <t>=</t>
        </is>
      </c>
      <c r="E119" s="32">
        <f>IF(GİRİŞ!$E$27="","",SABİTLER!$C$35)</f>
        <v/>
      </c>
      <c r="F119" s="30" t="inlineStr">
        <is>
          <t>—</t>
        </is>
      </c>
      <c r="G119" s="3" t="inlineStr">
        <is>
          <t>SABİTLER B</t>
        </is>
      </c>
    </row>
    <row r="120">
      <c r="A120" s="28" t="inlineStr">
        <is>
          <t>κ</t>
        </is>
      </c>
      <c r="B120" s="29" t="inlineStr">
        <is>
          <t>:</t>
        </is>
      </c>
      <c r="C120" s="30" t="inlineStr">
        <is>
          <t>İletken iletkenliği</t>
        </is>
      </c>
      <c r="D120" s="29" t="inlineStr">
        <is>
          <t>=</t>
        </is>
      </c>
      <c r="E120" s="33">
        <f>IF(GİRİŞ!$E$27="","",GİRİŞ!$C$7)</f>
        <v/>
      </c>
      <c r="F120" s="30" t="inlineStr">
        <is>
          <t>m/Ω·mm²</t>
        </is>
      </c>
      <c r="G120" s="3" t="inlineStr">
        <is>
          <t>GİRİŞ</t>
        </is>
      </c>
    </row>
    <row r="121">
      <c r="A121" s="28" t="inlineStr">
        <is>
          <t>P1</t>
        </is>
      </c>
      <c r="B121" s="29" t="inlineStr">
        <is>
          <t>:</t>
        </is>
      </c>
      <c r="C121" s="30" t="inlineStr">
        <is>
          <t>Asansörün toplam kurulu gücü</t>
        </is>
      </c>
      <c r="D121" s="29" t="inlineStr">
        <is>
          <t>=</t>
        </is>
      </c>
      <c r="E121" s="31">
        <f>IF(GİRİŞ!$E$27="","",E106)</f>
        <v/>
      </c>
      <c r="F121" s="30" t="inlineStr">
        <is>
          <t>W</t>
        </is>
      </c>
      <c r="G121" s="3" t="inlineStr">
        <is>
          <t>yukarıdan</t>
        </is>
      </c>
    </row>
    <row r="122">
      <c r="A122" s="28" t="inlineStr">
        <is>
          <t>L1</t>
        </is>
      </c>
      <c r="B122" s="29" t="inlineStr">
        <is>
          <t>:</t>
        </is>
      </c>
      <c r="C122" s="30" t="inlineStr">
        <is>
          <t>Kolon hattı uzunluğu</t>
        </is>
      </c>
      <c r="D122" s="29" t="inlineStr">
        <is>
          <t>=</t>
        </is>
      </c>
      <c r="E122" s="32">
        <f>IF(GİRİŞ!$E$27="","",GİRİŞ!$E$45)</f>
        <v/>
      </c>
      <c r="F122" s="30" t="inlineStr">
        <is>
          <t>m</t>
        </is>
      </c>
      <c r="G122" s="3" t="inlineStr">
        <is>
          <t>GİRİŞ</t>
        </is>
      </c>
    </row>
    <row r="123">
      <c r="A123" s="28" t="inlineStr">
        <is>
          <t>S1</t>
        </is>
      </c>
      <c r="B123" s="29" t="inlineStr">
        <is>
          <t>:</t>
        </is>
      </c>
      <c r="C123" s="30" t="inlineStr">
        <is>
          <t>Kolon hattı kesiti</t>
        </is>
      </c>
      <c r="D123" s="29" t="inlineStr">
        <is>
          <t>=</t>
        </is>
      </c>
      <c r="E123" s="61">
        <f>IF(GİRİŞ!$E$27="","",GİRİŞ!$E$44)</f>
        <v/>
      </c>
      <c r="F123" s="30" t="inlineStr">
        <is>
          <t>mm²</t>
        </is>
      </c>
      <c r="G123" s="3" t="inlineStr">
        <is>
          <t>GİRİŞ</t>
        </is>
      </c>
    </row>
    <row r="124">
      <c r="C124" s="34" t="inlineStr">
        <is>
          <t>ε1  =   100 · P1 · L1   /   ( κ · S1 · U² )</t>
        </is>
      </c>
    </row>
    <row r="125">
      <c r="C125" s="35">
        <f>IF(GİRİŞ!$E$27="","","=   100 · "&amp;ROUND(E121,0)&amp;" · "&amp;ROUND(E122,2)&amp;"   /   ( "&amp;ROUND(GİRİŞ!$C$7,0)&amp;" · "&amp;ROUND(E123,2)&amp;" · "&amp;ROUND(GİRİŞ!$C$6,0)&amp;"² )")</f>
        <v/>
      </c>
      <c r="E125" s="62">
        <f>IF(GİRİŞ!$E$27="","",IF(OR(GİRİŞ!$C$7&lt;=0,E123&lt;=0,GİRİŞ!$C$6&lt;=0),"",100*E121*E122/(GİRİŞ!$C$7*E123*GİRİŞ!$C$6^2)))</f>
        <v/>
      </c>
      <c r="F125" s="37" t="inlineStr">
        <is>
          <t>%</t>
        </is>
      </c>
      <c r="G125" s="3" t="inlineStr">
        <is>
          <t>kolon hattı</t>
        </is>
      </c>
    </row>
    <row r="126">
      <c r="A126" s="28" t="inlineStr">
        <is>
          <t>P2</t>
        </is>
      </c>
      <c r="B126" s="29" t="inlineStr">
        <is>
          <t>:</t>
        </is>
      </c>
      <c r="C126" s="30" t="inlineStr">
        <is>
          <t>Makine besleme hattının gücü  ( = Pşeb )</t>
        </is>
      </c>
      <c r="D126" s="29" t="inlineStr">
        <is>
          <t>=</t>
        </is>
      </c>
      <c r="E126" s="31">
        <f>IF(GİRİŞ!$E$27="","",GİRİŞ!$E$43*1000/SABİTLER!$C$39)</f>
        <v/>
      </c>
      <c r="F126" s="30" t="inlineStr">
        <is>
          <t>W</t>
        </is>
      </c>
      <c r="G126" s="3" t="inlineStr">
        <is>
          <t>GİRİŞ</t>
        </is>
      </c>
    </row>
    <row r="127">
      <c r="A127" s="28" t="inlineStr">
        <is>
          <t>L2</t>
        </is>
      </c>
      <c r="B127" s="29" t="inlineStr">
        <is>
          <t>:</t>
        </is>
      </c>
      <c r="C127" s="30" t="inlineStr">
        <is>
          <t>Makine besleme uzunluğu</t>
        </is>
      </c>
      <c r="D127" s="29" t="inlineStr">
        <is>
          <t>=</t>
        </is>
      </c>
      <c r="E127" s="32">
        <f>IF(GİRİŞ!$E$27="","",GİRİŞ!$E$47)</f>
        <v/>
      </c>
      <c r="F127" s="30" t="inlineStr">
        <is>
          <t>m</t>
        </is>
      </c>
      <c r="G127" s="3" t="inlineStr">
        <is>
          <t>GİRİŞ</t>
        </is>
      </c>
    </row>
    <row r="128">
      <c r="A128" s="28" t="inlineStr">
        <is>
          <t>S2</t>
        </is>
      </c>
      <c r="B128" s="29" t="inlineStr">
        <is>
          <t>:</t>
        </is>
      </c>
      <c r="C128" s="30" t="inlineStr">
        <is>
          <t>Makine besleme kesiti</t>
        </is>
      </c>
      <c r="D128" s="29" t="inlineStr">
        <is>
          <t>=</t>
        </is>
      </c>
      <c r="E128" s="61">
        <f>IF(GİRİŞ!$E$27="","",GİRİŞ!$E$46)</f>
        <v/>
      </c>
      <c r="F128" s="30" t="inlineStr">
        <is>
          <t>mm²</t>
        </is>
      </c>
      <c r="G128" s="3" t="inlineStr">
        <is>
          <t>GİRİŞ</t>
        </is>
      </c>
    </row>
    <row r="129">
      <c r="C129" s="34" t="inlineStr">
        <is>
          <t>ε2  =   100 · P2 · L2   /   ( κ · S2 · U² )</t>
        </is>
      </c>
    </row>
    <row r="130">
      <c r="C130" s="35">
        <f>IF(GİRİŞ!$E$27="","","=   100 · "&amp;ROUND(E126,0)&amp;" · "&amp;ROUND(E127,2)&amp;"   /   ( "&amp;ROUND(GİRİŞ!$C$7,0)&amp;" · "&amp;ROUND(E128,2)&amp;" · "&amp;ROUND(GİRİŞ!$C$6,0)&amp;"² )")</f>
        <v/>
      </c>
      <c r="E130" s="62">
        <f>IF(GİRİŞ!$E$27="","",IF(OR(GİRİŞ!$C$7&lt;=0,E128&lt;=0,GİRİŞ!$C$6&lt;=0),"",100*E126*E127/(GİRİŞ!$C$7*E128*GİRİŞ!$C$6^2)))</f>
        <v/>
      </c>
      <c r="F130" s="37" t="inlineStr">
        <is>
          <t>%</t>
        </is>
      </c>
      <c r="G130" s="3" t="inlineStr">
        <is>
          <t>makine besleme</t>
        </is>
      </c>
    </row>
    <row r="131">
      <c r="C131" s="34" t="inlineStr">
        <is>
          <t>ε   =   ε1  +  ε2                                    ( toplam )</t>
        </is>
      </c>
    </row>
    <row r="132">
      <c r="C132" s="35">
        <f>IF(GİRİŞ!$E$27="","",IF(OR(NOT(ISNUMBER(E125)),NOT(ISNUMBER(E130))),"","=   "&amp;ROUND(E125,3)&amp;"  +  "&amp;ROUND(E130,3)))</f>
        <v/>
      </c>
      <c r="E132" s="62">
        <f>IF(GİRİŞ!$E$27="","",IF(OR(NOT(ISNUMBER(E125)),NOT(ISNUMBER(E130))),"",E125+E130))</f>
        <v/>
      </c>
      <c r="F132" s="37" t="inlineStr">
        <is>
          <t>%</t>
        </is>
      </c>
      <c r="G132" s="3" t="inlineStr"/>
    </row>
    <row r="133">
      <c r="A133" s="28" t="inlineStr">
        <is>
          <t>εmax</t>
        </is>
      </c>
      <c r="B133" s="29" t="inlineStr">
        <is>
          <t>:</t>
        </is>
      </c>
      <c r="C133" s="30" t="inlineStr">
        <is>
          <t>İzin verilen gerilim düşümü</t>
        </is>
      </c>
      <c r="D133" s="29" t="inlineStr">
        <is>
          <t>=</t>
        </is>
      </c>
      <c r="E133" s="63">
        <f>IF(GİRİŞ!$E$27="","",GİRİŞ!$C$8)</f>
        <v/>
      </c>
      <c r="F133" s="30" t="inlineStr">
        <is>
          <t>%</t>
        </is>
      </c>
      <c r="G133" s="3" t="inlineStr">
        <is>
          <t>GİRİŞ</t>
        </is>
      </c>
    </row>
    <row r="134">
      <c r="C134" s="37" t="inlineStr">
        <is>
          <t>KONTROL      ε  ≤  εmax</t>
        </is>
      </c>
      <c r="E134" s="28">
        <f>IF(GİRİŞ!$E$27="","",IF(NOT(ISNUMBER(E132)),"GİRDİ HATALI",IF(E132&lt;=GİRİŞ!$C$8,"UYGUN","UYGUN DEĞİL — kesiti büyütün")))</f>
        <v/>
      </c>
    </row>
    <row r="135" ht="21" customHeight="1">
      <c r="A135" s="3" t="inlineStr">
        <is>
          <t>Aydınlatma ve priz devrelerinde izin verilen gerilim düşümü %1,5'tir;  bu devrelerin uç noktalara kadar düşümü uygulama projesinde kontrol edilecektir.</t>
        </is>
      </c>
    </row>
    <row r="136">
      <c r="C136" s="34" t="inlineStr">
        <is>
          <t>I   =   P1   /   ( √3 · U · cosφ )                  ( hat akımı )</t>
        </is>
      </c>
    </row>
    <row r="137">
      <c r="C137" s="35">
        <f>IF(GİRİŞ!$E$27="","","=   "&amp;ROUND(E121,0)&amp;"   /   ( 1,73 · "&amp;ROUND(GİRİŞ!$C$6,0)&amp;" · "&amp;ROUND(SABİTLER!$C$35,2)&amp;" )")</f>
        <v/>
      </c>
      <c r="E137" s="36">
        <f>IF(GİRİŞ!$E$27="","",IF(OR(GİRİŞ!$C$6&lt;=0,SABİTLER!$C$35&lt;=0),"",E121/(SQRT(3)*GİRİŞ!$C$6*SABİTLER!$C$35)))</f>
        <v/>
      </c>
      <c r="F137" s="37" t="inlineStr">
        <is>
          <t>A</t>
        </is>
      </c>
      <c r="G137" s="3" t="inlineStr"/>
    </row>
    <row r="138">
      <c r="A138" s="28" t="inlineStr">
        <is>
          <t>Iz</t>
        </is>
      </c>
      <c r="B138" s="29" t="inlineStr">
        <is>
          <t>:</t>
        </is>
      </c>
      <c r="C138" s="30" t="inlineStr">
        <is>
          <t>Kablonun akım taşıma kapasitesi</t>
        </is>
      </c>
      <c r="D138" s="29" t="inlineStr">
        <is>
          <t>=</t>
        </is>
      </c>
      <c r="E138" s="61">
        <f>IF(GİRİŞ!$E$27="","",IFERROR(INDEX(TABLOLAR!$B$53:$B$64,MATCH(E123,TABLOLAR!$A$53:$A$64,0)),"tablo dışı"))</f>
        <v/>
      </c>
      <c r="F138" s="30" t="inlineStr">
        <is>
          <t>A</t>
        </is>
      </c>
      <c r="G138" s="3" t="inlineStr">
        <is>
          <t>TABLOLAR / IEC</t>
        </is>
      </c>
    </row>
    <row r="139">
      <c r="C139" s="37" t="inlineStr">
        <is>
          <t>KONTROL      I  ≤  Iz</t>
        </is>
      </c>
      <c r="E139" s="28">
        <f>IF(GİRİŞ!$E$27="","",IF(OR(NOT(ISNUMBER(E138)),NOT(ISNUMBER(E137))),"KESİT TABLO DIŞI",IF(E137&lt;=E138,"UYGUN","UYGUN DEĞİL — kesiti büyütün")))</f>
        <v/>
      </c>
    </row>
    <row r="140">
      <c r="A140" s="41">
        <f>IF(GİRİŞ!$E$27="","",IF(OR(GİRİŞ!$E$48="",NOT(ISNUMBER(E132)),NOT(ISNUMBER(E137))),"","Seçilen kablo :   "&amp;ROUND(E123,2)&amp;" mm²  "&amp;GİRİŞ!$E$48&amp;"   —   "&amp;IF(AND(E132&lt;=GİRİŞ!$C$8,E137&lt;=E138),"uygundur.","UYGUN DEĞİLDİR.")))</f>
        <v/>
      </c>
      <c r="B140" s="58" t="n"/>
      <c r="C140" s="58" t="n"/>
      <c r="D140" s="58" t="n"/>
      <c r="E140" s="58" t="n"/>
      <c r="F140" s="58" t="n"/>
      <c r="G140" s="59" t="n"/>
    </row>
  </sheetData>
  <mergeCells count="65">
    <mergeCell ref="C131:G131"/>
    <mergeCell ref="C92:D92"/>
    <mergeCell ref="C83:G83"/>
    <mergeCell ref="C24:D24"/>
    <mergeCell ref="A135:G135"/>
    <mergeCell ref="C30:D30"/>
    <mergeCell ref="E139:F139"/>
    <mergeCell ref="A116:G116"/>
    <mergeCell ref="A140:G140"/>
    <mergeCell ref="A62:G62"/>
    <mergeCell ref="A100:G100"/>
    <mergeCell ref="C14:D14"/>
    <mergeCell ref="A38:G38"/>
    <mergeCell ref="C89:D89"/>
    <mergeCell ref="A42:G42"/>
    <mergeCell ref="C74:G74"/>
    <mergeCell ref="C26:D26"/>
    <mergeCell ref="A19:G19"/>
    <mergeCell ref="C88:G88"/>
    <mergeCell ref="C29:G29"/>
    <mergeCell ref="C35:G35"/>
    <mergeCell ref="C47:G47"/>
    <mergeCell ref="A77:G77"/>
    <mergeCell ref="C25:G25"/>
    <mergeCell ref="C137:D137"/>
    <mergeCell ref="C44:D44"/>
    <mergeCell ref="C55:G55"/>
    <mergeCell ref="C75:D75"/>
    <mergeCell ref="C40:D40"/>
    <mergeCell ref="C84:D84"/>
    <mergeCell ref="A98:G98"/>
    <mergeCell ref="C124:G124"/>
    <mergeCell ref="C129:G129"/>
    <mergeCell ref="C56:D56"/>
    <mergeCell ref="C136:G136"/>
    <mergeCell ref="A1:G1"/>
    <mergeCell ref="C43:G43"/>
    <mergeCell ref="A79:G79"/>
    <mergeCell ref="C95:G95"/>
    <mergeCell ref="C130:D130"/>
    <mergeCell ref="C51:G51"/>
    <mergeCell ref="C36:D36"/>
    <mergeCell ref="C71:G71"/>
    <mergeCell ref="A54:G54"/>
    <mergeCell ref="C132:D132"/>
    <mergeCell ref="C52:D52"/>
    <mergeCell ref="C23:G23"/>
    <mergeCell ref="C39:G39"/>
    <mergeCell ref="C48:D48"/>
    <mergeCell ref="A108:G108"/>
    <mergeCell ref="C110:G110"/>
    <mergeCell ref="A46:G46"/>
    <mergeCell ref="C91:G91"/>
    <mergeCell ref="C125:D125"/>
    <mergeCell ref="E16:F16"/>
    <mergeCell ref="A18:G18"/>
    <mergeCell ref="C72:D72"/>
    <mergeCell ref="C67:D67"/>
    <mergeCell ref="A3:G3"/>
    <mergeCell ref="E134:F134"/>
    <mergeCell ref="A50:G50"/>
    <mergeCell ref="C66:G66"/>
    <mergeCell ref="C96:D96"/>
    <mergeCell ref="C13:G13"/>
    <mergeCell ref="A5:G5"/>
  </mergeCells>
  <conditionalFormatting sqref="A3:G3">
    <cfRule type="expression" priority="1" dxfId="2">
      <formula>LEFT($A$3,3)="!!!"</formula>
    </cfRule>
  </conditionalFormatting>
  <conditionalFormatting sqref="E16:F16">
    <cfRule type="expression" priority="2" dxfId="0">
      <formula>ISNUMBER(SEARCH("UYGUN DEĞİL",$E$16))</formula>
    </cfRule>
    <cfRule type="expression" priority="3" dxfId="1">
      <formula>AND(ISNUMBER(SEARCH("UYGUN",$E$16)),NOT(ISNUMBER(SEARCH("DEĞİL",$E$16))))</formula>
    </cfRule>
  </conditionalFormatting>
  <conditionalFormatting sqref="E134:F134">
    <cfRule type="expression" priority="4" dxfId="0">
      <formula>ISNUMBER(SEARCH("UYGUN DEĞİL",$E$134))</formula>
    </cfRule>
    <cfRule type="expression" priority="5" dxfId="1">
      <formula>AND(ISNUMBER(SEARCH("UYGUN",$E$134)),NOT(ISNUMBER(SEARCH("DEĞİL",$E$134))))</formula>
    </cfRule>
  </conditionalFormatting>
  <conditionalFormatting sqref="E139:F139">
    <cfRule type="expression" priority="6" dxfId="0">
      <formula>ISNUMBER(SEARCH("UYGUN DEĞİL",$E$139))</formula>
    </cfRule>
    <cfRule type="expression" priority="7" dxfId="1">
      <formula>AND(ISNUMBER(SEARCH("UYGUN",$E$139)),NOT(ISNUMBER(SEARCH("DEĞİL",$E$139))))</formula>
    </cfRule>
  </conditionalFormatting>
  <printOptions horizontalCentered="1"/>
  <pageMargins left="0.4" right="0.4" top="0.5" bottom="0.5" header="0.5" footer="0.5"/>
  <pageSetup orientation="portrait" fitToHeight="0" fitToWidth="1"/>
  <rowBreaks count="3" manualBreakCount="3">
    <brk id="17" min="0" max="16383" man="1"/>
    <brk id="61" min="0" max="16383" man="1"/>
    <brk id="99" min="0" max="16383" man="1"/>
  </rowBreaks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14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" customWidth="1" min="2" max="2"/>
    <col width="51" customWidth="1" min="3" max="3"/>
    <col width="2" customWidth="1" min="4" max="4"/>
    <col width="13" customWidth="1" min="5" max="5"/>
    <col width="10" customWidth="1" min="6" max="6"/>
    <col width="14" customWidth="1" min="7" max="7"/>
  </cols>
  <sheetData>
    <row r="1" ht="22" customHeight="1">
      <c r="A1" s="1" t="inlineStr">
        <is>
          <t>4 NOLU ASANSÖR   —   AVAN PROJE HESAPLARI</t>
        </is>
      </c>
      <c r="B1" s="58" t="n"/>
      <c r="C1" s="58" t="n"/>
      <c r="D1" s="58" t="n"/>
      <c r="E1" s="58" t="n"/>
      <c r="F1" s="58" t="n"/>
      <c r="G1" s="59" t="n"/>
    </row>
    <row r="3">
      <c r="A3" s="28">
        <f>IF(GİRİŞ!$F$27&lt;&gt;"",IF(GİRİŞ!$F$23="","","Asansör tanımı :   "&amp;GİRİŞ!$F$23),IF(GİRİŞ!$F$24="","!!!   BU ASANSÖR GİRİŞ SAYFASINDA TANIMLANMAMIŞ   —   hesaplar boştur   !!!","!!!   KAPASİTE TABLO-7 DIŞI   —   GİRİŞ sayfasında  'Anma yükü — elle'  satırını doldurun   !!!"))</f>
        <v/>
      </c>
    </row>
    <row r="5" ht="18" customHeight="1">
      <c r="A5" s="4" t="inlineStr">
        <is>
          <t xml:space="preserve">  1 -   MOTOR GÜCÜ HESABI                                    ( MMO / 697  —  s.21 )</t>
        </is>
      </c>
      <c r="B5" s="58" t="n"/>
      <c r="C5" s="58" t="n"/>
      <c r="D5" s="58" t="n"/>
      <c r="E5" s="58" t="n"/>
      <c r="F5" s="58" t="n"/>
      <c r="G5" s="59" t="n"/>
    </row>
    <row r="6">
      <c r="A6" s="28" t="inlineStr">
        <is>
          <t>Q</t>
        </is>
      </c>
      <c r="B6" s="29" t="inlineStr">
        <is>
          <t>:</t>
        </is>
      </c>
      <c r="C6" s="30" t="inlineStr">
        <is>
          <t>Anma yükü</t>
        </is>
      </c>
      <c r="D6" s="29" t="inlineStr">
        <is>
          <t>=</t>
        </is>
      </c>
      <c r="E6" s="31">
        <f>IF(GİRİŞ!$F$27="","",GİRİŞ!$F$27)</f>
        <v/>
      </c>
      <c r="F6" s="30" t="inlineStr">
        <is>
          <t>kg</t>
        </is>
      </c>
      <c r="G6" s="3" t="inlineStr">
        <is>
          <t>GİRİŞ</t>
        </is>
      </c>
    </row>
    <row r="7">
      <c r="A7" s="28" t="inlineStr">
        <is>
          <t>V</t>
        </is>
      </c>
      <c r="B7" s="29" t="inlineStr">
        <is>
          <t>:</t>
        </is>
      </c>
      <c r="C7" s="30" t="inlineStr">
        <is>
          <t>Kabin hızı</t>
        </is>
      </c>
      <c r="D7" s="29" t="inlineStr">
        <is>
          <t>=</t>
        </is>
      </c>
      <c r="E7" s="32">
        <f>IF(GİRİŞ!$F$27="","",GİRİŞ!$F$28)</f>
        <v/>
      </c>
      <c r="F7" s="30" t="inlineStr">
        <is>
          <t>m/s</t>
        </is>
      </c>
      <c r="G7" s="3" t="inlineStr">
        <is>
          <t>GİRİŞ</t>
        </is>
      </c>
    </row>
    <row r="8">
      <c r="A8" s="28" t="inlineStr">
        <is>
          <t>q</t>
        </is>
      </c>
      <c r="B8" s="29" t="inlineStr">
        <is>
          <t>:</t>
        </is>
      </c>
      <c r="C8" s="30" t="inlineStr">
        <is>
          <t>Denge faktörü  ( karşı ağırlığın dengelediği oran )</t>
        </is>
      </c>
      <c r="D8" s="29" t="inlineStr">
        <is>
          <t>=</t>
        </is>
      </c>
      <c r="E8" s="32">
        <f>IF(GİRİŞ!$F$27="","",IF(ISNUMBER(GİRİŞ!$F$54),GİRİŞ!$F$54,SABİTLER!$C$23))</f>
        <v/>
      </c>
      <c r="F8" s="30" t="inlineStr">
        <is>
          <t>—</t>
        </is>
      </c>
      <c r="G8" s="3">
        <f>IF(ISNUMBER(GİRİŞ!$F$54),"GİRİŞ — asansör bazında","SABİTLER B")</f>
        <v/>
      </c>
    </row>
    <row r="9">
      <c r="A9" s="28" t="inlineStr">
        <is>
          <t>i</t>
        </is>
      </c>
      <c r="B9" s="29" t="inlineStr">
        <is>
          <t>:</t>
        </is>
      </c>
      <c r="C9" s="30" t="inlineStr">
        <is>
          <t>Palanga ( askı ) katsayısı</t>
        </is>
      </c>
      <c r="D9" s="29" t="inlineStr">
        <is>
          <t>=</t>
        </is>
      </c>
      <c r="E9" s="33">
        <f>IF(GİRİŞ!$F$27="","",IF(ISNUMBER(GİRİŞ!$F$53),GİRİŞ!$F$53,SABİTLER!$C$22))</f>
        <v/>
      </c>
      <c r="F9" s="30" t="inlineStr">
        <is>
          <t>—</t>
        </is>
      </c>
      <c r="G9" s="3">
        <f>IF(ISNUMBER(GİRİŞ!$F$53),"GİRİŞ — asansör bazında","SABİTLER B")</f>
        <v/>
      </c>
    </row>
    <row r="10">
      <c r="A10" s="28" t="inlineStr">
        <is>
          <t>η</t>
        </is>
      </c>
      <c r="B10" s="29" t="inlineStr">
        <is>
          <t>:</t>
        </is>
      </c>
      <c r="C10" s="30" t="inlineStr">
        <is>
          <t>Makine verimi</t>
        </is>
      </c>
      <c r="D10" s="29" t="inlineStr">
        <is>
          <t>=</t>
        </is>
      </c>
      <c r="E10" s="32">
        <f>IF(GİRİŞ!$F$27="","",GİRİŞ!$F$29)</f>
        <v/>
      </c>
      <c r="F10" s="30" t="inlineStr">
        <is>
          <t>—</t>
        </is>
      </c>
      <c r="G10" s="3" t="inlineStr">
        <is>
          <t>GİRİŞ</t>
        </is>
      </c>
    </row>
    <row r="11">
      <c r="A11" s="28" t="inlineStr">
        <is>
          <t>η′</t>
        </is>
      </c>
      <c r="B11" s="29" t="inlineStr">
        <is>
          <t>:</t>
        </is>
      </c>
      <c r="C11" s="30">
        <f>IF(GİRİŞ!$F$27="","",IF(GİRİŞ!$F$56="Evet","Girilen değer TOPLAM sistem verimidir — palanga düşüşü uygulanmaz","Palangalı sistemde verim ( i &gt; 1 ise η − 0,10 )"))</f>
        <v/>
      </c>
      <c r="D11" s="29" t="inlineStr">
        <is>
          <t>=</t>
        </is>
      </c>
      <c r="E11" s="32">
        <f>IF(GİRİŞ!$F$27="","",IF(GİRİŞ!$F$56="Evet",GİRİŞ!$F$29,IF(IF(ISNUMBER(GİRİŞ!$F$53),GİRİŞ!$F$53,SABİTLER!$C$22)&gt;1,GİRİŞ!$F$29-SABİTLER!$C$11,GİRİŞ!$F$29)))</f>
        <v/>
      </c>
      <c r="F11" s="30" t="inlineStr">
        <is>
          <t>—</t>
        </is>
      </c>
      <c r="G11" s="3">
        <f>IF(GİRİŞ!$F$56="Evet","GİRİŞ — toplam sistem verimi","SABİTLER A  /  MMO/697 §2.4")</f>
        <v/>
      </c>
    </row>
    <row r="13">
      <c r="C13" s="34" t="inlineStr">
        <is>
          <t>N   =   ( 1 − q ) · Q · V   /   ( 102 · η′ )</t>
        </is>
      </c>
    </row>
    <row r="14">
      <c r="C14" s="35">
        <f>IF(GİRİŞ!$F$27="","","=   "&amp;IF(1-IF(ISNUMBER(GİRİŞ!$F$54),GİRİŞ!$F$54,SABİTLER!$C$23)&gt;=IF(ISNUMBER(GİRİŞ!$F$54),GİRİŞ!$F$54,SABİTLER!$C$23),"( 1 − "&amp;ROUND(IF(ISNUMBER(GİRİŞ!$F$54),GİRİŞ!$F$54,SABİTLER!$C$23),2)&amp;" )",ROUND(IF(ISNUMBER(GİRİŞ!$F$54),GİRİŞ!$F$54,SABİTLER!$C$23),2))&amp;" · "&amp;ROUND(GİRİŞ!$F$27,0)&amp;" · "&amp;ROUND(GİRİŞ!$F$28,2)&amp;"   /   ( 102 · "&amp;ROUND(E11,2)&amp;" )")</f>
        <v/>
      </c>
      <c r="E14" s="36">
        <f>IF(GİRİŞ!$F$27="","",IF(E11&lt;=0,"",MAX(1-IF(ISNUMBER(GİRİŞ!$F$54),GİRİŞ!$F$54,SABİTLER!$C$23),IF(ISNUMBER(GİRİŞ!$F$54),GİRİŞ!$F$54,SABİTLER!$C$23))*GİRİŞ!$F$27*GİRİŞ!$F$28/(SABİTLER!$C$10*E11)))</f>
        <v/>
      </c>
      <c r="F14" s="37" t="inlineStr">
        <is>
          <t>kW</t>
        </is>
      </c>
      <c r="G14" s="3" t="inlineStr">
        <is>
          <t>hesaplanan</t>
        </is>
      </c>
    </row>
    <row r="15">
      <c r="A15" s="28" t="inlineStr">
        <is>
          <t>Nsç</t>
        </is>
      </c>
      <c r="B15" s="29" t="inlineStr">
        <is>
          <t>:</t>
        </is>
      </c>
      <c r="C15" s="37" t="inlineStr">
        <is>
          <t>SEÇİLEN motor gücü</t>
        </is>
      </c>
      <c r="D15" s="29" t="inlineStr">
        <is>
          <t>=</t>
        </is>
      </c>
      <c r="E15" s="36">
        <f>IF(GİRİŞ!$F$27="","",GİRİŞ!$F$43)</f>
        <v/>
      </c>
      <c r="F15" s="37" t="inlineStr">
        <is>
          <t>kW</t>
        </is>
      </c>
      <c r="G15" s="3" t="inlineStr">
        <is>
          <t>GİRİŞ</t>
        </is>
      </c>
    </row>
    <row r="16">
      <c r="C16" s="37" t="inlineStr">
        <is>
          <t>KONTROL      Nsç  ≥  N</t>
        </is>
      </c>
      <c r="E16" s="28">
        <f>IF(GİRİŞ!$F$27="","",IF(NOT(ISNUMBER(E14)),"η GİRDİSİ HATALI",IF(GİRİŞ!$F$43&gt;=E14,"UYGUN","UYGUN DEĞİL — motoru büyütün")))</f>
        <v/>
      </c>
    </row>
    <row r="18" ht="18" customHeight="1">
      <c r="A18" s="4" t="inlineStr">
        <is>
          <t xml:space="preserve">  2 -   KUVVET HESAPLARI                                     ( MMO / 697  s.18-20   /   TS EN 81-20 )</t>
        </is>
      </c>
      <c r="B18" s="58" t="n"/>
      <c r="C18" s="58" t="n"/>
      <c r="D18" s="58" t="n"/>
      <c r="E18" s="58" t="n"/>
      <c r="F18" s="58" t="n"/>
      <c r="G18" s="59" t="n"/>
    </row>
    <row r="19">
      <c r="A19" s="16" t="inlineStr">
        <is>
          <t xml:space="preserve">        ORTAK BÜYÜKLÜKLER</t>
        </is>
      </c>
      <c r="B19" s="58" t="n"/>
      <c r="C19" s="58" t="n"/>
      <c r="D19" s="58" t="n"/>
      <c r="E19" s="58" t="n"/>
      <c r="F19" s="58" t="n"/>
      <c r="G19" s="59" t="n"/>
    </row>
    <row r="20">
      <c r="A20" s="28" t="inlineStr">
        <is>
          <t>gn</t>
        </is>
      </c>
      <c r="B20" s="29" t="inlineStr">
        <is>
          <t>:</t>
        </is>
      </c>
      <c r="C20" s="30" t="inlineStr">
        <is>
          <t>Yerçekimi ivmesi</t>
        </is>
      </c>
      <c r="D20" s="29" t="inlineStr">
        <is>
          <t>=</t>
        </is>
      </c>
      <c r="E20" s="32">
        <f>IF(GİRİŞ!$F$27="","",SABİTLER!$C$5)</f>
        <v/>
      </c>
      <c r="F20" s="30" t="inlineStr">
        <is>
          <t>m/s²</t>
        </is>
      </c>
      <c r="G20" s="3" t="inlineStr">
        <is>
          <t>SABİTLER A</t>
        </is>
      </c>
    </row>
    <row r="21">
      <c r="A21" s="28" t="inlineStr">
        <is>
          <t>Gk</t>
        </is>
      </c>
      <c r="B21" s="29" t="inlineStr">
        <is>
          <t>:</t>
        </is>
      </c>
      <c r="C21" s="30" t="inlineStr">
        <is>
          <t>Boş kabin kütlesi</t>
        </is>
      </c>
      <c r="D21" s="29" t="inlineStr">
        <is>
          <t>=</t>
        </is>
      </c>
      <c r="E21" s="31">
        <f>IF(GİRİŞ!$F$27="","",GİRİŞ!$F$38)</f>
        <v/>
      </c>
      <c r="F21" s="30" t="inlineStr">
        <is>
          <t>kg</t>
        </is>
      </c>
      <c r="G21" s="3" t="inlineStr">
        <is>
          <t>GİRİŞ</t>
        </is>
      </c>
    </row>
    <row r="22">
      <c r="A22" s="28" t="inlineStr">
        <is>
          <t>gf</t>
        </is>
      </c>
      <c r="B22" s="29" t="inlineStr">
        <is>
          <t>:</t>
        </is>
      </c>
      <c r="C22" s="30" t="inlineStr">
        <is>
          <t>Gezici kablo ( flexbil ) birim kütlesi</t>
        </is>
      </c>
      <c r="D22" s="29" t="inlineStr">
        <is>
          <t>=</t>
        </is>
      </c>
      <c r="E22" s="32">
        <f>IF(GİRİŞ!$F$27="","",SABİTLER!$C$25)</f>
        <v/>
      </c>
      <c r="F22" s="30" t="inlineStr">
        <is>
          <t>kg/m</t>
        </is>
      </c>
      <c r="G22" s="3" t="inlineStr">
        <is>
          <t>SABİTLER B</t>
        </is>
      </c>
    </row>
    <row r="23">
      <c r="C23" s="34" t="inlineStr">
        <is>
          <t>Gf   =   gf · ( Hk / 2  +  3 )              ( gezici kablo kütlesi )</t>
        </is>
      </c>
    </row>
    <row r="24">
      <c r="C24" s="35">
        <f>IF(GİRİŞ!$F$27="","","=   "&amp;ROUND(SABİTLER!$C$25,2)&amp;"  ·  ( "&amp;ROUND(GİRİŞ!$F$31,2)&amp;" / 2  +  3 )")</f>
        <v/>
      </c>
      <c r="E24" s="36">
        <f>IF(GİRİŞ!$F$27="","",SABİTLER!$C$25*(GİRİŞ!$F$31/2+SABİTLER!$C$19))</f>
        <v/>
      </c>
      <c r="F24" s="37" t="inlineStr">
        <is>
          <t>kg</t>
        </is>
      </c>
      <c r="G24" s="3" t="inlineStr"/>
    </row>
    <row r="25">
      <c r="C25" s="34" t="inlineStr">
        <is>
          <t>P    =   Gk  +  Gf                          ( kabin tarafından desteklenen toplam kütle )</t>
        </is>
      </c>
    </row>
    <row r="26">
      <c r="C26" s="35">
        <f>IF(GİRİŞ!$F$27="","","=   "&amp;ROUND(GİRİŞ!$F$38,0)&amp;"  +  "&amp;ROUND(E24,2))</f>
        <v/>
      </c>
      <c r="E26" s="36">
        <f>IF(GİRİŞ!$F$27="","",GİRİŞ!$F$38+E24)</f>
        <v/>
      </c>
      <c r="F26" s="37" t="inlineStr">
        <is>
          <t>kg</t>
        </is>
      </c>
      <c r="G26" s="3" t="inlineStr"/>
    </row>
    <row r="27">
      <c r="A27" s="28" t="inlineStr">
        <is>
          <t>Q</t>
        </is>
      </c>
      <c r="B27" s="29" t="inlineStr">
        <is>
          <t>:</t>
        </is>
      </c>
      <c r="C27" s="30" t="inlineStr">
        <is>
          <t>Anma yükü</t>
        </is>
      </c>
      <c r="D27" s="29" t="inlineStr">
        <is>
          <t>=</t>
        </is>
      </c>
      <c r="E27" s="31">
        <f>IF(GİRİŞ!$F$27="","",GİRİŞ!$F$27)</f>
        <v/>
      </c>
      <c r="F27" s="30" t="inlineStr">
        <is>
          <t>kg</t>
        </is>
      </c>
      <c r="G27" s="3" t="inlineStr">
        <is>
          <t>GİRİŞ</t>
        </is>
      </c>
    </row>
    <row r="28">
      <c r="A28" s="28" t="inlineStr">
        <is>
          <t>q</t>
        </is>
      </c>
      <c r="B28" s="29" t="inlineStr">
        <is>
          <t>:</t>
        </is>
      </c>
      <c r="C28" s="30" t="inlineStr">
        <is>
          <t>Denge faktörü</t>
        </is>
      </c>
      <c r="D28" s="29" t="inlineStr">
        <is>
          <t>=</t>
        </is>
      </c>
      <c r="E28" s="32">
        <f>IF(GİRİŞ!$F$27="","",IF(ISNUMBER(GİRİŞ!$F$54),GİRİŞ!$F$54,SABİTLER!$C$23))</f>
        <v/>
      </c>
      <c r="F28" s="30" t="inlineStr">
        <is>
          <t>—</t>
        </is>
      </c>
      <c r="G28" s="3">
        <f>IF(ISNUMBER(GİRİŞ!$F$54),"GİRİŞ — asansör bazında","SABİTLER B")</f>
        <v/>
      </c>
    </row>
    <row r="29">
      <c r="C29" s="34" t="inlineStr">
        <is>
          <t>Ga  =   P  +  q · Q                         ( karşı ağırlık kütlesi )</t>
        </is>
      </c>
    </row>
    <row r="30">
      <c r="C30" s="35">
        <f>IF(GİRİŞ!$F$27="","","=   "&amp;ROUND(E26,2)&amp;"  +  "&amp;ROUND(IF(ISNUMBER(GİRİŞ!$F$54),GİRİŞ!$F$54,SABİTLER!$C$23),2)&amp;" · "&amp;ROUND(GİRİŞ!$F$27,0))</f>
        <v/>
      </c>
      <c r="E30" s="36">
        <f>IF(GİRİŞ!$F$27="","",E26+IF(ISNUMBER(GİRİŞ!$F$54),GİRİŞ!$F$54,SABİTLER!$C$23)*GİRİŞ!$F$27)</f>
        <v/>
      </c>
      <c r="F30" s="37" t="inlineStr">
        <is>
          <t>kg</t>
        </is>
      </c>
      <c r="G30" s="3" t="inlineStr"/>
    </row>
    <row r="31" ht="21" customHeight="1">
      <c r="A31" s="28" t="inlineStr">
        <is>
          <t>k1</t>
        </is>
      </c>
      <c r="B31" s="29" t="inlineStr">
        <is>
          <t>:</t>
        </is>
      </c>
      <c r="C31" s="30" t="inlineStr">
        <is>
          <t>Darbe faktörü   ( V &gt; 1 → 2  /  V &gt; 0,63 → 3  /  V ≤ 0,63 → 5 )</t>
        </is>
      </c>
      <c r="D31" s="29" t="inlineStr">
        <is>
          <t>=</t>
        </is>
      </c>
      <c r="E31" s="33">
        <f>IF(GİRİŞ!$F$27="","",IF(GİRİŞ!$F$28&gt;1,SABİTLER!$C$7,IF(GİRİŞ!$F$28&gt;0.63,SABİTLER!$C$8,SABİTLER!$C$9)))</f>
        <v/>
      </c>
      <c r="F31" s="30" t="inlineStr">
        <is>
          <t>—</t>
        </is>
      </c>
      <c r="G31" s="3" t="inlineStr">
        <is>
          <t>SABİTLER A  /  MMO/697 Çiz-1</t>
        </is>
      </c>
    </row>
    <row r="32">
      <c r="A32" s="28" t="inlineStr">
        <is>
          <t>n</t>
        </is>
      </c>
      <c r="B32" s="29" t="inlineStr">
        <is>
          <t>:</t>
        </is>
      </c>
      <c r="C32" s="30" t="inlineStr">
        <is>
          <t>Kabin kılavuz ray sayısı</t>
        </is>
      </c>
      <c r="D32" s="29" t="inlineStr">
        <is>
          <t>=</t>
        </is>
      </c>
      <c r="E32" s="33">
        <f>IF(GİRİŞ!$F$27="","",SABİTLER!$C$24)</f>
        <v/>
      </c>
      <c r="F32" s="30" t="inlineStr">
        <is>
          <t>adet</t>
        </is>
      </c>
      <c r="G32" s="3" t="inlineStr">
        <is>
          <t>SABİTLER B</t>
        </is>
      </c>
    </row>
    <row r="33">
      <c r="A33" s="28" t="inlineStr">
        <is>
          <t>gr</t>
        </is>
      </c>
      <c r="B33" s="29" t="inlineStr">
        <is>
          <t>:</t>
        </is>
      </c>
      <c r="C33" s="30" t="inlineStr">
        <is>
          <t>1 m kılavuz rayın kütlesi</t>
        </is>
      </c>
      <c r="D33" s="29" t="inlineStr">
        <is>
          <t>=</t>
        </is>
      </c>
      <c r="E33" s="32">
        <f>IF(GİRİŞ!$F$27="","",GİRİŞ!$F$39)</f>
        <v/>
      </c>
      <c r="F33" s="30" t="inlineStr">
        <is>
          <t>kg/m</t>
        </is>
      </c>
      <c r="G33" s="3" t="inlineStr">
        <is>
          <t>GİRİŞ</t>
        </is>
      </c>
    </row>
    <row r="34">
      <c r="A34" s="28" t="inlineStr">
        <is>
          <t>Lr</t>
        </is>
      </c>
      <c r="B34" s="29" t="inlineStr">
        <is>
          <t>:</t>
        </is>
      </c>
      <c r="C34" s="30" t="inlineStr">
        <is>
          <t>Kılavuz ray uzunluğu   ( Hk − 0,20 )</t>
        </is>
      </c>
      <c r="D34" s="29" t="inlineStr">
        <is>
          <t>=</t>
        </is>
      </c>
      <c r="E34" s="32">
        <f>IF(GİRİŞ!$F$27="","",GİRİŞ!$F$31-SABİTLER!$C$18)</f>
        <v/>
      </c>
      <c r="F34" s="30" t="inlineStr">
        <is>
          <t>m</t>
        </is>
      </c>
      <c r="G34" s="3" t="inlineStr"/>
    </row>
    <row r="35">
      <c r="C35" s="34" t="inlineStr">
        <is>
          <t>Mg  =   Lr · gr                             ( bir kılavuz ray hattının kütlesi )</t>
        </is>
      </c>
    </row>
    <row r="36">
      <c r="C36" s="35">
        <f>IF(GİRİŞ!$F$27="","","=   "&amp;ROUND(E34,2)&amp;"  ·  "&amp;ROUND(GİRİŞ!$F$39,2))</f>
        <v/>
      </c>
      <c r="E36" s="36">
        <f>IF(GİRİŞ!$F$27="","",E34*GİRİŞ!$F$39)</f>
        <v/>
      </c>
      <c r="F36" s="37" t="inlineStr">
        <is>
          <t>kg</t>
        </is>
      </c>
      <c r="G36" s="3" t="inlineStr"/>
    </row>
    <row r="38">
      <c r="A38" s="16" t="inlineStr">
        <is>
          <t xml:space="preserve">    A -   KUYU ALT BOŞLUĞU TABANINA GELEN KUVVET  ( kabin tamponu altı )</t>
        </is>
      </c>
      <c r="B38" s="58" t="n"/>
      <c r="C38" s="58" t="n"/>
      <c r="D38" s="58" t="n"/>
      <c r="E38" s="58" t="n"/>
      <c r="F38" s="58" t="n"/>
      <c r="G38" s="59" t="n"/>
    </row>
    <row r="39">
      <c r="C39" s="34" t="inlineStr">
        <is>
          <t>P1  =   4 · gn · ( P  +  Q )</t>
        </is>
      </c>
    </row>
    <row r="40">
      <c r="C40" s="35">
        <f>IF(GİRİŞ!$F$27="","","=   "&amp;ROUND(SABİTLER!$C$6,0)&amp;"  ·  "&amp;ROUND(SABİTLER!$C$5,2)&amp;"  ·  ( "&amp;ROUND(E26,2)&amp;"  +  "&amp;ROUND(GİRİŞ!$F$27,0)&amp;" )")</f>
        <v/>
      </c>
      <c r="E40" s="38">
        <f>IF(GİRİŞ!$F$27="","",CEILING(SABİTLER!$C$6*SABİTLER!$C$5*(E26+GİRİŞ!$F$27),10))</f>
        <v/>
      </c>
      <c r="F40" s="37" t="inlineStr">
        <is>
          <t>N</t>
        </is>
      </c>
      <c r="G40" s="3" t="inlineStr"/>
    </row>
    <row r="42">
      <c r="A42" s="16" t="inlineStr">
        <is>
          <t xml:space="preserve">    B -   KARŞI AĞIRLIK TAMPONU ALTINDAKİ ZEMİNE GELEN KUVVET</t>
        </is>
      </c>
      <c r="B42" s="58" t="n"/>
      <c r="C42" s="58" t="n"/>
      <c r="D42" s="58" t="n"/>
      <c r="E42" s="58" t="n"/>
      <c r="F42" s="58" t="n"/>
      <c r="G42" s="59" t="n"/>
    </row>
    <row r="43">
      <c r="C43" s="34" t="inlineStr">
        <is>
          <t>P2  =   4 · gn · ( P  +  q · Q )   =   4 · gn · Ga</t>
        </is>
      </c>
    </row>
    <row r="44">
      <c r="C44" s="35">
        <f>IF(GİRİŞ!$F$27="","","=   "&amp;ROUND(SABİTLER!$C$6,0)&amp;"  ·  "&amp;ROUND(SABİTLER!$C$5,2)&amp;"  ·  "&amp;ROUND(E30,2))</f>
        <v/>
      </c>
      <c r="E44" s="38">
        <f>IF(GİRİŞ!$F$27="","",CEILING(SABİTLER!$C$6*SABİTLER!$C$5*E30,10))</f>
        <v/>
      </c>
      <c r="F44" s="37" t="inlineStr">
        <is>
          <t>N</t>
        </is>
      </c>
      <c r="G44" s="3" t="inlineStr"/>
    </row>
    <row r="46">
      <c r="A46" s="16" t="inlineStr">
        <is>
          <t xml:space="preserve">    C -   KABİN KILAVUZ RAYLARINA GELEN DÜŞEY KUVVET</t>
        </is>
      </c>
      <c r="B46" s="58" t="n"/>
      <c r="C46" s="58" t="n"/>
      <c r="D46" s="58" t="n"/>
      <c r="E46" s="58" t="n"/>
      <c r="F46" s="58" t="n"/>
      <c r="G46" s="59" t="n"/>
    </row>
    <row r="47">
      <c r="C47" s="34" t="inlineStr">
        <is>
          <t>PR  =   k1 · gn · ( P  +  Q ) / n   +   Mg · gn</t>
        </is>
      </c>
    </row>
    <row r="48">
      <c r="C48" s="35">
        <f>IF(GİRİŞ!$F$27="","","=   "&amp;ROUND(E31,0)&amp;" · "&amp;ROUND(SABİTLER!$C$5,2)&amp;" · ( "&amp;ROUND(E26,2)&amp;" + "&amp;ROUND(GİRİŞ!$F$27,0)&amp;" ) / "&amp;ROUND(E32,0)&amp;"   +   "&amp;ROUND(E36,2)&amp;" · "&amp;ROUND(SABİTLER!$C$5,2))</f>
        <v/>
      </c>
      <c r="E48" s="38">
        <f>IF(GİRİŞ!$F$27="","",CEILING(E31*SABİTLER!$C$5*(E26+GİRİŞ!$F$27)/E32+E36*SABİTLER!$C$5,10))</f>
        <v/>
      </c>
      <c r="F48" s="37" t="inlineStr">
        <is>
          <t>N</t>
        </is>
      </c>
      <c r="G48" s="3" t="inlineStr"/>
    </row>
    <row r="50">
      <c r="A50" s="16" t="inlineStr">
        <is>
          <t xml:space="preserve">    D -   KARŞI AĞIRLIK KILAVUZ RAYLARINA GELEN DÜŞEY KUVVET</t>
        </is>
      </c>
      <c r="B50" s="58" t="n"/>
      <c r="C50" s="58" t="n"/>
      <c r="D50" s="58" t="n"/>
      <c r="E50" s="58" t="n"/>
      <c r="F50" s="58" t="n"/>
      <c r="G50" s="59" t="n"/>
    </row>
    <row r="51">
      <c r="C51" s="34" t="inlineStr">
        <is>
          <t>PK  =   k1 · gn · Ga / n   +   Mg · gn</t>
        </is>
      </c>
    </row>
    <row r="52">
      <c r="C52" s="35">
        <f>IF(GİRİŞ!$F$27="","","=   "&amp;ROUND(E31,0)&amp;" · "&amp;ROUND(SABİTLER!$C$5,2)&amp;" · "&amp;ROUND(E30,2)&amp;" / "&amp;ROUND(E32,0)&amp;"   +   "&amp;ROUND(E36,2)&amp;" · "&amp;ROUND(SABİTLER!$C$5,2))</f>
        <v/>
      </c>
      <c r="E52" s="38">
        <f>IF(GİRİŞ!$F$27="","",CEILING(E31*SABİTLER!$C$5*E30/E32+E36*SABİTLER!$C$5,10))</f>
        <v/>
      </c>
      <c r="F52" s="37" t="inlineStr">
        <is>
          <t>N</t>
        </is>
      </c>
      <c r="G52" s="3" t="inlineStr"/>
    </row>
    <row r="54">
      <c r="A54" s="16" t="inlineStr">
        <is>
          <t xml:space="preserve">    E -   KUYU ÜSTÜ BETONUNA ETKİ EDEN KUVVET</t>
        </is>
      </c>
      <c r="B54" s="58" t="n"/>
      <c r="C54" s="58" t="n"/>
      <c r="D54" s="58" t="n"/>
      <c r="E54" s="58" t="n"/>
      <c r="F54" s="58" t="n"/>
      <c r="G54" s="59" t="n"/>
    </row>
    <row r="55">
      <c r="C55" s="34" t="inlineStr">
        <is>
          <t>Fs  =   gn · ( Fmk  +  Fsh  +  Fmt  +  P  +  Q  +  Ga )</t>
        </is>
      </c>
    </row>
    <row r="56">
      <c r="C56" s="35">
        <f>IF(GİRİŞ!$F$27="","","=   "&amp;ROUND(SABİTLER!$C$5,2)&amp;" · ( "&amp;ROUND(GİRİŞ!$F$40,0)&amp;" + "&amp;ROUND(GİRİŞ!$F$41,0)&amp;" + "&amp;ROUND(SABİTLER!$C$26,0)&amp;" + "&amp;ROUND(E26,2)&amp;" + "&amp;ROUND(GİRİŞ!$F$27,0)&amp;" + "&amp;ROUND(E30,2)&amp;" )")</f>
        <v/>
      </c>
      <c r="E56" s="38">
        <f>IF(GİRİŞ!$F$27="","",CEILING(SABİTLER!$C$5*(GİRİŞ!$F$40+GİRİŞ!$F$41+SABİTLER!$C$26+E26+GİRİŞ!$F$27+E30),10))</f>
        <v/>
      </c>
      <c r="F56" s="37" t="inlineStr">
        <is>
          <t>N</t>
        </is>
      </c>
      <c r="G56" s="3" t="inlineStr"/>
    </row>
    <row r="58">
      <c r="C58" s="20" t="inlineStr">
        <is>
          <t>PR ve PK, MMO/697 §2.3.3 formülündeki  Mg · gn  ray kütlesi terimini içerir  ( kitabın §4.3 örnek hesabı bu terimi ihmal etmiştir ).</t>
        </is>
      </c>
    </row>
    <row r="59">
      <c r="C59" s="20" t="inlineStr">
        <is>
          <t>Kılavuz ray uzunluğu 40 m'yi aşarsa halat / kompanzasyon kuvveti Fp uygulama projesinde ayrıca hesaplanır  ( MMO/697 s.20 ).</t>
        </is>
      </c>
    </row>
    <row r="60">
      <c r="C60" s="20" t="inlineStr">
        <is>
          <t>Karşı ağırlıkta paraşüt ( fren ) bulunması hâlinde PK dikkate alınır.</t>
        </is>
      </c>
    </row>
    <row r="62" ht="18" customHeight="1">
      <c r="A62" s="4" t="inlineStr">
        <is>
          <t xml:space="preserve">  3 -   KABİN AYDINLATMA HESABI                                        ( TS EN 81-20 )</t>
        </is>
      </c>
      <c r="B62" s="58" t="n"/>
      <c r="C62" s="58" t="n"/>
      <c r="D62" s="58" t="n"/>
      <c r="E62" s="58" t="n"/>
      <c r="F62" s="58" t="n"/>
      <c r="G62" s="59" t="n"/>
    </row>
    <row r="63">
      <c r="A63" s="28" t="inlineStr">
        <is>
          <t>a</t>
        </is>
      </c>
      <c r="B63" s="29" t="inlineStr">
        <is>
          <t>:</t>
        </is>
      </c>
      <c r="C63" s="30" t="inlineStr">
        <is>
          <t>Kabin boyu</t>
        </is>
      </c>
      <c r="D63" s="29" t="inlineStr">
        <is>
          <t>=</t>
        </is>
      </c>
      <c r="E63" s="32">
        <f>IF(GİRİŞ!$F$27="","",GİRİŞ!$F$33/1000)</f>
        <v/>
      </c>
      <c r="F63" s="30" t="inlineStr">
        <is>
          <t>m</t>
        </is>
      </c>
      <c r="G63" s="3" t="inlineStr">
        <is>
          <t>GİRİŞ</t>
        </is>
      </c>
    </row>
    <row r="64">
      <c r="A64" s="28" t="inlineStr">
        <is>
          <t>b</t>
        </is>
      </c>
      <c r="B64" s="29" t="inlineStr">
        <is>
          <t>:</t>
        </is>
      </c>
      <c r="C64" s="30" t="inlineStr">
        <is>
          <t>Kabin genişliği</t>
        </is>
      </c>
      <c r="D64" s="29" t="inlineStr">
        <is>
          <t>=</t>
        </is>
      </c>
      <c r="E64" s="32">
        <f>IF(GİRİŞ!$F$27="","",GİRİŞ!$F$34/1000)</f>
        <v/>
      </c>
      <c r="F64" s="30" t="inlineStr">
        <is>
          <t>m</t>
        </is>
      </c>
      <c r="G64" s="3" t="inlineStr">
        <is>
          <t>GİRİŞ</t>
        </is>
      </c>
    </row>
    <row r="65">
      <c r="A65" s="28" t="inlineStr">
        <is>
          <t>h</t>
        </is>
      </c>
      <c r="B65" s="29" t="inlineStr">
        <is>
          <t>:</t>
        </is>
      </c>
      <c r="C65" s="30" t="inlineStr">
        <is>
          <t>Armatür ile çalışma düzlemi arasındaki yükseklik</t>
        </is>
      </c>
      <c r="D65" s="29" t="inlineStr">
        <is>
          <t>=</t>
        </is>
      </c>
      <c r="E65" s="32">
        <f>IF(GİRİŞ!$F$27="","",SABİTLER!$C$17)</f>
        <v/>
      </c>
      <c r="F65" s="30" t="inlineStr">
        <is>
          <t>m</t>
        </is>
      </c>
      <c r="G65" s="3" t="inlineStr">
        <is>
          <t>SABİTLER A</t>
        </is>
      </c>
    </row>
    <row r="66">
      <c r="C66" s="34" t="inlineStr">
        <is>
          <t>k   =   a · b   /   ( h · ( a + b ) )                ( bölge indeksi )</t>
        </is>
      </c>
    </row>
    <row r="67">
      <c r="C67" s="35">
        <f>IF(GİRİŞ!$F$27="","","=   "&amp;ROUND(E63,2)&amp;" · "&amp;ROUND(E64,2)&amp;"   /   ( "&amp;ROUND(E65,2)&amp;" · ( "&amp;ROUND(E63,2)&amp;" + "&amp;ROUND(E64,2)&amp;" ) )")</f>
        <v/>
      </c>
      <c r="E67" s="36">
        <f>IF(GİRİŞ!$F$27="","",E63*E64/(E65*(E63+E64)))</f>
        <v/>
      </c>
      <c r="F67" s="37" t="inlineStr">
        <is>
          <t>—</t>
        </is>
      </c>
      <c r="G67" s="3" t="inlineStr"/>
    </row>
    <row r="68">
      <c r="A68" s="28" t="inlineStr">
        <is>
          <t>η</t>
        </is>
      </c>
      <c r="B68" s="29" t="inlineStr">
        <is>
          <t>:</t>
        </is>
      </c>
      <c r="C68" s="30" t="inlineStr">
        <is>
          <t>Oda aydınlatma verimi</t>
        </is>
      </c>
      <c r="D68" s="29" t="inlineStr">
        <is>
          <t>=</t>
        </is>
      </c>
      <c r="E68" s="32">
        <f>IF(GİRİŞ!$F$27="","",IFERROR(INDEX(TABLOLAR!$B$8:$K$17,MATCH(MAX(E67,TABLOLAR!$A$8),TABLOLAR!$A$8:$A$17,1),TABLOLAR!$B$19),""))</f>
        <v/>
      </c>
      <c r="F68" s="30" t="inlineStr">
        <is>
          <t>—</t>
        </is>
      </c>
      <c r="G68" s="3" t="inlineStr">
        <is>
          <t>TABLOLAR T2</t>
        </is>
      </c>
    </row>
    <row r="69">
      <c r="A69" s="28" t="inlineStr">
        <is>
          <t>E</t>
        </is>
      </c>
      <c r="B69" s="29" t="inlineStr">
        <is>
          <t>:</t>
        </is>
      </c>
      <c r="C69" s="30" t="inlineStr">
        <is>
          <t>Asgari aydınlatma şiddeti</t>
        </is>
      </c>
      <c r="D69" s="29" t="inlineStr">
        <is>
          <t>=</t>
        </is>
      </c>
      <c r="E69" s="33">
        <f>IF(GİRİŞ!$F$27="","",SABİTLER!$C$14)</f>
        <v/>
      </c>
      <c r="F69" s="30" t="inlineStr">
        <is>
          <t>lüx</t>
        </is>
      </c>
      <c r="G69" s="3" t="inlineStr">
        <is>
          <t>SABİTLER A</t>
        </is>
      </c>
    </row>
    <row r="70">
      <c r="A70" s="28" t="inlineStr">
        <is>
          <t>d</t>
        </is>
      </c>
      <c r="B70" s="29" t="inlineStr">
        <is>
          <t>:</t>
        </is>
      </c>
      <c r="C70" s="30" t="inlineStr">
        <is>
          <t>Kirlenme ( bakım ) faktörü</t>
        </is>
      </c>
      <c r="D70" s="29" t="inlineStr">
        <is>
          <t>=</t>
        </is>
      </c>
      <c r="E70" s="32">
        <f>IF(GİRİŞ!$F$27="","",SABİTLER!$C$12)</f>
        <v/>
      </c>
      <c r="F70" s="30" t="inlineStr">
        <is>
          <t>—</t>
        </is>
      </c>
      <c r="G70" s="3" t="inlineStr">
        <is>
          <t>SABİTLER A</t>
        </is>
      </c>
    </row>
    <row r="71">
      <c r="C71" s="34" t="inlineStr">
        <is>
          <t>T   =   E · a · b · d   /   η                        ( gerekli toplam ışık akısı )</t>
        </is>
      </c>
    </row>
    <row r="72">
      <c r="C72" s="35">
        <f>IF(GİRİŞ!$F$27="","","=   "&amp;ROUND(E69,0)&amp;" · "&amp;ROUND(E63,2)&amp;" · "&amp;ROUND(E64,2)&amp;" · "&amp;ROUND(E70,2)&amp;"   /   "&amp;ROUND(E68,2))</f>
        <v/>
      </c>
      <c r="E72" s="39">
        <f>IF(GİRİŞ!$F$27="","",IFERROR(E69*E63*E64*E70/E68,""))</f>
        <v/>
      </c>
      <c r="F72" s="37" t="inlineStr">
        <is>
          <t>lm</t>
        </is>
      </c>
      <c r="G72" s="3" t="inlineStr"/>
    </row>
    <row r="73">
      <c r="A73" s="28" t="inlineStr">
        <is>
          <t>ØL</t>
        </is>
      </c>
      <c r="B73" s="29" t="inlineStr">
        <is>
          <t>:</t>
        </is>
      </c>
      <c r="C73" s="30" t="inlineStr">
        <is>
          <t>Bir armatürün ışık akısı</t>
        </is>
      </c>
      <c r="D73" s="29" t="inlineStr">
        <is>
          <t>=</t>
        </is>
      </c>
      <c r="E73" s="31">
        <f>IF(GİRİŞ!$F$27="","",SABİTLER!$C$28)</f>
        <v/>
      </c>
      <c r="F73" s="30" t="inlineStr">
        <is>
          <t>lm</t>
        </is>
      </c>
      <c r="G73" s="3" t="inlineStr">
        <is>
          <t>SABİTLER B</t>
        </is>
      </c>
    </row>
    <row r="74">
      <c r="C74" s="34" t="inlineStr">
        <is>
          <t>Z   =   T   /   ØL                                   ( hesaplanan armatür sayısı )</t>
        </is>
      </c>
    </row>
    <row r="75">
      <c r="C75" s="35">
        <f>IF(GİRİŞ!$F$27="","","=   "&amp;ROUND(E72,2)&amp;"   /   "&amp;ROUND(E73,0))</f>
        <v/>
      </c>
      <c r="E75" s="36">
        <f>IF(GİRİŞ!$F$27="","",IFERROR(E72/E73,""))</f>
        <v/>
      </c>
      <c r="F75" s="37" t="inlineStr">
        <is>
          <t>adet</t>
        </is>
      </c>
      <c r="G75" s="3" t="inlineStr"/>
    </row>
    <row r="76">
      <c r="A76" s="28" t="inlineStr">
        <is>
          <t>n</t>
        </is>
      </c>
      <c r="B76" s="29" t="inlineStr">
        <is>
          <t>:</t>
        </is>
      </c>
      <c r="C76" s="37" t="inlineStr">
        <is>
          <t>SEÇİLEN armatür sayısı   ( Z yukarı yuvarlanır )</t>
        </is>
      </c>
      <c r="D76" s="29" t="inlineStr">
        <is>
          <t>=</t>
        </is>
      </c>
      <c r="E76" s="40">
        <f>IF(GİRİŞ!$F$27="","",IFERROR(ROUNDUP(E75,0),""))</f>
        <v/>
      </c>
      <c r="F76" s="37" t="inlineStr">
        <is>
          <t>adet</t>
        </is>
      </c>
      <c r="G76" s="3" t="inlineStr"/>
    </row>
    <row r="77">
      <c r="A77" s="41">
        <f>IF(GİRİŞ!$F$27="","",IF(E76="","","SONUÇ  :    "&amp;E76&amp;"  adet  "&amp;SABİTLER!$C$27&amp;" W  armatür  kullanılacaktır."))</f>
        <v/>
      </c>
      <c r="B77" s="58" t="n"/>
      <c r="C77" s="58" t="n"/>
      <c r="D77" s="58" t="n"/>
      <c r="E77" s="58" t="n"/>
      <c r="F77" s="58" t="n"/>
      <c r="G77" s="59" t="n"/>
    </row>
    <row r="79" ht="18" customHeight="1">
      <c r="A79" s="4" t="inlineStr">
        <is>
          <t xml:space="preserve">  4 -   KUYU AYDINLATMA HESABI                                        ( TS EN 81-20 )</t>
        </is>
      </c>
      <c r="B79" s="58" t="n"/>
      <c r="C79" s="58" t="n"/>
      <c r="D79" s="58" t="n"/>
      <c r="E79" s="58" t="n"/>
      <c r="F79" s="58" t="n"/>
      <c r="G79" s="59" t="n"/>
    </row>
    <row r="80">
      <c r="A80" s="28" t="inlineStr">
        <is>
          <t>a</t>
        </is>
      </c>
      <c r="B80" s="29" t="inlineStr">
        <is>
          <t>:</t>
        </is>
      </c>
      <c r="C80" s="30" t="inlineStr">
        <is>
          <t>Kuyu yüksekliği  ( kuyu boyu )</t>
        </is>
      </c>
      <c r="D80" s="29" t="inlineStr">
        <is>
          <t>=</t>
        </is>
      </c>
      <c r="E80" s="32">
        <f>IF(GİRİŞ!$F$27="","",GİRİŞ!$F$31)</f>
        <v/>
      </c>
      <c r="F80" s="30" t="inlineStr">
        <is>
          <t>m</t>
        </is>
      </c>
      <c r="G80" s="3" t="inlineStr">
        <is>
          <t>GİRİŞ</t>
        </is>
      </c>
    </row>
    <row r="81">
      <c r="A81" s="28" t="inlineStr">
        <is>
          <t>b</t>
        </is>
      </c>
      <c r="B81" s="29" t="inlineStr">
        <is>
          <t>:</t>
        </is>
      </c>
      <c r="C81" s="30" t="inlineStr">
        <is>
          <t>Kuyu genişliği</t>
        </is>
      </c>
      <c r="D81" s="29" t="inlineStr">
        <is>
          <t>=</t>
        </is>
      </c>
      <c r="E81" s="32">
        <f>IF(GİRİŞ!$F$27="","",GİRİŞ!$F$32/1000)</f>
        <v/>
      </c>
      <c r="F81" s="30" t="inlineStr">
        <is>
          <t>m</t>
        </is>
      </c>
      <c r="G81" s="3" t="inlineStr">
        <is>
          <t>GİRİŞ</t>
        </is>
      </c>
    </row>
    <row r="82">
      <c r="A82" s="28" t="inlineStr">
        <is>
          <t>h</t>
        </is>
      </c>
      <c r="B82" s="29" t="inlineStr">
        <is>
          <t>:</t>
        </is>
      </c>
      <c r="C82" s="30" t="inlineStr">
        <is>
          <t>Armatür ile çalışma düzlemi arasındaki yükseklik</t>
        </is>
      </c>
      <c r="D82" s="29" t="inlineStr">
        <is>
          <t>=</t>
        </is>
      </c>
      <c r="E82" s="32">
        <f>IF(GİRİŞ!$F$27="","",SABİTLER!$C$17)</f>
        <v/>
      </c>
      <c r="F82" s="30" t="inlineStr">
        <is>
          <t>m</t>
        </is>
      </c>
      <c r="G82" s="3" t="inlineStr">
        <is>
          <t>SABİTLER A</t>
        </is>
      </c>
    </row>
    <row r="83">
      <c r="C83" s="34" t="inlineStr">
        <is>
          <t>k   =   a · b   /   ( h · ( a + b ) )                ( bölge indeksi )</t>
        </is>
      </c>
    </row>
    <row r="84">
      <c r="C84" s="35">
        <f>IF(GİRİŞ!$F$27="","","=   "&amp;ROUND(E80,2)&amp;" · "&amp;ROUND(E81,2)&amp;"   /   ( "&amp;ROUND(E82,2)&amp;" · ( "&amp;ROUND(E80,2)&amp;" + "&amp;ROUND(E81,2)&amp;" ) )")</f>
        <v/>
      </c>
      <c r="E84" s="36">
        <f>IF(GİRİŞ!$F$27="","",E80*E81/(E82*(E80+E81)))</f>
        <v/>
      </c>
      <c r="F84" s="37" t="inlineStr">
        <is>
          <t>—</t>
        </is>
      </c>
      <c r="G84" s="3" t="inlineStr"/>
    </row>
    <row r="85">
      <c r="A85" s="28" t="inlineStr">
        <is>
          <t>η</t>
        </is>
      </c>
      <c r="B85" s="29" t="inlineStr">
        <is>
          <t>:</t>
        </is>
      </c>
      <c r="C85" s="30" t="inlineStr">
        <is>
          <t>Oda aydınlatma verimi</t>
        </is>
      </c>
      <c r="D85" s="29" t="inlineStr">
        <is>
          <t>=</t>
        </is>
      </c>
      <c r="E85" s="32">
        <f>IF(GİRİŞ!$F$27="","",IFERROR(INDEX(TABLOLAR!$B$8:$K$17,MATCH(MAX(E84,TABLOLAR!$A$8),TABLOLAR!$A$8:$A$17,1),TABLOLAR!$B$19),""))</f>
        <v/>
      </c>
      <c r="F85" s="30" t="inlineStr">
        <is>
          <t>—</t>
        </is>
      </c>
      <c r="G85" s="3" t="inlineStr">
        <is>
          <t>TABLOLAR T2</t>
        </is>
      </c>
    </row>
    <row r="86">
      <c r="A86" s="28" t="inlineStr">
        <is>
          <t>E</t>
        </is>
      </c>
      <c r="B86" s="29" t="inlineStr">
        <is>
          <t>:</t>
        </is>
      </c>
      <c r="C86" s="30" t="inlineStr">
        <is>
          <t>Asgari aydınlatma şiddeti</t>
        </is>
      </c>
      <c r="D86" s="29" t="inlineStr">
        <is>
          <t>=</t>
        </is>
      </c>
      <c r="E86" s="33">
        <f>IF(GİRİŞ!$F$27="","",SABİTLER!$C$15)</f>
        <v/>
      </c>
      <c r="F86" s="30" t="inlineStr">
        <is>
          <t>lüx</t>
        </is>
      </c>
      <c r="G86" s="3" t="inlineStr">
        <is>
          <t>SABİTLER A</t>
        </is>
      </c>
    </row>
    <row r="87">
      <c r="A87" s="28" t="inlineStr">
        <is>
          <t>d</t>
        </is>
      </c>
      <c r="B87" s="29" t="inlineStr">
        <is>
          <t>:</t>
        </is>
      </c>
      <c r="C87" s="30" t="inlineStr">
        <is>
          <t>Kirlenme ( bakım ) faktörü</t>
        </is>
      </c>
      <c r="D87" s="29" t="inlineStr">
        <is>
          <t>=</t>
        </is>
      </c>
      <c r="E87" s="32">
        <f>IF(GİRİŞ!$F$27="","",SABİTLER!$C$12)</f>
        <v/>
      </c>
      <c r="F87" s="30" t="inlineStr">
        <is>
          <t>—</t>
        </is>
      </c>
      <c r="G87" s="3" t="inlineStr">
        <is>
          <t>SABİTLER A</t>
        </is>
      </c>
    </row>
    <row r="88">
      <c r="C88" s="34" t="inlineStr">
        <is>
          <t>T   =   E · a · b · d   /   η                        ( gerekli toplam ışık akısı )</t>
        </is>
      </c>
    </row>
    <row r="89">
      <c r="C89" s="35">
        <f>IF(GİRİŞ!$F$27="","","=   "&amp;ROUND(E86,0)&amp;" · "&amp;ROUND(E80,2)&amp;" · "&amp;ROUND(E81,2)&amp;" · "&amp;ROUND(E87,2)&amp;"   /   "&amp;ROUND(E85,2))</f>
        <v/>
      </c>
      <c r="E89" s="39">
        <f>IF(GİRİŞ!$F$27="","",IFERROR(E86*E80*E81*E87/E85,""))</f>
        <v/>
      </c>
      <c r="F89" s="37" t="inlineStr">
        <is>
          <t>lm</t>
        </is>
      </c>
      <c r="G89" s="3" t="inlineStr"/>
    </row>
    <row r="90">
      <c r="A90" s="28" t="inlineStr">
        <is>
          <t>ØL</t>
        </is>
      </c>
      <c r="B90" s="29" t="inlineStr">
        <is>
          <t>:</t>
        </is>
      </c>
      <c r="C90" s="30" t="inlineStr">
        <is>
          <t>Bir armatürün ışık akısı</t>
        </is>
      </c>
      <c r="D90" s="29" t="inlineStr">
        <is>
          <t>=</t>
        </is>
      </c>
      <c r="E90" s="31">
        <f>IF(GİRİŞ!$F$27="","",SABİTLER!$C$31)</f>
        <v/>
      </c>
      <c r="F90" s="30" t="inlineStr">
        <is>
          <t>lm</t>
        </is>
      </c>
      <c r="G90" s="3" t="inlineStr">
        <is>
          <t>SABİTLER B</t>
        </is>
      </c>
    </row>
    <row r="91">
      <c r="C91" s="34" t="inlineStr">
        <is>
          <t>Z   =   T   /   ØL                                   ( hesaplanan armatür sayısı )</t>
        </is>
      </c>
    </row>
    <row r="92">
      <c r="C92" s="35">
        <f>IF(GİRİŞ!$F$27="","","=   "&amp;ROUND(E89,2)&amp;"   /   "&amp;ROUND(E90,0))</f>
        <v/>
      </c>
      <c r="E92" s="36">
        <f>IF(GİRİŞ!$F$27="","",IFERROR(E89/E90,""))</f>
        <v/>
      </c>
      <c r="F92" s="37" t="inlineStr">
        <is>
          <t>adet</t>
        </is>
      </c>
      <c r="G92" s="3" t="inlineStr"/>
    </row>
    <row r="93">
      <c r="A93" s="28" t="inlineStr">
        <is>
          <t>n1</t>
        </is>
      </c>
      <c r="B93" s="29" t="inlineStr">
        <is>
          <t>:</t>
        </is>
      </c>
      <c r="C93" s="30" t="inlineStr">
        <is>
          <t>Işık akısından  =  ROUNDUP( Z ) + 2   ( kuyu dibi + üstü )</t>
        </is>
      </c>
      <c r="D93" s="29" t="inlineStr">
        <is>
          <t>=</t>
        </is>
      </c>
      <c r="E93" s="33">
        <f>IF(GİRİŞ!$F$27="","",IFERROR(ROUNDUP(E92,0)+SABİTLER!$C$16,""))</f>
        <v/>
      </c>
      <c r="F93" s="30" t="inlineStr">
        <is>
          <t>adet</t>
        </is>
      </c>
      <c r="G93" s="3" t="inlineStr">
        <is>
          <t>SABİTLER A</t>
        </is>
      </c>
    </row>
    <row r="94">
      <c r="A94" s="28" t="inlineStr">
        <is>
          <t>Dmax</t>
        </is>
      </c>
      <c r="B94" s="29" t="inlineStr">
        <is>
          <t>:</t>
        </is>
      </c>
      <c r="C94" s="30" t="inlineStr">
        <is>
          <t>Armatürler arası azami aralık</t>
        </is>
      </c>
      <c r="D94" s="29" t="inlineStr">
        <is>
          <t>=</t>
        </is>
      </c>
      <c r="E94" s="32">
        <f>IF(GİRİŞ!$F$27="","",SABİTLER!$C$32)</f>
        <v/>
      </c>
      <c r="F94" s="30" t="inlineStr">
        <is>
          <t>m</t>
        </is>
      </c>
      <c r="G94" s="3" t="inlineStr">
        <is>
          <t>SABİTLER B</t>
        </is>
      </c>
    </row>
    <row r="95">
      <c r="C95" s="34" t="inlineStr">
        <is>
          <t>n2  =   ROUNDUP( ( Hk − 1 ) / Dmax )  +  1      ( geometrik asgari adet )</t>
        </is>
      </c>
    </row>
    <row r="96">
      <c r="C96" s="35">
        <f>IF(GİRİŞ!$F$27="","",IF(E94&lt;=0,"—   ( aralık kontrolü kapalı )","=   ROUNDUP( ( "&amp;ROUND(GİRİŞ!$F$31,2)&amp;" − 1 ) / "&amp;ROUND(E94,2)&amp;" )  +  1"))</f>
        <v/>
      </c>
      <c r="E96" s="40">
        <f>IF(GİRİŞ!$F$27="","",IF(E94&lt;=0,0,ROUNDUP((GİRİŞ!$F$31-1)/E94,0)+1))</f>
        <v/>
      </c>
      <c r="F96" s="37" t="inlineStr">
        <is>
          <t>adet</t>
        </is>
      </c>
      <c r="G96" s="3" t="inlineStr"/>
    </row>
    <row r="97">
      <c r="A97" s="28" t="inlineStr">
        <is>
          <t>n</t>
        </is>
      </c>
      <c r="B97" s="29" t="inlineStr">
        <is>
          <t>:</t>
        </is>
      </c>
      <c r="C97" s="37" t="inlineStr">
        <is>
          <t>SEÇİLEN armatür sayısı   =   MAX ( n1 ; n2 )</t>
        </is>
      </c>
      <c r="D97" s="29" t="inlineStr">
        <is>
          <t>=</t>
        </is>
      </c>
      <c r="E97" s="40">
        <f>IF(GİRİŞ!$F$27="","",IFERROR(MAX(E93,E96),""))</f>
        <v/>
      </c>
      <c r="F97" s="37" t="inlineStr">
        <is>
          <t>adet</t>
        </is>
      </c>
      <c r="G97" s="3" t="inlineStr"/>
    </row>
    <row r="98">
      <c r="A98" s="41">
        <f>IF(GİRİŞ!$F$27="","",IF(E97="","","SONUÇ  :    "&amp;E97&amp;"  adet  "&amp;SABİTLER!$C$30&amp;" W  armatür  kullanılacaktır."))</f>
        <v/>
      </c>
      <c r="B98" s="58" t="n"/>
      <c r="C98" s="58" t="n"/>
      <c r="D98" s="58" t="n"/>
      <c r="E98" s="58" t="n"/>
      <c r="F98" s="58" t="n"/>
      <c r="G98" s="59" t="n"/>
    </row>
    <row r="100" ht="18" customHeight="1">
      <c r="A100" s="4" t="inlineStr">
        <is>
          <t xml:space="preserve">  5 -   KURULU GÜÇ CETVELİ                                   ( tablo adı :  TAS4 )</t>
        </is>
      </c>
      <c r="B100" s="58" t="n"/>
      <c r="C100" s="58" t="n"/>
      <c r="D100" s="58" t="n"/>
      <c r="E100" s="58" t="n"/>
      <c r="F100" s="58" t="n"/>
      <c r="G100" s="59" t="n"/>
    </row>
    <row r="101">
      <c r="A101" s="6" t="inlineStr">
        <is>
          <t>Lin</t>
        </is>
      </c>
      <c r="B101" s="6" t="inlineStr"/>
      <c r="C101" s="42" t="inlineStr">
        <is>
          <t xml:space="preserve">  Sorti</t>
        </is>
      </c>
      <c r="D101" s="6" t="inlineStr"/>
      <c r="E101" s="6" t="inlineStr">
        <is>
          <t>Gücü</t>
        </is>
      </c>
      <c r="F101" s="6" t="inlineStr">
        <is>
          <t>Birim</t>
        </is>
      </c>
      <c r="G101" s="6" t="inlineStr">
        <is>
          <t>Sigorta A</t>
        </is>
      </c>
    </row>
    <row r="102">
      <c r="A102" s="43">
        <f>IF(GİRİŞ!$F$27="","",1)</f>
        <v/>
      </c>
      <c r="B102" s="29">
        <f>IF(GİRİŞ!$F$27="","",":")</f>
        <v/>
      </c>
      <c r="C102" s="30">
        <f>IF(GİRİŞ!$F$27="","","MOTOR")</f>
        <v/>
      </c>
      <c r="D102" s="29">
        <f>IF(GİRİŞ!$F$27="","","=")</f>
        <v/>
      </c>
      <c r="E102" s="31">
        <f>IF(GİRİŞ!$F$27="","",GİRİŞ!$F$43*1000/SABİTLER!$C$39)</f>
        <v/>
      </c>
      <c r="F102" s="30">
        <f>IF(GİRİŞ!$F$27="","","W")</f>
        <v/>
      </c>
      <c r="G102" s="44" t="inlineStr">
        <is>
          <t>4 x 25</t>
        </is>
      </c>
    </row>
    <row r="103">
      <c r="A103" s="43">
        <f>IF(GİRİŞ!$F$27="","",2)</f>
        <v/>
      </c>
      <c r="B103" s="29">
        <f>IF(GİRİŞ!$F$27="","",":")</f>
        <v/>
      </c>
      <c r="C103" s="30">
        <f>IF(GİRİŞ!$F$27="","","KUYU AYDINLATMASI          ( "&amp;'4 NOLU ASANSÖR'!E97&amp;" X "&amp;SABİTLER!$C$30&amp;" W )")</f>
        <v/>
      </c>
      <c r="D103" s="29">
        <f>IF(GİRİŞ!$F$27="","","=")</f>
        <v/>
      </c>
      <c r="E103" s="31">
        <f>IF(GİRİŞ!$F$27="","",'4 NOLU ASANSÖR'!E97*SABİTLER!$C$30)</f>
        <v/>
      </c>
      <c r="F103" s="30">
        <f>IF(GİRİŞ!$F$27="","","W")</f>
        <v/>
      </c>
      <c r="G103" s="44" t="inlineStr">
        <is>
          <t>10</t>
        </is>
      </c>
    </row>
    <row r="104">
      <c r="A104" s="43">
        <f>IF(GİRİŞ!$F$27="","",3)</f>
        <v/>
      </c>
      <c r="B104" s="29">
        <f>IF(GİRİŞ!$F$27="","",":")</f>
        <v/>
      </c>
      <c r="C104" s="30">
        <f>IF(GİRİŞ!$F$27="","","KABİN + KABİN ÜSTÜ AYD.     ( "&amp;'4 NOLU ASANSÖR'!E76&amp;" X "&amp;SABİTLER!$C$27&amp;" W  +  "&amp;SABİTLER!$C$29&amp;" X "&amp;SABİTLER!$C$27&amp;" W )")</f>
        <v/>
      </c>
      <c r="D104" s="29">
        <f>IF(GİRİŞ!$F$27="","","=")</f>
        <v/>
      </c>
      <c r="E104" s="31">
        <f>IF(GİRİŞ!$F$27="","",('4 NOLU ASANSÖR'!E76+SABİTLER!$C$29)*SABİTLER!$C$27)</f>
        <v/>
      </c>
      <c r="F104" s="30">
        <f>IF(GİRİŞ!$F$27="","","W")</f>
        <v/>
      </c>
      <c r="G104" s="44" t="inlineStr">
        <is>
          <t>10</t>
        </is>
      </c>
    </row>
    <row r="105">
      <c r="A105" s="43">
        <f>IF(GİRİŞ!$F$27="","",4)</f>
        <v/>
      </c>
      <c r="B105" s="29">
        <f>IF(GİRİŞ!$F$27="","",":")</f>
        <v/>
      </c>
      <c r="C105" s="30">
        <f>IF(GİRİŞ!$F$27="","","TOPLAM PRİZ          ( "&amp;SABİTLER!$C$33&amp;" X "&amp;SABİTLER!$C$34&amp;" W )")</f>
        <v/>
      </c>
      <c r="D105" s="29">
        <f>IF(GİRİŞ!$F$27="","","=")</f>
        <v/>
      </c>
      <c r="E105" s="31">
        <f>IF(GİRİŞ!$F$27="","",SABİTLER!$C$33*SABİTLER!$C$34)</f>
        <v/>
      </c>
      <c r="F105" s="30">
        <f>IF(GİRİŞ!$F$27="","","W")</f>
        <v/>
      </c>
      <c r="G105" s="44" t="inlineStr">
        <is>
          <t>16</t>
        </is>
      </c>
    </row>
    <row r="106">
      <c r="C106" s="37" t="inlineStr">
        <is>
          <t>ASANSÖRÜN KURULU GÜCÜ</t>
        </is>
      </c>
      <c r="D106" s="29">
        <f>IF(GİRİŞ!$F$27="","","=")</f>
        <v/>
      </c>
      <c r="E106" s="38">
        <f>IF(GİRİŞ!$F$27="","",SUM(E102:E105))</f>
        <v/>
      </c>
      <c r="F106" s="37">
        <f>IF(GİRİŞ!$F$27="","","W")</f>
        <v/>
      </c>
    </row>
    <row r="108" ht="18" customHeight="1">
      <c r="A108" s="4" t="inlineStr">
        <is>
          <t xml:space="preserve">  6 -   GERİLİM DÜŞÜMÜ VE KESİT KONTROLÜ</t>
        </is>
      </c>
      <c r="B108" s="58" t="n"/>
      <c r="C108" s="58" t="n"/>
      <c r="D108" s="58" t="n"/>
      <c r="E108" s="58" t="n"/>
      <c r="F108" s="58" t="n"/>
      <c r="G108" s="59" t="n"/>
    </row>
    <row r="110">
      <c r="C110" s="37" t="inlineStr">
        <is>
          <t>ε %  =  100 · P · L  /  ( κ · S · U² )          I  =  P  /  ( √3 · U · cosφ )</t>
        </is>
      </c>
    </row>
    <row r="116">
      <c r="A116" s="20" t="inlineStr">
        <is>
          <t>Kolon hattı asansörün TOPLAM kurulu gücünü ( motor + aydınlatma + priz ) taşır;  makine besleme hattı yalnız motoru besler.  Her iki hatta da motorun ŞEBEKEDEN ÇEKTİĞİ güç ( Pşeb = Nsç / ηm ) akar — Nsç mil gücüdür.</t>
        </is>
      </c>
    </row>
    <row r="118">
      <c r="A118" s="28" t="inlineStr">
        <is>
          <t>U</t>
        </is>
      </c>
      <c r="B118" s="29" t="inlineStr">
        <is>
          <t>:</t>
        </is>
      </c>
      <c r="C118" s="30" t="inlineStr">
        <is>
          <t>Şebeke gerilimi ( fazlar arası )</t>
        </is>
      </c>
      <c r="D118" s="29" t="inlineStr">
        <is>
          <t>=</t>
        </is>
      </c>
      <c r="E118" s="33">
        <f>IF(GİRİŞ!$F$27="","",GİRİŞ!$C$6)</f>
        <v/>
      </c>
      <c r="F118" s="30" t="inlineStr">
        <is>
          <t>V</t>
        </is>
      </c>
      <c r="G118" s="3" t="inlineStr">
        <is>
          <t>GİRİŞ</t>
        </is>
      </c>
    </row>
    <row r="119">
      <c r="A119" s="28" t="inlineStr">
        <is>
          <t>cosφ</t>
        </is>
      </c>
      <c r="B119" s="29" t="inlineStr">
        <is>
          <t>:</t>
        </is>
      </c>
      <c r="C119" s="30" t="inlineStr">
        <is>
          <t>Güç katsayısı</t>
        </is>
      </c>
      <c r="D119" s="29" t="inlineStr">
        <is>
          <t>=</t>
        </is>
      </c>
      <c r="E119" s="32">
        <f>IF(GİRİŞ!$F$27="","",SABİTLER!$C$35)</f>
        <v/>
      </c>
      <c r="F119" s="30" t="inlineStr">
        <is>
          <t>—</t>
        </is>
      </c>
      <c r="G119" s="3" t="inlineStr">
        <is>
          <t>SABİTLER B</t>
        </is>
      </c>
    </row>
    <row r="120">
      <c r="A120" s="28" t="inlineStr">
        <is>
          <t>κ</t>
        </is>
      </c>
      <c r="B120" s="29" t="inlineStr">
        <is>
          <t>:</t>
        </is>
      </c>
      <c r="C120" s="30" t="inlineStr">
        <is>
          <t>İletken iletkenliği</t>
        </is>
      </c>
      <c r="D120" s="29" t="inlineStr">
        <is>
          <t>=</t>
        </is>
      </c>
      <c r="E120" s="33">
        <f>IF(GİRİŞ!$F$27="","",GİRİŞ!$C$7)</f>
        <v/>
      </c>
      <c r="F120" s="30" t="inlineStr">
        <is>
          <t>m/Ω·mm²</t>
        </is>
      </c>
      <c r="G120" s="3" t="inlineStr">
        <is>
          <t>GİRİŞ</t>
        </is>
      </c>
    </row>
    <row r="121">
      <c r="A121" s="28" t="inlineStr">
        <is>
          <t>P1</t>
        </is>
      </c>
      <c r="B121" s="29" t="inlineStr">
        <is>
          <t>:</t>
        </is>
      </c>
      <c r="C121" s="30" t="inlineStr">
        <is>
          <t>Asansörün toplam kurulu gücü</t>
        </is>
      </c>
      <c r="D121" s="29" t="inlineStr">
        <is>
          <t>=</t>
        </is>
      </c>
      <c r="E121" s="31">
        <f>IF(GİRİŞ!$F$27="","",E106)</f>
        <v/>
      </c>
      <c r="F121" s="30" t="inlineStr">
        <is>
          <t>W</t>
        </is>
      </c>
      <c r="G121" s="3" t="inlineStr">
        <is>
          <t>yukarıdan</t>
        </is>
      </c>
    </row>
    <row r="122">
      <c r="A122" s="28" t="inlineStr">
        <is>
          <t>L1</t>
        </is>
      </c>
      <c r="B122" s="29" t="inlineStr">
        <is>
          <t>:</t>
        </is>
      </c>
      <c r="C122" s="30" t="inlineStr">
        <is>
          <t>Kolon hattı uzunluğu</t>
        </is>
      </c>
      <c r="D122" s="29" t="inlineStr">
        <is>
          <t>=</t>
        </is>
      </c>
      <c r="E122" s="32">
        <f>IF(GİRİŞ!$F$27="","",GİRİŞ!$F$45)</f>
        <v/>
      </c>
      <c r="F122" s="30" t="inlineStr">
        <is>
          <t>m</t>
        </is>
      </c>
      <c r="G122" s="3" t="inlineStr">
        <is>
          <t>GİRİŞ</t>
        </is>
      </c>
    </row>
    <row r="123">
      <c r="A123" s="28" t="inlineStr">
        <is>
          <t>S1</t>
        </is>
      </c>
      <c r="B123" s="29" t="inlineStr">
        <is>
          <t>:</t>
        </is>
      </c>
      <c r="C123" s="30" t="inlineStr">
        <is>
          <t>Kolon hattı kesiti</t>
        </is>
      </c>
      <c r="D123" s="29" t="inlineStr">
        <is>
          <t>=</t>
        </is>
      </c>
      <c r="E123" s="61">
        <f>IF(GİRİŞ!$F$27="","",GİRİŞ!$F$44)</f>
        <v/>
      </c>
      <c r="F123" s="30" t="inlineStr">
        <is>
          <t>mm²</t>
        </is>
      </c>
      <c r="G123" s="3" t="inlineStr">
        <is>
          <t>GİRİŞ</t>
        </is>
      </c>
    </row>
    <row r="124">
      <c r="C124" s="34" t="inlineStr">
        <is>
          <t>ε1  =   100 · P1 · L1   /   ( κ · S1 · U² )</t>
        </is>
      </c>
    </row>
    <row r="125">
      <c r="C125" s="35">
        <f>IF(GİRİŞ!$F$27="","","=   100 · "&amp;ROUND(E121,0)&amp;" · "&amp;ROUND(E122,2)&amp;"   /   ( "&amp;ROUND(GİRİŞ!$C$7,0)&amp;" · "&amp;ROUND(E123,2)&amp;" · "&amp;ROUND(GİRİŞ!$C$6,0)&amp;"² )")</f>
        <v/>
      </c>
      <c r="E125" s="62">
        <f>IF(GİRİŞ!$F$27="","",IF(OR(GİRİŞ!$C$7&lt;=0,E123&lt;=0,GİRİŞ!$C$6&lt;=0),"",100*E121*E122/(GİRİŞ!$C$7*E123*GİRİŞ!$C$6^2)))</f>
        <v/>
      </c>
      <c r="F125" s="37" t="inlineStr">
        <is>
          <t>%</t>
        </is>
      </c>
      <c r="G125" s="3" t="inlineStr">
        <is>
          <t>kolon hattı</t>
        </is>
      </c>
    </row>
    <row r="126">
      <c r="A126" s="28" t="inlineStr">
        <is>
          <t>P2</t>
        </is>
      </c>
      <c r="B126" s="29" t="inlineStr">
        <is>
          <t>:</t>
        </is>
      </c>
      <c r="C126" s="30" t="inlineStr">
        <is>
          <t>Makine besleme hattının gücü  ( = Pşeb )</t>
        </is>
      </c>
      <c r="D126" s="29" t="inlineStr">
        <is>
          <t>=</t>
        </is>
      </c>
      <c r="E126" s="31">
        <f>IF(GİRİŞ!$F$27="","",GİRİŞ!$F$43*1000/SABİTLER!$C$39)</f>
        <v/>
      </c>
      <c r="F126" s="30" t="inlineStr">
        <is>
          <t>W</t>
        </is>
      </c>
      <c r="G126" s="3" t="inlineStr">
        <is>
          <t>GİRİŞ</t>
        </is>
      </c>
    </row>
    <row r="127">
      <c r="A127" s="28" t="inlineStr">
        <is>
          <t>L2</t>
        </is>
      </c>
      <c r="B127" s="29" t="inlineStr">
        <is>
          <t>:</t>
        </is>
      </c>
      <c r="C127" s="30" t="inlineStr">
        <is>
          <t>Makine besleme uzunluğu</t>
        </is>
      </c>
      <c r="D127" s="29" t="inlineStr">
        <is>
          <t>=</t>
        </is>
      </c>
      <c r="E127" s="32">
        <f>IF(GİRİŞ!$F$27="","",GİRİŞ!$F$47)</f>
        <v/>
      </c>
      <c r="F127" s="30" t="inlineStr">
        <is>
          <t>m</t>
        </is>
      </c>
      <c r="G127" s="3" t="inlineStr">
        <is>
          <t>GİRİŞ</t>
        </is>
      </c>
    </row>
    <row r="128">
      <c r="A128" s="28" t="inlineStr">
        <is>
          <t>S2</t>
        </is>
      </c>
      <c r="B128" s="29" t="inlineStr">
        <is>
          <t>:</t>
        </is>
      </c>
      <c r="C128" s="30" t="inlineStr">
        <is>
          <t>Makine besleme kesiti</t>
        </is>
      </c>
      <c r="D128" s="29" t="inlineStr">
        <is>
          <t>=</t>
        </is>
      </c>
      <c r="E128" s="61">
        <f>IF(GİRİŞ!$F$27="","",GİRİŞ!$F$46)</f>
        <v/>
      </c>
      <c r="F128" s="30" t="inlineStr">
        <is>
          <t>mm²</t>
        </is>
      </c>
      <c r="G128" s="3" t="inlineStr">
        <is>
          <t>GİRİŞ</t>
        </is>
      </c>
    </row>
    <row r="129">
      <c r="C129" s="34" t="inlineStr">
        <is>
          <t>ε2  =   100 · P2 · L2   /   ( κ · S2 · U² )</t>
        </is>
      </c>
    </row>
    <row r="130">
      <c r="C130" s="35">
        <f>IF(GİRİŞ!$F$27="","","=   100 · "&amp;ROUND(E126,0)&amp;" · "&amp;ROUND(E127,2)&amp;"   /   ( "&amp;ROUND(GİRİŞ!$C$7,0)&amp;" · "&amp;ROUND(E128,2)&amp;" · "&amp;ROUND(GİRİŞ!$C$6,0)&amp;"² )")</f>
        <v/>
      </c>
      <c r="E130" s="62">
        <f>IF(GİRİŞ!$F$27="","",IF(OR(GİRİŞ!$C$7&lt;=0,E128&lt;=0,GİRİŞ!$C$6&lt;=0),"",100*E126*E127/(GİRİŞ!$C$7*E128*GİRİŞ!$C$6^2)))</f>
        <v/>
      </c>
      <c r="F130" s="37" t="inlineStr">
        <is>
          <t>%</t>
        </is>
      </c>
      <c r="G130" s="3" t="inlineStr">
        <is>
          <t>makine besleme</t>
        </is>
      </c>
    </row>
    <row r="131">
      <c r="C131" s="34" t="inlineStr">
        <is>
          <t>ε   =   ε1  +  ε2                                    ( toplam )</t>
        </is>
      </c>
    </row>
    <row r="132">
      <c r="C132" s="35">
        <f>IF(GİRİŞ!$F$27="","",IF(OR(NOT(ISNUMBER(E125)),NOT(ISNUMBER(E130))),"","=   "&amp;ROUND(E125,3)&amp;"  +  "&amp;ROUND(E130,3)))</f>
        <v/>
      </c>
      <c r="E132" s="62">
        <f>IF(GİRİŞ!$F$27="","",IF(OR(NOT(ISNUMBER(E125)),NOT(ISNUMBER(E130))),"",E125+E130))</f>
        <v/>
      </c>
      <c r="F132" s="37" t="inlineStr">
        <is>
          <t>%</t>
        </is>
      </c>
      <c r="G132" s="3" t="inlineStr"/>
    </row>
    <row r="133">
      <c r="A133" s="28" t="inlineStr">
        <is>
          <t>εmax</t>
        </is>
      </c>
      <c r="B133" s="29" t="inlineStr">
        <is>
          <t>:</t>
        </is>
      </c>
      <c r="C133" s="30" t="inlineStr">
        <is>
          <t>İzin verilen gerilim düşümü</t>
        </is>
      </c>
      <c r="D133" s="29" t="inlineStr">
        <is>
          <t>=</t>
        </is>
      </c>
      <c r="E133" s="63">
        <f>IF(GİRİŞ!$F$27="","",GİRİŞ!$C$8)</f>
        <v/>
      </c>
      <c r="F133" s="30" t="inlineStr">
        <is>
          <t>%</t>
        </is>
      </c>
      <c r="G133" s="3" t="inlineStr">
        <is>
          <t>GİRİŞ</t>
        </is>
      </c>
    </row>
    <row r="134">
      <c r="C134" s="37" t="inlineStr">
        <is>
          <t>KONTROL      ε  ≤  εmax</t>
        </is>
      </c>
      <c r="E134" s="28">
        <f>IF(GİRİŞ!$F$27="","",IF(NOT(ISNUMBER(E132)),"GİRDİ HATALI",IF(E132&lt;=GİRİŞ!$C$8,"UYGUN","UYGUN DEĞİL — kesiti büyütün")))</f>
        <v/>
      </c>
    </row>
    <row r="135" ht="21" customHeight="1">
      <c r="A135" s="3" t="inlineStr">
        <is>
          <t>Aydınlatma ve priz devrelerinde izin verilen gerilim düşümü %1,5'tir;  bu devrelerin uç noktalara kadar düşümü uygulama projesinde kontrol edilecektir.</t>
        </is>
      </c>
    </row>
    <row r="136">
      <c r="C136" s="34" t="inlineStr">
        <is>
          <t>I   =   P1   /   ( √3 · U · cosφ )                  ( hat akımı )</t>
        </is>
      </c>
    </row>
    <row r="137">
      <c r="C137" s="35">
        <f>IF(GİRİŞ!$F$27="","","=   "&amp;ROUND(E121,0)&amp;"   /   ( 1,73 · "&amp;ROUND(GİRİŞ!$C$6,0)&amp;" · "&amp;ROUND(SABİTLER!$C$35,2)&amp;" )")</f>
        <v/>
      </c>
      <c r="E137" s="36">
        <f>IF(GİRİŞ!$F$27="","",IF(OR(GİRİŞ!$C$6&lt;=0,SABİTLER!$C$35&lt;=0),"",E121/(SQRT(3)*GİRİŞ!$C$6*SABİTLER!$C$35)))</f>
        <v/>
      </c>
      <c r="F137" s="37" t="inlineStr">
        <is>
          <t>A</t>
        </is>
      </c>
      <c r="G137" s="3" t="inlineStr"/>
    </row>
    <row r="138">
      <c r="A138" s="28" t="inlineStr">
        <is>
          <t>Iz</t>
        </is>
      </c>
      <c r="B138" s="29" t="inlineStr">
        <is>
          <t>:</t>
        </is>
      </c>
      <c r="C138" s="30" t="inlineStr">
        <is>
          <t>Kablonun akım taşıma kapasitesi</t>
        </is>
      </c>
      <c r="D138" s="29" t="inlineStr">
        <is>
          <t>=</t>
        </is>
      </c>
      <c r="E138" s="61">
        <f>IF(GİRİŞ!$F$27="","",IFERROR(INDEX(TABLOLAR!$B$53:$B$64,MATCH(E123,TABLOLAR!$A$53:$A$64,0)),"tablo dışı"))</f>
        <v/>
      </c>
      <c r="F138" s="30" t="inlineStr">
        <is>
          <t>A</t>
        </is>
      </c>
      <c r="G138" s="3" t="inlineStr">
        <is>
          <t>TABLOLAR / IEC</t>
        </is>
      </c>
    </row>
    <row r="139">
      <c r="C139" s="37" t="inlineStr">
        <is>
          <t>KONTROL      I  ≤  Iz</t>
        </is>
      </c>
      <c r="E139" s="28">
        <f>IF(GİRİŞ!$F$27="","",IF(OR(NOT(ISNUMBER(E138)),NOT(ISNUMBER(E137))),"KESİT TABLO DIŞI",IF(E137&lt;=E138,"UYGUN","UYGUN DEĞİL — kesiti büyütün")))</f>
        <v/>
      </c>
    </row>
    <row r="140">
      <c r="A140" s="41">
        <f>IF(GİRİŞ!$F$27="","",IF(OR(GİRİŞ!$F$48="",NOT(ISNUMBER(E132)),NOT(ISNUMBER(E137))),"","Seçilen kablo :   "&amp;ROUND(E123,2)&amp;" mm²  "&amp;GİRİŞ!$F$48&amp;"   —   "&amp;IF(AND(E132&lt;=GİRİŞ!$C$8,E137&lt;=E138),"uygundur.","UYGUN DEĞİLDİR.")))</f>
        <v/>
      </c>
      <c r="B140" s="58" t="n"/>
      <c r="C140" s="58" t="n"/>
      <c r="D140" s="58" t="n"/>
      <c r="E140" s="58" t="n"/>
      <c r="F140" s="58" t="n"/>
      <c r="G140" s="59" t="n"/>
    </row>
  </sheetData>
  <mergeCells count="65">
    <mergeCell ref="C131:G131"/>
    <mergeCell ref="C92:D92"/>
    <mergeCell ref="C83:G83"/>
    <mergeCell ref="C24:D24"/>
    <mergeCell ref="A135:G135"/>
    <mergeCell ref="C30:D30"/>
    <mergeCell ref="E139:F139"/>
    <mergeCell ref="A116:G116"/>
    <mergeCell ref="A140:G140"/>
    <mergeCell ref="A62:G62"/>
    <mergeCell ref="A100:G100"/>
    <mergeCell ref="C14:D14"/>
    <mergeCell ref="A38:G38"/>
    <mergeCell ref="C89:D89"/>
    <mergeCell ref="A42:G42"/>
    <mergeCell ref="C74:G74"/>
    <mergeCell ref="C26:D26"/>
    <mergeCell ref="A19:G19"/>
    <mergeCell ref="C88:G88"/>
    <mergeCell ref="C29:G29"/>
    <mergeCell ref="C35:G35"/>
    <mergeCell ref="C47:G47"/>
    <mergeCell ref="A77:G77"/>
    <mergeCell ref="C25:G25"/>
    <mergeCell ref="C137:D137"/>
    <mergeCell ref="C44:D44"/>
    <mergeCell ref="C55:G55"/>
    <mergeCell ref="C75:D75"/>
    <mergeCell ref="C40:D40"/>
    <mergeCell ref="C84:D84"/>
    <mergeCell ref="A98:G98"/>
    <mergeCell ref="C124:G124"/>
    <mergeCell ref="C129:G129"/>
    <mergeCell ref="C56:D56"/>
    <mergeCell ref="C136:G136"/>
    <mergeCell ref="A1:G1"/>
    <mergeCell ref="C43:G43"/>
    <mergeCell ref="A79:G79"/>
    <mergeCell ref="C95:G95"/>
    <mergeCell ref="C130:D130"/>
    <mergeCell ref="C51:G51"/>
    <mergeCell ref="C36:D36"/>
    <mergeCell ref="C71:G71"/>
    <mergeCell ref="A54:G54"/>
    <mergeCell ref="C132:D132"/>
    <mergeCell ref="C52:D52"/>
    <mergeCell ref="C23:G23"/>
    <mergeCell ref="C39:G39"/>
    <mergeCell ref="C48:D48"/>
    <mergeCell ref="A108:G108"/>
    <mergeCell ref="C110:G110"/>
    <mergeCell ref="A46:G46"/>
    <mergeCell ref="C91:G91"/>
    <mergeCell ref="C125:D125"/>
    <mergeCell ref="E16:F16"/>
    <mergeCell ref="A18:G18"/>
    <mergeCell ref="C72:D72"/>
    <mergeCell ref="C67:D67"/>
    <mergeCell ref="A3:G3"/>
    <mergeCell ref="E134:F134"/>
    <mergeCell ref="A50:G50"/>
    <mergeCell ref="C66:G66"/>
    <mergeCell ref="C96:D96"/>
    <mergeCell ref="C13:G13"/>
    <mergeCell ref="A5:G5"/>
  </mergeCells>
  <conditionalFormatting sqref="A3:G3">
    <cfRule type="expression" priority="1" dxfId="2">
      <formula>LEFT($A$3,3)="!!!"</formula>
    </cfRule>
  </conditionalFormatting>
  <conditionalFormatting sqref="E16:F16">
    <cfRule type="expression" priority="2" dxfId="0">
      <formula>ISNUMBER(SEARCH("UYGUN DEĞİL",$E$16))</formula>
    </cfRule>
    <cfRule type="expression" priority="3" dxfId="1">
      <formula>AND(ISNUMBER(SEARCH("UYGUN",$E$16)),NOT(ISNUMBER(SEARCH("DEĞİL",$E$16))))</formula>
    </cfRule>
  </conditionalFormatting>
  <conditionalFormatting sqref="E134:F134">
    <cfRule type="expression" priority="4" dxfId="0">
      <formula>ISNUMBER(SEARCH("UYGUN DEĞİL",$E$134))</formula>
    </cfRule>
    <cfRule type="expression" priority="5" dxfId="1">
      <formula>AND(ISNUMBER(SEARCH("UYGUN",$E$134)),NOT(ISNUMBER(SEARCH("DEĞİL",$E$134))))</formula>
    </cfRule>
  </conditionalFormatting>
  <conditionalFormatting sqref="E139:F139">
    <cfRule type="expression" priority="6" dxfId="0">
      <formula>ISNUMBER(SEARCH("UYGUN DEĞİL",$E$139))</formula>
    </cfRule>
    <cfRule type="expression" priority="7" dxfId="1">
      <formula>AND(ISNUMBER(SEARCH("UYGUN",$E$139)),NOT(ISNUMBER(SEARCH("DEĞİL",$E$139))))</formula>
    </cfRule>
  </conditionalFormatting>
  <printOptions horizontalCentered="1"/>
  <pageMargins left="0.4" right="0.4" top="0.5" bottom="0.5" header="0.5" footer="0.5"/>
  <pageSetup orientation="portrait" fitToHeight="0" fitToWidth="1"/>
  <rowBreaks count="3" manualBreakCount="3">
    <brk id="17" min="0" max="16383" man="1"/>
    <brk id="61" min="0" max="16383" man="1"/>
    <brk id="99" min="0" max="16383" man="1"/>
  </rowBreaks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" customWidth="1" min="2" max="2"/>
    <col width="51" customWidth="1" min="3" max="3"/>
    <col width="2" customWidth="1" min="4" max="4"/>
    <col width="13" customWidth="1" min="5" max="5"/>
    <col width="10" customWidth="1" min="6" max="6"/>
    <col width="14" customWidth="1" min="7" max="7"/>
  </cols>
  <sheetData>
    <row r="1" ht="22" customHeight="1">
      <c r="A1" s="1" t="inlineStr">
        <is>
          <t>ASANSÖR MAKİNE DAİRESİ   —   AYDINLATMA HESABI</t>
        </is>
      </c>
      <c r="B1" s="58" t="n"/>
      <c r="C1" s="58" t="n"/>
      <c r="D1" s="58" t="n"/>
      <c r="E1" s="58" t="n"/>
      <c r="F1" s="58" t="n"/>
      <c r="G1" s="59" t="n"/>
    </row>
    <row r="3">
      <c r="A3" s="28">
        <f>IF(OR(GİRİŞ!$C$15="Evet",GİRİŞ!$C$16=0,GİRİŞ!$C$17=0),"Makine dairesiz ( MRL ) sistem  —  bu hesap uygulanmaz.","")</f>
        <v/>
      </c>
    </row>
    <row r="5" ht="18" customHeight="1">
      <c r="A5" s="4" t="inlineStr">
        <is>
          <t xml:space="preserve">  MAKİNE DAİRESİ AYDINLATMA HESABI                              ( TS EN 81-20 )</t>
        </is>
      </c>
      <c r="B5" s="58" t="n"/>
      <c r="C5" s="58" t="n"/>
      <c r="D5" s="58" t="n"/>
      <c r="E5" s="58" t="n"/>
      <c r="F5" s="58" t="n"/>
      <c r="G5" s="59" t="n"/>
    </row>
    <row r="6">
      <c r="A6" s="28" t="inlineStr">
        <is>
          <t>a</t>
        </is>
      </c>
      <c r="B6" s="29" t="inlineStr">
        <is>
          <t>:</t>
        </is>
      </c>
      <c r="C6" s="30" t="inlineStr">
        <is>
          <t>Makine dairesi uzunluğu</t>
        </is>
      </c>
      <c r="D6" s="29" t="inlineStr">
        <is>
          <t>=</t>
        </is>
      </c>
      <c r="E6" s="32">
        <f>IF(OR(GİRİŞ!$C$15="Evet",GİRİŞ!$C$16=0,GİRİŞ!$C$17=0),"",GİRİŞ!$C$16/1000)</f>
        <v/>
      </c>
      <c r="F6" s="30" t="inlineStr">
        <is>
          <t>m</t>
        </is>
      </c>
      <c r="G6" s="3" t="inlineStr">
        <is>
          <t>GİRİŞ</t>
        </is>
      </c>
    </row>
    <row r="7">
      <c r="A7" s="28" t="inlineStr">
        <is>
          <t>b</t>
        </is>
      </c>
      <c r="B7" s="29" t="inlineStr">
        <is>
          <t>:</t>
        </is>
      </c>
      <c r="C7" s="30" t="inlineStr">
        <is>
          <t>Makine dairesi genişliği</t>
        </is>
      </c>
      <c r="D7" s="29" t="inlineStr">
        <is>
          <t>=</t>
        </is>
      </c>
      <c r="E7" s="32">
        <f>IF(OR(GİRİŞ!$C$15="Evet",GİRİŞ!$C$16=0,GİRİŞ!$C$17=0),"",GİRİŞ!$C$17/1000)</f>
        <v/>
      </c>
      <c r="F7" s="30" t="inlineStr">
        <is>
          <t>m</t>
        </is>
      </c>
      <c r="G7" s="3" t="inlineStr">
        <is>
          <t>GİRİŞ</t>
        </is>
      </c>
    </row>
    <row r="8">
      <c r="A8" s="28" t="inlineStr">
        <is>
          <t>h</t>
        </is>
      </c>
      <c r="B8" s="29" t="inlineStr">
        <is>
          <t>:</t>
        </is>
      </c>
      <c r="C8" s="30" t="inlineStr">
        <is>
          <t>Armatür ile çalışma düzlemi arasındaki yükseklik</t>
        </is>
      </c>
      <c r="D8" s="29" t="inlineStr">
        <is>
          <t>=</t>
        </is>
      </c>
      <c r="E8" s="32">
        <f>SABİTLER!$C$17</f>
        <v/>
      </c>
      <c r="F8" s="30" t="inlineStr">
        <is>
          <t>m</t>
        </is>
      </c>
      <c r="G8" s="3" t="inlineStr">
        <is>
          <t>SABİTLER A</t>
        </is>
      </c>
    </row>
    <row r="9">
      <c r="C9" s="34" t="inlineStr">
        <is>
          <t>k   =   a · b   /   ( h · ( a + b ) )                ( bölge indeksi )</t>
        </is>
      </c>
    </row>
    <row r="10">
      <c r="C10" s="35">
        <f>IF(OR(GİRİŞ!$C$15="Evet",GİRİŞ!$C$16=0,GİRİŞ!$C$17=0),"","=   "&amp;ROUND(E6,2)&amp;" · "&amp;ROUND(E7,2)&amp;"   /   ( "&amp;ROUND(E8,2)&amp;" · ( "&amp;ROUND(E6,2)&amp;" + "&amp;ROUND(E7,2)&amp;" ) )")</f>
        <v/>
      </c>
      <c r="E10" s="36">
        <f>IF(OR(GİRİŞ!$C$15="Evet",GİRİŞ!$C$16=0,GİRİŞ!$C$17=0),"",E6*E7/(E8*(E6+E7)))</f>
        <v/>
      </c>
      <c r="F10" s="37" t="inlineStr">
        <is>
          <t>—</t>
        </is>
      </c>
      <c r="G10" s="3" t="inlineStr"/>
    </row>
    <row r="11">
      <c r="A11" s="28" t="inlineStr">
        <is>
          <t>η</t>
        </is>
      </c>
      <c r="B11" s="29" t="inlineStr">
        <is>
          <t>:</t>
        </is>
      </c>
      <c r="C11" s="30" t="inlineStr">
        <is>
          <t>Oda aydınlatma verimi</t>
        </is>
      </c>
      <c r="D11" s="29" t="inlineStr">
        <is>
          <t>=</t>
        </is>
      </c>
      <c r="E11" s="32">
        <f>IF(OR(GİRİŞ!$C$15="Evet",GİRİŞ!$C$16=0,GİRİŞ!$C$17=0),"",IFERROR(INDEX(TABLOLAR!$B$8:$K$17,MATCH(MAX(E10,TABLOLAR!$A$8),TABLOLAR!$A$8:$A$17,1),TABLOLAR!$B$19),""))</f>
        <v/>
      </c>
      <c r="F11" s="30" t="inlineStr">
        <is>
          <t>—</t>
        </is>
      </c>
      <c r="G11" s="3" t="inlineStr">
        <is>
          <t>TABLOLAR T2</t>
        </is>
      </c>
    </row>
    <row r="12">
      <c r="A12" s="28" t="inlineStr">
        <is>
          <t>E</t>
        </is>
      </c>
      <c r="B12" s="29" t="inlineStr">
        <is>
          <t>:</t>
        </is>
      </c>
      <c r="C12" s="30" t="inlineStr">
        <is>
          <t>Asgari aydınlatma şiddeti</t>
        </is>
      </c>
      <c r="D12" s="29" t="inlineStr">
        <is>
          <t>=</t>
        </is>
      </c>
      <c r="E12" s="33">
        <f>SABİTLER!$C$13</f>
        <v/>
      </c>
      <c r="F12" s="30" t="inlineStr">
        <is>
          <t>lüx</t>
        </is>
      </c>
      <c r="G12" s="3" t="inlineStr">
        <is>
          <t>SABİTLER A</t>
        </is>
      </c>
    </row>
    <row r="13">
      <c r="A13" s="28" t="inlineStr">
        <is>
          <t>d</t>
        </is>
      </c>
      <c r="B13" s="29" t="inlineStr">
        <is>
          <t>:</t>
        </is>
      </c>
      <c r="C13" s="30" t="inlineStr">
        <is>
          <t>Kirlenme ( bakım ) faktörü</t>
        </is>
      </c>
      <c r="D13" s="29" t="inlineStr">
        <is>
          <t>=</t>
        </is>
      </c>
      <c r="E13" s="32">
        <f>SABİTLER!$C$12</f>
        <v/>
      </c>
      <c r="F13" s="30" t="inlineStr">
        <is>
          <t>—</t>
        </is>
      </c>
      <c r="G13" s="3" t="inlineStr">
        <is>
          <t>SABİTLER A</t>
        </is>
      </c>
    </row>
    <row r="14">
      <c r="C14" s="34" t="inlineStr">
        <is>
          <t>T   =   E · a · b · d   /   η                        ( gerekli toplam ışık akısı )</t>
        </is>
      </c>
    </row>
    <row r="15">
      <c r="C15" s="35">
        <f>IF(OR(GİRİŞ!$C$15="Evet",GİRİŞ!$C$16=0,GİRİŞ!$C$17=0),"","=   "&amp;ROUND(E12,0)&amp;" · "&amp;ROUND(E6,2)&amp;" · "&amp;ROUND(E7,2)&amp;" · "&amp;ROUND(E13,2)&amp;"   /   "&amp;ROUND(E11,2))</f>
        <v/>
      </c>
      <c r="E15" s="39">
        <f>IF(OR(GİRİŞ!$C$15="Evet",GİRİŞ!$C$16=0,GİRİŞ!$C$17=0),"",IFERROR(E12*E6*E7*E13/E11,""))</f>
        <v/>
      </c>
      <c r="F15" s="37" t="inlineStr">
        <is>
          <t>lm</t>
        </is>
      </c>
      <c r="G15" s="3" t="inlineStr"/>
    </row>
    <row r="16">
      <c r="A16" s="28" t="inlineStr">
        <is>
          <t>ØL</t>
        </is>
      </c>
      <c r="B16" s="29" t="inlineStr">
        <is>
          <t>:</t>
        </is>
      </c>
      <c r="C16" s="30" t="inlineStr">
        <is>
          <t>Bir armatürün ışık akısı</t>
        </is>
      </c>
      <c r="D16" s="29" t="inlineStr">
        <is>
          <t>=</t>
        </is>
      </c>
      <c r="E16" s="31">
        <f>SABİTLER!$C$31</f>
        <v/>
      </c>
      <c r="F16" s="30" t="inlineStr">
        <is>
          <t>lm</t>
        </is>
      </c>
      <c r="G16" s="3" t="inlineStr">
        <is>
          <t>SABİTLER B</t>
        </is>
      </c>
    </row>
    <row r="17">
      <c r="C17" s="34" t="inlineStr">
        <is>
          <t>Z   =   T   /   ØL</t>
        </is>
      </c>
    </row>
    <row r="18">
      <c r="C18" s="35">
        <f>IF(OR(GİRİŞ!$C$15="Evet",GİRİŞ!$C$16=0,GİRİŞ!$C$17=0),"","=   "&amp;ROUND(E15,2)&amp;"   /   "&amp;ROUND(E16,0))</f>
        <v/>
      </c>
      <c r="E18" s="36">
        <f>IF(OR(GİRİŞ!$C$15="Evet",GİRİŞ!$C$16=0,GİRİŞ!$C$17=0),"",IFERROR(E15/E16,""))</f>
        <v/>
      </c>
      <c r="F18" s="37" t="inlineStr">
        <is>
          <t>adet</t>
        </is>
      </c>
      <c r="G18" s="3" t="inlineStr"/>
    </row>
    <row r="19">
      <c r="A19" s="28" t="inlineStr">
        <is>
          <t>n</t>
        </is>
      </c>
      <c r="B19" s="29" t="inlineStr">
        <is>
          <t>:</t>
        </is>
      </c>
      <c r="C19" s="37" t="inlineStr">
        <is>
          <t>SEÇİLEN armatür sayısı   ( Z yukarı yuvarlanır )</t>
        </is>
      </c>
      <c r="D19" s="29" t="inlineStr">
        <is>
          <t>=</t>
        </is>
      </c>
      <c r="E19" s="40">
        <f>IF(OR(GİRİŞ!$C$15="Evet",GİRİŞ!$C$16=0,GİRİŞ!$C$17=0),"",IFERROR(ROUNDUP(E18,0),""))</f>
        <v/>
      </c>
      <c r="F19" s="37" t="inlineStr">
        <is>
          <t>adet</t>
        </is>
      </c>
      <c r="G19" s="3" t="inlineStr"/>
    </row>
    <row r="20">
      <c r="A20" s="41">
        <f>IF(OR(GİRİŞ!$C$15="Evet",GİRİŞ!$C$16=0,GİRİŞ!$C$17=0),"",IF(E19="","","SONUÇ  :    "&amp;E19&amp;"  adet  "&amp;SABİTLER!$C$30&amp;" W  armatür  kullanılacaktır."))</f>
        <v/>
      </c>
      <c r="B20" s="58" t="n"/>
      <c r="C20" s="58" t="n"/>
      <c r="D20" s="58" t="n"/>
      <c r="E20" s="58" t="n"/>
      <c r="F20" s="58" t="n"/>
      <c r="G20" s="59" t="n"/>
    </row>
  </sheetData>
  <mergeCells count="10">
    <mergeCell ref="A1:G1"/>
    <mergeCell ref="C10:D10"/>
    <mergeCell ref="C15:D15"/>
    <mergeCell ref="A3:G3"/>
    <mergeCell ref="A20:G20"/>
    <mergeCell ref="C17:G17"/>
    <mergeCell ref="C14:G14"/>
    <mergeCell ref="C18:D18"/>
    <mergeCell ref="C9:G9"/>
    <mergeCell ref="A5:G5"/>
  </mergeCells>
  <printOptions horizontalCentered="1"/>
  <pageMargins left="0.4" right="0.4" top="0.5" bottom="0.5" header="0.5" footer="0.5"/>
  <pageSetup orientation="portrait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3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" customWidth="1" min="2" max="2"/>
    <col width="51" customWidth="1" min="3" max="3"/>
    <col width="2" customWidth="1" min="4" max="4"/>
    <col width="13" customWidth="1" min="5" max="5"/>
    <col width="10" customWidth="1" min="6" max="6"/>
    <col width="14" customWidth="1" min="7" max="7"/>
  </cols>
  <sheetData>
    <row r="1" ht="22" customHeight="1">
      <c r="A1" s="1" t="inlineStr">
        <is>
          <t>TEMEL TOPRAKLAMA HESABI</t>
        </is>
      </c>
      <c r="B1" s="58" t="n"/>
      <c r="C1" s="58" t="n"/>
      <c r="D1" s="58" t="n"/>
      <c r="E1" s="58" t="n"/>
      <c r="F1" s="58" t="n"/>
      <c r="G1" s="59" t="n"/>
    </row>
    <row r="3">
      <c r="A3" s="28" t="inlineStr">
        <is>
          <t>Temel ( ızgara ) topraklayıcı  +  paralel çubuk topraklayıcı</t>
        </is>
      </c>
    </row>
    <row r="5" ht="18" customHeight="1">
      <c r="A5" s="4" t="inlineStr">
        <is>
          <t xml:space="preserve">  1 -   YATAY ( TEMEL ) TOPRAKLAYICI</t>
        </is>
      </c>
      <c r="B5" s="58" t="n"/>
      <c r="C5" s="58" t="n"/>
      <c r="D5" s="58" t="n"/>
      <c r="E5" s="58" t="n"/>
      <c r="F5" s="58" t="n"/>
      <c r="G5" s="59" t="n"/>
    </row>
    <row r="6">
      <c r="C6" s="34" t="inlineStr">
        <is>
          <t>A   =   a · b                                         ( temel alanı )</t>
        </is>
      </c>
    </row>
    <row r="7">
      <c r="C7" s="35">
        <f>IF(NOT(AND(GİRİŞ!$C$10&gt;0,GİRİŞ!$C$11&gt;0,GİRİŞ!$C$12&gt;0,GİRİŞ!$C$13&gt;0)),"","=   "&amp;ROUND(GİRİŞ!$C$10,2)&amp;"  ·  "&amp;ROUND(GİRİŞ!$C$11,2))</f>
        <v/>
      </c>
      <c r="E7" s="39">
        <f>IF(NOT(AND(GİRİŞ!$C$10&gt;0,GİRİŞ!$C$11&gt;0,GİRİŞ!$C$12&gt;0,GİRİŞ!$C$13&gt;0)),"",GİRİŞ!$C$10*GİRİŞ!$C$11)</f>
        <v/>
      </c>
      <c r="F7" s="37" t="inlineStr">
        <is>
          <t>m²</t>
        </is>
      </c>
      <c r="G7" s="3" t="inlineStr">
        <is>
          <t>GİRİŞ</t>
        </is>
      </c>
    </row>
    <row r="8">
      <c r="C8" s="34" t="inlineStr">
        <is>
          <t>r   =   √ ( A / π )                                   ( eşdeğer yarıçap )</t>
        </is>
      </c>
    </row>
    <row r="9">
      <c r="C9" s="35">
        <f>IF(NOT(AND(GİRİŞ!$C$10&gt;0,GİRİŞ!$C$11&gt;0,GİRİŞ!$C$12&gt;0,GİRİŞ!$C$13&gt;0)),"","=   √ ( "&amp;ROUND(E7,2)&amp;" / 3,1416 )")</f>
        <v/>
      </c>
      <c r="E9" s="36">
        <f>IF(NOT(AND(GİRİŞ!$C$10&gt;0,GİRİŞ!$C$11&gt;0,GİRİŞ!$C$12&gt;0,GİRİŞ!$C$13&gt;0)),"",SQRT(E7/PI()))</f>
        <v/>
      </c>
      <c r="F9" s="37" t="inlineStr">
        <is>
          <t>m</t>
        </is>
      </c>
      <c r="G9" s="3" t="inlineStr"/>
    </row>
    <row r="10">
      <c r="C10" s="34" t="inlineStr">
        <is>
          <t>D   =   2 · r                                         ( eşdeğer daire çapı )</t>
        </is>
      </c>
    </row>
    <row r="11">
      <c r="C11" s="35">
        <f>IF(NOT(AND(GİRİŞ!$C$10&gt;0,GİRİŞ!$C$11&gt;0,GİRİŞ!$C$12&gt;0,GİRİŞ!$C$13&gt;0)),"","=   2  ·  "&amp;ROUND(E9,2))</f>
        <v/>
      </c>
      <c r="E11" s="36">
        <f>IF(NOT(AND(GİRİŞ!$C$10&gt;0,GİRİŞ!$C$11&gt;0,GİRİŞ!$C$12&gt;0,GİRİŞ!$C$13&gt;0)),"",2*E9)</f>
        <v/>
      </c>
      <c r="F11" s="37" t="inlineStr">
        <is>
          <t>m</t>
        </is>
      </c>
      <c r="G11" s="3" t="inlineStr"/>
    </row>
    <row r="12">
      <c r="A12" s="28" t="inlineStr">
        <is>
          <t>β</t>
        </is>
      </c>
      <c r="B12" s="29" t="inlineStr">
        <is>
          <t>:</t>
        </is>
      </c>
      <c r="C12" s="30" t="inlineStr">
        <is>
          <t>Toprak özgül direnci</t>
        </is>
      </c>
      <c r="D12" s="29" t="inlineStr">
        <is>
          <t>=</t>
        </is>
      </c>
      <c r="E12" s="33">
        <f>GİRİŞ!$C$12</f>
        <v/>
      </c>
      <c r="F12" s="30" t="inlineStr">
        <is>
          <t>Ω·m</t>
        </is>
      </c>
      <c r="G12" s="3" t="inlineStr">
        <is>
          <t>GİRİŞ</t>
        </is>
      </c>
    </row>
    <row r="13">
      <c r="A13" s="28" t="inlineStr">
        <is>
          <t>L</t>
        </is>
      </c>
      <c r="B13" s="29" t="inlineStr">
        <is>
          <t>:</t>
        </is>
      </c>
      <c r="C13" s="30" t="inlineStr">
        <is>
          <t>Temel / şerit iletken uzunluğu</t>
        </is>
      </c>
      <c r="D13" s="29" t="inlineStr">
        <is>
          <t>=</t>
        </is>
      </c>
      <c r="E13" s="32">
        <f>GİRİŞ!$C$13</f>
        <v/>
      </c>
      <c r="F13" s="30" t="inlineStr">
        <is>
          <t>m</t>
        </is>
      </c>
      <c r="G13" s="3" t="inlineStr">
        <is>
          <t>GİRİŞ</t>
        </is>
      </c>
    </row>
    <row r="14">
      <c r="C14" s="34" t="inlineStr">
        <is>
          <t>Ry  =   β / ( 2 · D )   +   β / L</t>
        </is>
      </c>
    </row>
    <row r="15">
      <c r="C15" s="35">
        <f>IF(NOT(AND(GİRİŞ!$C$10&gt;0,GİRİŞ!$C$11&gt;0,GİRİŞ!$C$12&gt;0,GİRİŞ!$C$13&gt;0)),"","=   "&amp;ROUND(E12,0)&amp;" / ( 2 · "&amp;ROUND(E11,2)&amp;" )   +   "&amp;ROUND(E12,0)&amp;" / "&amp;ROUND(E13,2))</f>
        <v/>
      </c>
      <c r="E15" s="36">
        <f>IF(NOT(AND(GİRİŞ!$C$10&gt;0,GİRİŞ!$C$11&gt;0,GİRİŞ!$C$12&gt;0,GİRİŞ!$C$13&gt;0)),"",E12/(2*E11)+E12/E13)</f>
        <v/>
      </c>
      <c r="F15" s="37" t="inlineStr">
        <is>
          <t>Ω</t>
        </is>
      </c>
      <c r="G15" s="3" t="inlineStr">
        <is>
          <t>IEEE Std 80</t>
        </is>
      </c>
    </row>
    <row r="17" ht="18" customHeight="1">
      <c r="A17" s="4" t="inlineStr">
        <is>
          <t xml:space="preserve">  2 -   DİKEY ( ÇUBUK ) TOPRAKLAYICI</t>
        </is>
      </c>
      <c r="B17" s="58" t="n"/>
      <c r="C17" s="58" t="n"/>
      <c r="D17" s="58" t="n"/>
      <c r="E17" s="58" t="n"/>
      <c r="F17" s="58" t="n"/>
      <c r="G17" s="59" t="n"/>
    </row>
    <row r="18">
      <c r="A18" s="28" t="inlineStr">
        <is>
          <t>lç</t>
        </is>
      </c>
      <c r="B18" s="29" t="inlineStr">
        <is>
          <t>:</t>
        </is>
      </c>
      <c r="C18" s="30" t="inlineStr">
        <is>
          <t>Bir çubuğun boyu</t>
        </is>
      </c>
      <c r="D18" s="29" t="inlineStr">
        <is>
          <t>=</t>
        </is>
      </c>
      <c r="E18" s="32">
        <f>SABİTLER!$C$38</f>
        <v/>
      </c>
      <c r="F18" s="30" t="inlineStr">
        <is>
          <t>m</t>
        </is>
      </c>
      <c r="G18" s="3" t="inlineStr">
        <is>
          <t>SABİTLER B</t>
        </is>
      </c>
    </row>
    <row r="19">
      <c r="A19" s="28" t="inlineStr">
        <is>
          <t>Is</t>
        </is>
      </c>
      <c r="B19" s="29" t="inlineStr">
        <is>
          <t>:</t>
        </is>
      </c>
      <c r="C19" s="30" t="inlineStr">
        <is>
          <t>Paralel bağlı çubuk sayısı</t>
        </is>
      </c>
      <c r="D19" s="29" t="inlineStr">
        <is>
          <t>=</t>
        </is>
      </c>
      <c r="E19" s="33">
        <f>GİRİŞ!$C$14</f>
        <v/>
      </c>
      <c r="F19" s="30" t="inlineStr">
        <is>
          <t>adet</t>
        </is>
      </c>
      <c r="G19" s="3" t="inlineStr">
        <is>
          <t>GİRİŞ</t>
        </is>
      </c>
    </row>
    <row r="20">
      <c r="C20" s="34" t="inlineStr">
        <is>
          <t>Rç  =   β / ( Is · lç )                               ( tek çubuk β/lç  —  Is adet paralel )</t>
        </is>
      </c>
    </row>
    <row r="21">
      <c r="C21" s="35">
        <f>IF(OR(E19&lt;=0,E18&lt;=0),"—   ( çubuk topraklayıcı yok )","=   "&amp;ROUND(E12,0)&amp;" / ( "&amp;ROUND(E19,0)&amp;"  ·  "&amp;ROUND(E18,2)&amp;" )")</f>
        <v/>
      </c>
      <c r="E21" s="36">
        <f>IF(OR(E19&lt;=0,E18&lt;=0),"",IF(NOT(AND(GİRİŞ!$C$10&gt;0,GİRİŞ!$C$11&gt;0,GİRİŞ!$C$12&gt;0,GİRİŞ!$C$13&gt;0)),"",E12/(E19*E18)))</f>
        <v/>
      </c>
      <c r="F21" s="37" t="inlineStr">
        <is>
          <t>Ω</t>
        </is>
      </c>
      <c r="G21" s="3" t="inlineStr"/>
    </row>
    <row r="23" ht="18" customHeight="1">
      <c r="A23" s="4" t="inlineStr">
        <is>
          <t xml:space="preserve">  3 -   TOPLAM TOPRAKLAMA DİRENCİ VE KONTROL</t>
        </is>
      </c>
      <c r="B23" s="58" t="n"/>
      <c r="C23" s="58" t="n"/>
      <c r="D23" s="58" t="n"/>
      <c r="E23" s="58" t="n"/>
      <c r="F23" s="58" t="n"/>
      <c r="G23" s="59" t="n"/>
    </row>
    <row r="24">
      <c r="C24" s="34" t="inlineStr">
        <is>
          <t>Re  =   ( Ry · Rç )  /  ( Ry  +  Rç )                 ( paralel )</t>
        </is>
      </c>
    </row>
    <row r="25">
      <c r="C25" s="35">
        <f>IF(NOT(ISNUMBER(E15)),"",IF(NOT(ISNUMBER(E21)),"=   "&amp;ROUND(E15,2)&amp;"   ( yalnız temel topraklayıcı )","=   ( "&amp;ROUND(E15,2)&amp;" · "&amp;ROUND(E21,2)&amp;" )  /  ( "&amp;ROUND(E15,2)&amp;" + "&amp;ROUND(E21,2)&amp;" )"))</f>
        <v/>
      </c>
      <c r="E25" s="36">
        <f>IF(NOT(ISNUMBER(E15)),"",IF(NOT(ISNUMBER(E21)),E15,E15*E21/(E15+E21)))</f>
        <v/>
      </c>
      <c r="F25" s="37" t="inlineStr">
        <is>
          <t>Ω</t>
        </is>
      </c>
      <c r="G25" s="3" t="inlineStr"/>
    </row>
    <row r="26">
      <c r="A26" s="28" t="inlineStr">
        <is>
          <t>UL</t>
        </is>
      </c>
      <c r="B26" s="29" t="inlineStr">
        <is>
          <t>:</t>
        </is>
      </c>
      <c r="C26" s="30" t="inlineStr">
        <is>
          <t>İzin verilen temas gerilimi</t>
        </is>
      </c>
      <c r="D26" s="29" t="inlineStr">
        <is>
          <t>=</t>
        </is>
      </c>
      <c r="E26" s="33">
        <f>SABİTLER!$C$36</f>
        <v/>
      </c>
      <c r="F26" s="30" t="inlineStr">
        <is>
          <t>V</t>
        </is>
      </c>
      <c r="G26" s="3" t="inlineStr">
        <is>
          <t>SABİTLER B</t>
        </is>
      </c>
    </row>
    <row r="27">
      <c r="A27" s="28" t="inlineStr">
        <is>
          <t>IΔn</t>
        </is>
      </c>
      <c r="B27" s="29" t="inlineStr">
        <is>
          <t>:</t>
        </is>
      </c>
      <c r="C27" s="30" t="inlineStr">
        <is>
          <t>Kaçak akım rölesi anma akımı</t>
        </is>
      </c>
      <c r="D27" s="29" t="inlineStr">
        <is>
          <t>=</t>
        </is>
      </c>
      <c r="E27" s="32">
        <f>SABİTLER!$C$37</f>
        <v/>
      </c>
      <c r="F27" s="30" t="inlineStr">
        <is>
          <t>A</t>
        </is>
      </c>
      <c r="G27" s="3" t="inlineStr">
        <is>
          <t>SABİTLER B</t>
        </is>
      </c>
    </row>
    <row r="28">
      <c r="C28" s="34" t="inlineStr">
        <is>
          <t>Re max  =   UL   /   IΔn</t>
        </is>
      </c>
    </row>
    <row r="29">
      <c r="C29" s="35">
        <f>IF(E27&lt;=0,"",""&amp;"=   "&amp;ROUND(E26,0)&amp;"   /   "&amp;ROUND(E27,2))</f>
        <v/>
      </c>
      <c r="E29" s="36">
        <f>IF(E27&lt;=0,"",E26/E27)</f>
        <v/>
      </c>
      <c r="F29" s="37" t="inlineStr">
        <is>
          <t>Ω</t>
        </is>
      </c>
      <c r="G29" s="3" t="inlineStr"/>
    </row>
    <row r="30">
      <c r="C30" s="37" t="inlineStr">
        <is>
          <t>KONTROL      Re  ≤  Re max</t>
        </is>
      </c>
      <c r="E30" s="28">
        <f>IF(OR(NOT(ISNUMBER(E25)),NOT(ISNUMBER(E29))),"GİRDİ EKSİK",IF(E25&lt;=E29,"UYGUN","UYGUN DEĞİL"))</f>
        <v/>
      </c>
    </row>
    <row r="31">
      <c r="A31" s="41">
        <f>IF(OR(NOT(ISNUMBER(E25)),NOT(ISNUMBER(E29))),"!!!   GİRİŞ sayfasında temel ölçüleri / toprak direnci / şerit uzunluğu eksik veya sıfır   !!!",IF(E25&lt;=E29,"SONUÇ  :    Re = "&amp;ROUND(E25,2)&amp;" Ω   ≤   "&amp;ROUND(E29,2)&amp;" Ω   olduğundan temel topraklaması yeterlidir.","SONUÇ  :    Re = "&amp;ROUND(E25,2)&amp;" Ω   &gt;   "&amp;ROUND(E29,2)&amp;" Ω   —   ek topraklayıcı gereklidir."))</f>
        <v/>
      </c>
      <c r="B31" s="58" t="n"/>
      <c r="C31" s="58" t="n"/>
      <c r="D31" s="58" t="n"/>
      <c r="E31" s="58" t="n"/>
      <c r="F31" s="58" t="n"/>
      <c r="G31" s="59" t="n"/>
    </row>
    <row r="32">
      <c r="A32" s="37" t="inlineStr">
        <is>
          <t>HESAPLANAN TAHMİNİ DEĞERDİR  —  TESİS TAMAMLANDIKTAN SONRA ÖLÇÜMLE DOĞRULANACAKTIR.</t>
        </is>
      </c>
    </row>
    <row r="34" ht="31.5" customHeight="1">
      <c r="A34" s="3" t="inlineStr">
        <is>
          <t>KABULLER :   Şebeke sistemi TT, izin verilen temas gerilimi UL = 50 V, kaçak akım rölesi IΔn = 300 mA kabul edilmiştir;  şebeke TN sistem ise bu kontrol ölçütü geçerli değildir.   Toprak özgül direnci β zemin etüdünden alınmalıdır, yoksa 150 Ω·m kabul edilmiştir.   Rç bağıntısı çubuk çapını ve çubuklar arası etkileşimi içermeyen bir ön kabuldür.</t>
        </is>
      </c>
    </row>
  </sheetData>
  <mergeCells count="23">
    <mergeCell ref="A32:G32"/>
    <mergeCell ref="A17:G17"/>
    <mergeCell ref="C6:G6"/>
    <mergeCell ref="C24:G24"/>
    <mergeCell ref="C15:D15"/>
    <mergeCell ref="C14:G14"/>
    <mergeCell ref="C29:D29"/>
    <mergeCell ref="C20:G20"/>
    <mergeCell ref="A31:G31"/>
    <mergeCell ref="C10:G10"/>
    <mergeCell ref="C25:D25"/>
    <mergeCell ref="A34:G34"/>
    <mergeCell ref="C9:D9"/>
    <mergeCell ref="A1:G1"/>
    <mergeCell ref="E30:F30"/>
    <mergeCell ref="C21:D21"/>
    <mergeCell ref="C11:D11"/>
    <mergeCell ref="C8:G8"/>
    <mergeCell ref="C7:D7"/>
    <mergeCell ref="A3:G3"/>
    <mergeCell ref="C28:G28"/>
    <mergeCell ref="A5:G5"/>
    <mergeCell ref="A23:G23"/>
  </mergeCells>
  <conditionalFormatting sqref="E30:F30">
    <cfRule type="expression" priority="1" dxfId="0">
      <formula>ISNUMBER(SEARCH("UYGUN DEĞİL",$E$30))</formula>
    </cfRule>
    <cfRule type="expression" priority="2" dxfId="1">
      <formula>AND(ISNUMBER(SEARCH("UYGUN",$E$30)),NOT(ISNUMBER(SEARCH("DEĞİL",$E$30))))</formula>
    </cfRule>
  </conditionalFormatting>
  <printOptions horizontalCentered="1"/>
  <pageMargins left="0.4" right="0.4" top="0.5" bottom="0.5" header="0.5" footer="0.5"/>
  <pageSetup orientation="portrait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9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22" customHeight="1">
      <c r="A1" s="1" t="inlineStr">
        <is>
          <t>HESAPLARDA KULLANILAN TABLOLAR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  <c r="J1" s="58" t="n"/>
      <c r="K1" s="59" t="n"/>
    </row>
    <row r="3" ht="18" customHeight="1">
      <c r="A3" s="4" t="inlineStr">
        <is>
          <t xml:space="preserve">  TABLO 2   —   ODA AYDINLATMA VERİMİ  ( η )</t>
        </is>
      </c>
      <c r="B3" s="58" t="n"/>
      <c r="C3" s="58" t="n"/>
      <c r="D3" s="58" t="n"/>
      <c r="E3" s="58" t="n"/>
      <c r="F3" s="58" t="n"/>
      <c r="G3" s="58" t="n"/>
      <c r="H3" s="58" t="n"/>
      <c r="I3" s="58" t="n"/>
      <c r="J3" s="58" t="n"/>
      <c r="K3" s="59" t="n"/>
    </row>
    <row r="4">
      <c r="A4" s="48" t="inlineStr">
        <is>
          <t>Tavan</t>
        </is>
      </c>
      <c r="B4" s="64" t="n">
        <v>0.8</v>
      </c>
      <c r="C4" s="64" t="n">
        <v>0.8</v>
      </c>
      <c r="D4" s="64" t="n">
        <v>0.8</v>
      </c>
      <c r="E4" s="64" t="n">
        <v>0.8</v>
      </c>
      <c r="F4" s="64" t="n">
        <v>0.5</v>
      </c>
      <c r="G4" s="64" t="n">
        <v>0.5</v>
      </c>
      <c r="H4" s="64" t="n">
        <v>0.5</v>
      </c>
      <c r="I4" s="64" t="n">
        <v>0.5</v>
      </c>
      <c r="J4" s="64" t="n">
        <v>0.3</v>
      </c>
      <c r="K4" s="64" t="n">
        <v>0.3</v>
      </c>
    </row>
    <row r="5">
      <c r="A5" s="48" t="inlineStr">
        <is>
          <t>Duvar</t>
        </is>
      </c>
      <c r="B5" s="64" t="n">
        <v>0.5</v>
      </c>
      <c r="C5" s="64" t="n">
        <v>0.5</v>
      </c>
      <c r="D5" s="64" t="n">
        <v>0.3</v>
      </c>
      <c r="E5" s="64" t="n">
        <v>0.3</v>
      </c>
      <c r="F5" s="64" t="n">
        <v>0.5</v>
      </c>
      <c r="G5" s="64" t="n">
        <v>0.5</v>
      </c>
      <c r="H5" s="64" t="n">
        <v>0.3</v>
      </c>
      <c r="I5" s="64" t="n">
        <v>0.3</v>
      </c>
      <c r="J5" s="64" t="n">
        <v>0.3</v>
      </c>
      <c r="K5" s="64" t="n">
        <v>0.3</v>
      </c>
    </row>
    <row r="6">
      <c r="A6" s="48" t="inlineStr">
        <is>
          <t>Zemin</t>
        </is>
      </c>
      <c r="B6" s="64" t="n">
        <v>0.3</v>
      </c>
      <c r="C6" s="64" t="n">
        <v>0.1</v>
      </c>
      <c r="D6" s="64" t="n">
        <v>0.3</v>
      </c>
      <c r="E6" s="64" t="n">
        <v>0.1</v>
      </c>
      <c r="F6" s="64" t="n">
        <v>0.3</v>
      </c>
      <c r="G6" s="64" t="n">
        <v>0.1</v>
      </c>
      <c r="H6" s="64" t="n">
        <v>0.3</v>
      </c>
      <c r="I6" s="64" t="n">
        <v>0.1</v>
      </c>
      <c r="J6" s="64" t="n">
        <v>0.3</v>
      </c>
      <c r="K6" s="64" t="n">
        <v>0.1</v>
      </c>
    </row>
    <row r="7">
      <c r="A7" s="50" t="inlineStr">
        <is>
          <t>Sütun</t>
        </is>
      </c>
      <c r="B7" s="51" t="n">
        <v>1</v>
      </c>
      <c r="C7" s="51" t="n">
        <v>2</v>
      </c>
      <c r="D7" s="51" t="n">
        <v>3</v>
      </c>
      <c r="E7" s="51" t="n">
        <v>4</v>
      </c>
      <c r="F7" s="51" t="n">
        <v>5</v>
      </c>
      <c r="G7" s="51" t="n">
        <v>6</v>
      </c>
      <c r="H7" s="51" t="n">
        <v>7</v>
      </c>
      <c r="I7" s="51" t="n">
        <v>8</v>
      </c>
      <c r="J7" s="51" t="n">
        <v>9</v>
      </c>
      <c r="K7" s="51" t="n">
        <v>10</v>
      </c>
    </row>
    <row r="8">
      <c r="A8" s="52" t="n">
        <v>0.6</v>
      </c>
      <c r="B8" s="23" t="n">
        <v>0.24</v>
      </c>
      <c r="C8" s="23" t="n">
        <v>0.23</v>
      </c>
      <c r="D8" s="23" t="n">
        <v>0.18</v>
      </c>
      <c r="E8" s="23" t="n">
        <v>0.18</v>
      </c>
      <c r="F8" s="23" t="n">
        <v>0.2</v>
      </c>
      <c r="G8" s="23" t="n">
        <v>0.19</v>
      </c>
      <c r="H8" s="23" t="n">
        <v>0.15</v>
      </c>
      <c r="I8" s="23" t="n">
        <v>0.15</v>
      </c>
      <c r="J8" s="23" t="n">
        <v>0.15</v>
      </c>
      <c r="K8" s="23" t="n">
        <v>0.12</v>
      </c>
    </row>
    <row r="9">
      <c r="A9" s="52" t="n">
        <v>0.8</v>
      </c>
      <c r="B9" s="23" t="n">
        <v>0.31</v>
      </c>
      <c r="C9" s="23" t="n">
        <v>0.29</v>
      </c>
      <c r="D9" s="23" t="n">
        <v>0.24</v>
      </c>
      <c r="E9" s="23" t="n">
        <v>0.23</v>
      </c>
      <c r="F9" s="23" t="n">
        <v>0.25</v>
      </c>
      <c r="G9" s="23" t="n">
        <v>0.24</v>
      </c>
      <c r="H9" s="23" t="n">
        <v>0.2</v>
      </c>
      <c r="I9" s="23" t="n">
        <v>0.19</v>
      </c>
      <c r="J9" s="23" t="n">
        <v>0.17</v>
      </c>
      <c r="K9" s="23" t="n">
        <v>0.16</v>
      </c>
    </row>
    <row r="10">
      <c r="A10" s="52" t="n">
        <v>1</v>
      </c>
      <c r="B10" s="23" t="n">
        <v>0.36</v>
      </c>
      <c r="C10" s="23" t="n">
        <v>0.33</v>
      </c>
      <c r="D10" s="23" t="n">
        <v>0.29</v>
      </c>
      <c r="E10" s="23" t="n">
        <v>0.28</v>
      </c>
      <c r="F10" s="23" t="n">
        <v>0.29</v>
      </c>
      <c r="G10" s="23" t="n">
        <v>0.28</v>
      </c>
      <c r="H10" s="23" t="n">
        <v>0.24</v>
      </c>
      <c r="I10" s="23" t="n">
        <v>0.23</v>
      </c>
      <c r="J10" s="23" t="n">
        <v>0.2</v>
      </c>
      <c r="K10" s="23" t="n">
        <v>0.2</v>
      </c>
    </row>
    <row r="11">
      <c r="A11" s="52" t="n">
        <v>1.25</v>
      </c>
      <c r="B11" s="23" t="n">
        <v>0.41</v>
      </c>
      <c r="C11" s="23" t="n">
        <v>0.38</v>
      </c>
      <c r="D11" s="23" t="n">
        <v>0.34</v>
      </c>
      <c r="E11" s="23" t="n">
        <v>0.32</v>
      </c>
      <c r="F11" s="23" t="n">
        <v>0.33</v>
      </c>
      <c r="G11" s="23" t="n">
        <v>0.31</v>
      </c>
      <c r="H11" s="23" t="n">
        <v>0.28</v>
      </c>
      <c r="I11" s="23" t="n">
        <v>0.27</v>
      </c>
      <c r="J11" s="23" t="n">
        <v>0.24</v>
      </c>
      <c r="K11" s="23" t="n">
        <v>0.24</v>
      </c>
    </row>
    <row r="12">
      <c r="A12" s="52" t="n">
        <v>1.5</v>
      </c>
      <c r="B12" s="23" t="n">
        <v>0.45</v>
      </c>
      <c r="C12" s="23" t="n">
        <v>0.41</v>
      </c>
      <c r="D12" s="23" t="n">
        <v>0.38</v>
      </c>
      <c r="E12" s="23" t="n">
        <v>0.36</v>
      </c>
      <c r="F12" s="23" t="n">
        <v>0.36</v>
      </c>
      <c r="G12" s="23" t="n">
        <v>0.34</v>
      </c>
      <c r="H12" s="23" t="n">
        <v>0.32</v>
      </c>
      <c r="I12" s="23" t="n">
        <v>0.3</v>
      </c>
      <c r="J12" s="23" t="n">
        <v>0.26</v>
      </c>
      <c r="K12" s="23" t="n">
        <v>0.27</v>
      </c>
    </row>
    <row r="13">
      <c r="A13" s="52" t="n">
        <v>2</v>
      </c>
      <c r="B13" s="23" t="n">
        <v>0.51</v>
      </c>
      <c r="C13" s="23" t="n">
        <v>0.46</v>
      </c>
      <c r="D13" s="23" t="n">
        <v>0.45</v>
      </c>
      <c r="E13" s="23" t="n">
        <v>0.41</v>
      </c>
      <c r="F13" s="23" t="n">
        <v>0.41</v>
      </c>
      <c r="G13" s="23" t="n">
        <v>0.38</v>
      </c>
      <c r="H13" s="23" t="n">
        <v>0.37</v>
      </c>
      <c r="I13" s="23" t="n">
        <v>0.35</v>
      </c>
      <c r="J13" s="23" t="n">
        <v>0.3</v>
      </c>
      <c r="K13" s="23" t="n">
        <v>0.31</v>
      </c>
    </row>
    <row r="14">
      <c r="A14" s="52" t="n">
        <v>2.5</v>
      </c>
      <c r="B14" s="23" t="n">
        <v>0.5600000000000001</v>
      </c>
      <c r="C14" s="23" t="n">
        <v>0.49</v>
      </c>
      <c r="D14" s="23" t="n">
        <v>0.5</v>
      </c>
      <c r="E14" s="23" t="n">
        <v>0.45</v>
      </c>
      <c r="F14" s="23" t="n">
        <v>0.45</v>
      </c>
      <c r="G14" s="23" t="n">
        <v>0.41</v>
      </c>
      <c r="H14" s="23" t="n">
        <v>0.41</v>
      </c>
      <c r="I14" s="23" t="n">
        <v>0.38</v>
      </c>
      <c r="J14" s="23" t="n">
        <v>0.34</v>
      </c>
      <c r="K14" s="23" t="n">
        <v>0.35</v>
      </c>
    </row>
    <row r="15">
      <c r="A15" s="52" t="n">
        <v>3</v>
      </c>
      <c r="B15" s="23" t="n">
        <v>0.59</v>
      </c>
      <c r="C15" s="23" t="n">
        <v>0.52</v>
      </c>
      <c r="D15" s="23" t="n">
        <v>0.54</v>
      </c>
      <c r="E15" s="23" t="n">
        <v>0.48</v>
      </c>
      <c r="F15" s="23" t="n">
        <v>0.47</v>
      </c>
      <c r="G15" s="23" t="n">
        <v>0.43</v>
      </c>
      <c r="H15" s="23" t="n">
        <v>0.43</v>
      </c>
      <c r="I15" s="23" t="n">
        <v>0.4</v>
      </c>
      <c r="J15" s="23" t="n">
        <v>0.36</v>
      </c>
      <c r="K15" s="23" t="n">
        <v>0.38</v>
      </c>
    </row>
    <row r="16">
      <c r="A16" s="52" t="n">
        <v>4</v>
      </c>
      <c r="B16" s="23" t="n">
        <v>0.63</v>
      </c>
      <c r="C16" s="23" t="n">
        <v>0.55</v>
      </c>
      <c r="D16" s="23" t="n">
        <v>0.58</v>
      </c>
      <c r="E16" s="23" t="n">
        <v>0.51</v>
      </c>
      <c r="F16" s="23" t="n">
        <v>0.5</v>
      </c>
      <c r="G16" s="23" t="n">
        <v>0.46</v>
      </c>
      <c r="H16" s="23" t="n">
        <v>0.47</v>
      </c>
      <c r="I16" s="23" t="n">
        <v>0.44</v>
      </c>
      <c r="J16" s="23" t="n">
        <v>0.39</v>
      </c>
      <c r="K16" s="23" t="n">
        <v>0.41</v>
      </c>
    </row>
    <row r="17">
      <c r="A17" s="52" t="n">
        <v>5</v>
      </c>
      <c r="B17" s="23" t="n">
        <v>0.66</v>
      </c>
      <c r="C17" s="23" t="n">
        <v>0.57</v>
      </c>
      <c r="D17" s="23" t="n">
        <v>0.62</v>
      </c>
      <c r="E17" s="23" t="n">
        <v>0.54</v>
      </c>
      <c r="F17" s="23" t="n">
        <v>0.53</v>
      </c>
      <c r="G17" s="23" t="n">
        <v>0.48</v>
      </c>
      <c r="H17" s="23" t="n">
        <v>0.5</v>
      </c>
      <c r="I17" s="23" t="n">
        <v>0.46</v>
      </c>
      <c r="J17" s="23" t="n">
        <v>0.4</v>
      </c>
      <c r="K17" s="23" t="n">
        <v>0.44</v>
      </c>
    </row>
    <row r="19">
      <c r="A19" s="37" t="inlineStr">
        <is>
          <t>Kullanılan sütun</t>
        </is>
      </c>
      <c r="B19" s="9" t="n">
        <v>2</v>
      </c>
      <c r="C19" s="20" t="inlineStr">
        <is>
          <t>tavan 0,80  /  duvar 0,50  /  zemin 0,10   —   sütun numarasını değiştirerek başka yansıma çiftine geçebilirsiniz</t>
        </is>
      </c>
    </row>
    <row r="20">
      <c r="A20" s="20" t="inlineStr">
        <is>
          <t>k değeri bir ALT satıra yuvarlanarak okunur (emniyetli taraf) — MATCH(...;1)</t>
        </is>
      </c>
    </row>
    <row r="23" ht="18" customHeight="1">
      <c r="A23" s="4" t="inlineStr">
        <is>
          <t xml:space="preserve">  TABLO 4   —   ARMATÜR IŞIK AKILARI</t>
        </is>
      </c>
      <c r="B23" s="58" t="n"/>
      <c r="C23" s="58" t="n"/>
      <c r="D23" s="58" t="n"/>
      <c r="E23" s="58" t="n"/>
      <c r="F23" s="58" t="n"/>
      <c r="G23" s="58" t="n"/>
      <c r="H23" s="58" t="n"/>
      <c r="I23" s="58" t="n"/>
      <c r="J23" s="58" t="n"/>
      <c r="K23" s="59" t="n"/>
    </row>
    <row r="24">
      <c r="A24" s="6" t="inlineStr">
        <is>
          <t>Armatür tipi</t>
        </is>
      </c>
      <c r="B24" s="6" t="inlineStr">
        <is>
          <t>Gücü</t>
        </is>
      </c>
      <c r="C24" s="6" t="inlineStr">
        <is>
          <t>Işık akısı (lm)</t>
        </is>
      </c>
    </row>
    <row r="25">
      <c r="A25" s="8" t="inlineStr">
        <is>
          <t>Akkor telli</t>
        </is>
      </c>
      <c r="B25" s="10" t="inlineStr">
        <is>
          <t>15 W</t>
        </is>
      </c>
      <c r="C25" s="10" t="inlineStr">
        <is>
          <t>120 – 135</t>
        </is>
      </c>
    </row>
    <row r="26">
      <c r="A26" s="8" t="inlineStr">
        <is>
          <t>Akkor telli</t>
        </is>
      </c>
      <c r="B26" s="10" t="inlineStr">
        <is>
          <t>25 W</t>
        </is>
      </c>
      <c r="C26" s="10" t="inlineStr">
        <is>
          <t>215 – 240</t>
        </is>
      </c>
    </row>
    <row r="27">
      <c r="A27" s="8" t="inlineStr">
        <is>
          <t>Akkor telli</t>
        </is>
      </c>
      <c r="B27" s="10" t="inlineStr">
        <is>
          <t>40 W</t>
        </is>
      </c>
      <c r="C27" s="10" t="inlineStr">
        <is>
          <t>340 – 480</t>
        </is>
      </c>
    </row>
    <row r="28">
      <c r="A28" s="8" t="inlineStr">
        <is>
          <t>Akkor telli</t>
        </is>
      </c>
      <c r="B28" s="10" t="inlineStr">
        <is>
          <t>60 W</t>
        </is>
      </c>
      <c r="C28" s="10" t="inlineStr">
        <is>
          <t>620 – 805</t>
        </is>
      </c>
    </row>
    <row r="29">
      <c r="A29" s="8" t="inlineStr">
        <is>
          <t>Akkor telli</t>
        </is>
      </c>
      <c r="B29" s="10" t="inlineStr">
        <is>
          <t>75 W</t>
        </is>
      </c>
      <c r="C29" s="10" t="inlineStr">
        <is>
          <t>855 – 960</t>
        </is>
      </c>
    </row>
    <row r="30">
      <c r="A30" s="8" t="inlineStr">
        <is>
          <t>Akkor telli</t>
        </is>
      </c>
      <c r="B30" s="10" t="inlineStr">
        <is>
          <t>100 W</t>
        </is>
      </c>
      <c r="C30" s="10" t="inlineStr">
        <is>
          <t>1250 – 1380</t>
        </is>
      </c>
    </row>
    <row r="31">
      <c r="A31" s="8" t="inlineStr">
        <is>
          <t>Akkor telli</t>
        </is>
      </c>
      <c r="B31" s="10" t="inlineStr">
        <is>
          <t>150 W</t>
        </is>
      </c>
      <c r="C31" s="10" t="inlineStr">
        <is>
          <t>2100 – 2280</t>
        </is>
      </c>
    </row>
    <row r="32">
      <c r="A32" s="8" t="inlineStr">
        <is>
          <t>Flüoresan</t>
        </is>
      </c>
      <c r="B32" s="10" t="inlineStr">
        <is>
          <t>20 W</t>
        </is>
      </c>
      <c r="C32" s="10" t="inlineStr">
        <is>
          <t>820</t>
        </is>
      </c>
    </row>
    <row r="33">
      <c r="A33" s="8" t="inlineStr">
        <is>
          <t>Flüoresan</t>
        </is>
      </c>
      <c r="B33" s="10" t="inlineStr">
        <is>
          <t>32 W</t>
        </is>
      </c>
      <c r="C33" s="10" t="inlineStr">
        <is>
          <t>1400</t>
        </is>
      </c>
    </row>
    <row r="34">
      <c r="A34" s="8" t="inlineStr">
        <is>
          <t>Flüoresan</t>
        </is>
      </c>
      <c r="B34" s="10" t="inlineStr">
        <is>
          <t>40 W</t>
        </is>
      </c>
      <c r="C34" s="10" t="inlineStr">
        <is>
          <t>2100</t>
        </is>
      </c>
    </row>
    <row r="35">
      <c r="A35" s="8" t="inlineStr">
        <is>
          <t>Flüoresan</t>
        </is>
      </c>
      <c r="B35" s="10" t="inlineStr">
        <is>
          <t>200 W</t>
        </is>
      </c>
      <c r="C35" s="10" t="inlineStr">
        <is>
          <t>2950 – 3220</t>
        </is>
      </c>
    </row>
    <row r="36">
      <c r="A36" s="8" t="inlineStr">
        <is>
          <t>LED spot</t>
        </is>
      </c>
      <c r="B36" s="10" t="inlineStr">
        <is>
          <t>5 W</t>
        </is>
      </c>
      <c r="C36" s="10" t="inlineStr">
        <is>
          <t>300</t>
        </is>
      </c>
    </row>
    <row r="37">
      <c r="A37" s="20" t="inlineStr">
        <is>
          <t>NOT: Tablo 4'te 40 W flüoresan 2100 lm'dir; ofis teamülü 2600 lm'dir. Kullanılan değer SABİTLER sayfasındaki ØL satırındadır.</t>
        </is>
      </c>
    </row>
    <row r="39" ht="18" customHeight="1">
      <c r="A39" s="4" t="inlineStr">
        <is>
          <t xml:space="preserve">  TABLO 7   —   KABİN KAPASİTESİ  /  ANMA YÜKÜ</t>
        </is>
      </c>
      <c r="B39" s="58" t="n"/>
      <c r="C39" s="58" t="n"/>
      <c r="D39" s="58" t="n"/>
      <c r="E39" s="58" t="n"/>
      <c r="F39" s="58" t="n"/>
      <c r="G39" s="58" t="n"/>
      <c r="H39" s="58" t="n"/>
      <c r="I39" s="58" t="n"/>
      <c r="J39" s="58" t="n"/>
      <c r="K39" s="59" t="n"/>
    </row>
    <row r="40">
      <c r="A40" s="6" t="inlineStr">
        <is>
          <t>Kapasite (kişi)</t>
        </is>
      </c>
      <c r="B40" s="6" t="inlineStr">
        <is>
          <t>Anma yükü (kg)</t>
        </is>
      </c>
    </row>
    <row r="41">
      <c r="A41" s="21" t="n">
        <v>6</v>
      </c>
      <c r="B41" s="21" t="n">
        <v>450</v>
      </c>
    </row>
    <row r="42">
      <c r="A42" s="21" t="n">
        <v>8</v>
      </c>
      <c r="B42" s="21" t="n">
        <v>630</v>
      </c>
    </row>
    <row r="43">
      <c r="A43" s="21" t="n">
        <v>10</v>
      </c>
      <c r="B43" s="21" t="n">
        <v>800</v>
      </c>
    </row>
    <row r="44">
      <c r="A44" s="21" t="n">
        <v>13</v>
      </c>
      <c r="B44" s="21" t="n">
        <v>1000</v>
      </c>
    </row>
    <row r="45">
      <c r="A45" s="21" t="n">
        <v>15</v>
      </c>
      <c r="B45" s="21" t="n">
        <v>1125</v>
      </c>
    </row>
    <row r="46">
      <c r="A46" s="21" t="n">
        <v>16</v>
      </c>
      <c r="B46" s="21" t="n">
        <v>1275</v>
      </c>
    </row>
    <row r="47">
      <c r="A47" s="21" t="n">
        <v>20</v>
      </c>
      <c r="B47" s="21" t="n">
        <v>1600</v>
      </c>
    </row>
    <row r="48">
      <c r="A48" s="21" t="n">
        <v>25</v>
      </c>
      <c r="B48" s="21" t="n">
        <v>2000</v>
      </c>
    </row>
    <row r="49">
      <c r="A49" s="21" t="n">
        <v>30</v>
      </c>
      <c r="B49" s="21" t="n">
        <v>2500</v>
      </c>
    </row>
    <row r="51" ht="18" customHeight="1">
      <c r="A51" s="4" t="inlineStr">
        <is>
          <t xml:space="preserve">  KABLO AKIM TAŞIMA KAPASİTESİ  —  bakır, PVC, 3 yüklü iletken, Yöntem C</t>
        </is>
      </c>
      <c r="B51" s="58" t="n"/>
      <c r="C51" s="58" t="n"/>
      <c r="D51" s="58" t="n"/>
      <c r="E51" s="58" t="n"/>
      <c r="F51" s="58" t="n"/>
      <c r="G51" s="58" t="n"/>
      <c r="H51" s="58" t="n"/>
      <c r="I51" s="58" t="n"/>
      <c r="J51" s="58" t="n"/>
      <c r="K51" s="59" t="n"/>
    </row>
    <row r="52">
      <c r="A52" s="6" t="inlineStr">
        <is>
          <t>Kesit (mm²)</t>
        </is>
      </c>
      <c r="B52" s="6" t="inlineStr">
        <is>
          <t>Iz (A)</t>
        </is>
      </c>
    </row>
    <row r="53">
      <c r="A53" s="65" t="n">
        <v>1.5</v>
      </c>
      <c r="B53" s="65" t="n">
        <v>17.5</v>
      </c>
    </row>
    <row r="54">
      <c r="A54" s="65" t="n">
        <v>2.5</v>
      </c>
      <c r="B54" s="65" t="n">
        <v>24</v>
      </c>
    </row>
    <row r="55">
      <c r="A55" s="65" t="n">
        <v>4</v>
      </c>
      <c r="B55" s="65" t="n">
        <v>32</v>
      </c>
    </row>
    <row r="56">
      <c r="A56" s="65" t="n">
        <v>6</v>
      </c>
      <c r="B56" s="65" t="n">
        <v>41</v>
      </c>
    </row>
    <row r="57">
      <c r="A57" s="65" t="n">
        <v>10</v>
      </c>
      <c r="B57" s="65" t="n">
        <v>57</v>
      </c>
    </row>
    <row r="58">
      <c r="A58" s="65" t="n">
        <v>16</v>
      </c>
      <c r="B58" s="65" t="n">
        <v>76</v>
      </c>
    </row>
    <row r="59">
      <c r="A59" s="65" t="n">
        <v>25</v>
      </c>
      <c r="B59" s="65" t="n">
        <v>101</v>
      </c>
    </row>
    <row r="60">
      <c r="A60" s="65" t="n">
        <v>35</v>
      </c>
      <c r="B60" s="65" t="n">
        <v>125</v>
      </c>
    </row>
    <row r="61">
      <c r="A61" s="65" t="n">
        <v>50</v>
      </c>
      <c r="B61" s="65" t="n">
        <v>151</v>
      </c>
    </row>
    <row r="62">
      <c r="A62" s="65" t="n">
        <v>70</v>
      </c>
      <c r="B62" s="65" t="n">
        <v>192</v>
      </c>
    </row>
    <row r="63">
      <c r="A63" s="65" t="n">
        <v>95</v>
      </c>
      <c r="B63" s="65" t="n">
        <v>232</v>
      </c>
    </row>
    <row r="64">
      <c r="A64" s="65" t="n">
        <v>120</v>
      </c>
      <c r="B64" s="65" t="n">
        <v>269</v>
      </c>
    </row>
    <row r="66" ht="26" customHeight="1">
      <c r="A66" s="3" t="inlineStr">
        <is>
          <t>Kaynak: IEC 60364-5-52 Tablo B.52.4 (Yöntem C — duvara/tabliyeye tespitli). Farklı döşeme yöntemi veya sıcaklık/gruplama düzeltmesi gerekiyorsa değerleri kendi tablonuza göre güncelleyin.</t>
        </is>
      </c>
    </row>
    <row r="68" ht="18" customHeight="1">
      <c r="A68" s="4" t="inlineStr">
        <is>
          <t xml:space="preserve">  TABLO 11   —   ANMA YÜKÜNE GÖRE ORTALAMA BOŞ KABİN KÜTLESİ</t>
        </is>
      </c>
      <c r="B68" s="58" t="n"/>
      <c r="C68" s="58" t="n"/>
      <c r="D68" s="58" t="n"/>
      <c r="E68" s="58" t="n"/>
      <c r="F68" s="58" t="n"/>
      <c r="G68" s="58" t="n"/>
      <c r="H68" s="58" t="n"/>
      <c r="I68" s="58" t="n"/>
      <c r="J68" s="58" t="n"/>
      <c r="K68" s="59" t="n"/>
    </row>
    <row r="69">
      <c r="A69" s="6" t="inlineStr">
        <is>
          <t>Q  ( kg )</t>
        </is>
      </c>
      <c r="B69" s="6" t="inlineStr">
        <is>
          <t>Gk  ( kg )</t>
        </is>
      </c>
      <c r="C69" s="6" t="inlineStr">
        <is>
          <t>Gk / Q</t>
        </is>
      </c>
    </row>
    <row r="70">
      <c r="A70" s="54" t="n">
        <v>450</v>
      </c>
      <c r="B70" s="54" t="n">
        <v>500</v>
      </c>
      <c r="C70" s="23">
        <f>B70/A70</f>
        <v/>
      </c>
    </row>
    <row r="71">
      <c r="A71" s="54" t="n">
        <v>630</v>
      </c>
      <c r="B71" s="54" t="n">
        <v>650</v>
      </c>
      <c r="C71" s="23">
        <f>B71/A71</f>
        <v/>
      </c>
    </row>
    <row r="72">
      <c r="A72" s="54" t="n">
        <v>800</v>
      </c>
      <c r="B72" s="54" t="n">
        <v>800</v>
      </c>
      <c r="C72" s="23">
        <f>B72/A72</f>
        <v/>
      </c>
    </row>
    <row r="73">
      <c r="A73" s="54" t="n">
        <v>1000</v>
      </c>
      <c r="B73" s="54" t="n">
        <v>950</v>
      </c>
      <c r="C73" s="23">
        <f>B73/A73</f>
        <v/>
      </c>
    </row>
    <row r="74">
      <c r="A74" s="54" t="n">
        <v>1125</v>
      </c>
      <c r="B74" s="54" t="n">
        <v>1020</v>
      </c>
      <c r="C74" s="23">
        <f>B74/A74</f>
        <v/>
      </c>
    </row>
    <row r="75">
      <c r="A75" s="54" t="n">
        <v>1275</v>
      </c>
      <c r="B75" s="54" t="n">
        <v>1100</v>
      </c>
      <c r="C75" s="23">
        <f>B75/A75</f>
        <v/>
      </c>
    </row>
    <row r="76">
      <c r="A76" s="54" t="n">
        <v>1600</v>
      </c>
      <c r="B76" s="54" t="n">
        <v>1350</v>
      </c>
      <c r="C76" s="23">
        <f>B76/A76</f>
        <v/>
      </c>
    </row>
    <row r="77">
      <c r="A77" s="54" t="n">
        <v>2000</v>
      </c>
      <c r="B77" s="54" t="n">
        <v>1600</v>
      </c>
      <c r="C77" s="23">
        <f>B77/A77</f>
        <v/>
      </c>
    </row>
    <row r="78">
      <c r="A78" s="54" t="n">
        <v>2500</v>
      </c>
      <c r="B78" s="54" t="n">
        <v>1900</v>
      </c>
      <c r="C78" s="23">
        <f>B78/A78</f>
        <v/>
      </c>
    </row>
    <row r="80" ht="42" customHeight="1">
      <c r="A80" s="3" t="inlineStr">
        <is>
          <t>Standart yolcu asansörü kabini için ORTALAMA değerlerdir (kabin iskeleti, panel, tavan, zemin, kapı, süspansiyon ve paraşüt dâhil; mermer / granit kaplama ve özel dekor HARİÇ). Ara yükler için doğrusal ara değer alınır. İmalatçı verisi varsa GİRİŞ sayfasındaki 'Boş kabin kütlesi — elle' satırına yazın, bu tablo devre dışı kalır. Sarı hücreler düzenlenebilir.</t>
        </is>
      </c>
    </row>
    <row r="82" ht="18" customHeight="1">
      <c r="A82" s="4" t="inlineStr">
        <is>
          <t xml:space="preserve">  MMO / 697  ÖRNEK HESAPLARINDAKİ REFERANS DEĞERLER  ( §4.3 )</t>
        </is>
      </c>
      <c r="B82" s="58" t="n"/>
      <c r="C82" s="58" t="n"/>
      <c r="D82" s="58" t="n"/>
      <c r="E82" s="58" t="n"/>
      <c r="F82" s="58" t="n"/>
      <c r="G82" s="58" t="n"/>
      <c r="H82" s="58" t="n"/>
      <c r="I82" s="58" t="n"/>
      <c r="J82" s="58" t="n"/>
      <c r="K82" s="59" t="n"/>
    </row>
    <row r="83">
      <c r="A83" s="6" t="inlineStr">
        <is>
          <t>Beyan yükü Q</t>
        </is>
      </c>
      <c r="B83" s="6" t="inlineStr">
        <is>
          <t>P = Gk + Gf</t>
        </is>
      </c>
      <c r="C83" s="6" t="inlineStr">
        <is>
          <t>FMakina</t>
        </is>
      </c>
      <c r="D83" s="6" t="inlineStr">
        <is>
          <t>FSehpa</t>
        </is>
      </c>
      <c r="E83" s="6" t="inlineStr">
        <is>
          <t>FMontör</t>
        </is>
      </c>
    </row>
    <row r="84">
      <c r="A84" s="55" t="n">
        <v>450</v>
      </c>
      <c r="B84" s="55" t="n">
        <v>520</v>
      </c>
      <c r="C84" s="55" t="n">
        <v>350</v>
      </c>
      <c r="D84" s="55" t="n">
        <v>100</v>
      </c>
      <c r="E84" s="55" t="n">
        <v>150</v>
      </c>
    </row>
    <row r="85">
      <c r="A85" s="55" t="n">
        <v>1125</v>
      </c>
      <c r="B85" s="55" t="n">
        <v>800</v>
      </c>
      <c r="C85" s="55" t="n">
        <v>450</v>
      </c>
      <c r="D85" s="55" t="n">
        <v>100</v>
      </c>
      <c r="E85" s="55" t="n">
        <v>150</v>
      </c>
    </row>
    <row r="87" ht="40" customHeight="1">
      <c r="A87" s="3" t="inlineStr">
        <is>
          <t>Kitapta boş kabin kütlesi için TABLO YOKTUR; yukarıdakiler kitabın §4.3 örnek hesabında kullandığı değerlerdir. Tablo-11 bunlarla 450 kg'da örtüşür, büyük kapasitelerde daha ağır (emniyetli) kalır. FMakina kitapta kapasiteye göre değişmektedir (450 kg → 350 kg, 1125 kg → 450 kg); GİRİŞ sayfasında asansör bazlı girilir.</t>
        </is>
      </c>
    </row>
    <row r="89" ht="18" customHeight="1">
      <c r="A89" s="4" t="inlineStr">
        <is>
          <t xml:space="preserve">  AÇILIR LİSTE KAYNAKLARI  —  silmeyin, GİRİŞ ve SABİTLER buraya bakar</t>
        </is>
      </c>
      <c r="B89" s="58" t="n"/>
      <c r="C89" s="58" t="n"/>
      <c r="D89" s="58" t="n"/>
      <c r="E89" s="58" t="n"/>
      <c r="F89" s="58" t="n"/>
      <c r="G89" s="58" t="n"/>
      <c r="H89" s="58" t="n"/>
      <c r="I89" s="58" t="n"/>
      <c r="J89" s="58" t="n"/>
      <c r="K89" s="59" t="n"/>
    </row>
    <row r="90">
      <c r="A90" s="6" t="inlineStr">
        <is>
          <t>Palanga  i</t>
        </is>
      </c>
      <c r="B90" s="20" t="inlineStr">
        <is>
          <t>Kabin kapasitesi listesi Tablo-7'nin ( A41:A49 ) kendisidir; ayrı bir liste tutulmaz.</t>
        </is>
      </c>
    </row>
    <row r="91">
      <c r="A91" s="21" t="n">
        <v>1</v>
      </c>
    </row>
    <row r="92">
      <c r="A92" s="21" t="n">
        <v>2</v>
      </c>
    </row>
  </sheetData>
  <mergeCells count="15">
    <mergeCell ref="A37:K37"/>
    <mergeCell ref="A20:K20"/>
    <mergeCell ref="C19:K19"/>
    <mergeCell ref="A39:K39"/>
    <mergeCell ref="A3:K3"/>
    <mergeCell ref="A87:K87"/>
    <mergeCell ref="A82:K82"/>
    <mergeCell ref="A51:K51"/>
    <mergeCell ref="A80:K80"/>
    <mergeCell ref="A68:K68"/>
    <mergeCell ref="A66:K66"/>
    <mergeCell ref="B90:K90"/>
    <mergeCell ref="A1:K1"/>
    <mergeCell ref="A23:K23"/>
    <mergeCell ref="A89:K89"/>
  </mergeCells>
  <printOptions horizontalCentered="1"/>
  <pageMargins left="0.4" right="0.4" top="0.5" bottom="0.5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40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50" customWidth="1" min="2" max="2"/>
    <col width="13" customWidth="1" min="3" max="3"/>
    <col width="13" customWidth="1" min="4" max="4"/>
    <col width="66" customWidth="1" min="5" max="5"/>
  </cols>
  <sheetData>
    <row r="1" ht="22" customHeight="1">
      <c r="A1" s="1" t="inlineStr">
        <is>
          <t>SABİTLER  VE  OFİS STANDARDI</t>
        </is>
      </c>
      <c r="B1" s="58" t="n"/>
      <c r="C1" s="58" t="n"/>
      <c r="D1" s="58" t="n"/>
      <c r="E1" s="59" t="n"/>
    </row>
    <row r="2">
      <c r="A2" s="3" t="inlineStr">
        <is>
          <t>Aşağıdaki A bölümü yönetmelik / standart kaynaklıdır, değiştirilmez. B bölümü ofis standardıdır: tüm asansörler için ortaktır ve gerekirse buradan değiştirilir.</t>
        </is>
      </c>
    </row>
    <row r="3" ht="18" customHeight="1">
      <c r="A3" s="4" t="inlineStr">
        <is>
          <t xml:space="preserve">  A )   YÖNETMELİK  /  STANDART SABİTLERİ   —   değiştirmeyin</t>
        </is>
      </c>
      <c r="B3" s="58" t="n"/>
      <c r="C3" s="58" t="n"/>
      <c r="D3" s="58" t="n"/>
      <c r="E3" s="59" t="n"/>
    </row>
    <row r="4">
      <c r="A4" s="6" t="inlineStr">
        <is>
          <t>Sembol</t>
        </is>
      </c>
      <c r="B4" s="6" t="inlineStr">
        <is>
          <t>Büyüklük</t>
        </is>
      </c>
      <c r="C4" s="6" t="inlineStr">
        <is>
          <t>Değer</t>
        </is>
      </c>
      <c r="D4" s="6" t="inlineStr">
        <is>
          <t>Birim</t>
        </is>
      </c>
      <c r="E4" s="6" t="inlineStr">
        <is>
          <t>Kaynak</t>
        </is>
      </c>
    </row>
    <row r="5">
      <c r="A5" s="7" t="inlineStr">
        <is>
          <t>gn</t>
        </is>
      </c>
      <c r="B5" s="8" t="inlineStr">
        <is>
          <t>Yerçekimi ivmesi</t>
        </is>
      </c>
      <c r="C5" s="56" t="n">
        <v>9.81</v>
      </c>
      <c r="D5" s="10" t="inlineStr">
        <is>
          <t>m/s²</t>
        </is>
      </c>
      <c r="E5" s="11" t="inlineStr">
        <is>
          <t>MMO/697 s.18  —  TS EN 81-20</t>
        </is>
      </c>
    </row>
    <row r="6">
      <c r="A6" s="7" t="inlineStr">
        <is>
          <t>—</t>
        </is>
      </c>
      <c r="B6" s="8" t="inlineStr">
        <is>
          <t>Tampon altı zemin kuvvet katsayısı</t>
        </is>
      </c>
      <c r="C6" s="57" t="n">
        <v>4</v>
      </c>
      <c r="D6" s="10" t="inlineStr">
        <is>
          <t>—</t>
        </is>
      </c>
      <c r="E6" s="11" t="inlineStr">
        <is>
          <t>MMO/697 §2.3.3.1-2  —  F = 4·gn·(P+Q)</t>
        </is>
      </c>
    </row>
    <row r="7" ht="21" customHeight="1">
      <c r="A7" s="7" t="inlineStr">
        <is>
          <t>k1</t>
        </is>
      </c>
      <c r="B7" s="8" t="inlineStr">
        <is>
          <t>Darbe faktörü  —  V &gt; 1,00 m/s</t>
        </is>
      </c>
      <c r="C7" s="57" t="n">
        <v>2</v>
      </c>
      <c r="D7" s="10" t="inlineStr">
        <is>
          <t>—</t>
        </is>
      </c>
      <c r="E7" s="11" t="inlineStr">
        <is>
          <t>MMO/697 Çizelge-1 ( TS EN 81-20 Çiz.14 )  —  kademeli güvenlik tertibatı / enerji dağıtan tip tampon</t>
        </is>
      </c>
    </row>
    <row r="8">
      <c r="A8" s="7" t="inlineStr">
        <is>
          <t>k1</t>
        </is>
      </c>
      <c r="B8" s="8" t="inlineStr">
        <is>
          <t>Darbe faktörü  —  0,63 &lt; V ≤ 1,00 m/s</t>
        </is>
      </c>
      <c r="C8" s="57" t="n">
        <v>3</v>
      </c>
      <c r="D8" s="10" t="inlineStr">
        <is>
          <t>—</t>
        </is>
      </c>
      <c r="E8" s="11" t="inlineStr">
        <is>
          <t>MMO/697 Çizelge-1  —  enerji biriktiren tip tampon</t>
        </is>
      </c>
    </row>
    <row r="9">
      <c r="A9" s="7" t="inlineStr">
        <is>
          <t>k1</t>
        </is>
      </c>
      <c r="B9" s="8" t="inlineStr">
        <is>
          <t>Darbe faktörü  —  0,15 &lt; V ≤ 0,63 m/s</t>
        </is>
      </c>
      <c r="C9" s="57" t="n">
        <v>5</v>
      </c>
      <c r="D9" s="10" t="inlineStr">
        <is>
          <t>—</t>
        </is>
      </c>
      <c r="E9" s="11" t="inlineStr">
        <is>
          <t>MMO/697 Çizelge-1  —  ani frenlemeli güvenlik tertibatı</t>
        </is>
      </c>
    </row>
    <row r="10">
      <c r="A10" s="7" t="inlineStr">
        <is>
          <t>—</t>
        </is>
      </c>
      <c r="B10" s="8" t="inlineStr">
        <is>
          <t>Motor gücü denklem sabiti</t>
        </is>
      </c>
      <c r="C10" s="57" t="n">
        <v>102</v>
      </c>
      <c r="D10" s="10" t="inlineStr">
        <is>
          <t>kg·m/s</t>
        </is>
      </c>
      <c r="E10" s="11" t="inlineStr">
        <is>
          <t>MMO/697 §2.4  —  N = (1/η)·[(Q/2·V)/102]</t>
        </is>
      </c>
    </row>
    <row r="11">
      <c r="A11" s="7" t="inlineStr">
        <is>
          <t>Δη</t>
        </is>
      </c>
      <c r="B11" s="8" t="inlineStr">
        <is>
          <t>Palangalı sistemde verim düşüşü</t>
        </is>
      </c>
      <c r="C11" s="56" t="n">
        <v>0.1</v>
      </c>
      <c r="D11" s="10" t="inlineStr">
        <is>
          <t>—</t>
        </is>
      </c>
      <c r="E11" s="11" t="inlineStr">
        <is>
          <t>MMO/697 §2.4  —  "Palangalı sistemlerde verim %10 az alınacaktır"</t>
        </is>
      </c>
    </row>
    <row r="12">
      <c r="A12" s="7" t="inlineStr">
        <is>
          <t>d</t>
        </is>
      </c>
      <c r="B12" s="8" t="inlineStr">
        <is>
          <t>Aydınlatmada kirlenme (bakım) faktörü</t>
        </is>
      </c>
      <c r="C12" s="56" t="n">
        <v>1.25</v>
      </c>
      <c r="D12" s="10" t="inlineStr">
        <is>
          <t>—</t>
        </is>
      </c>
      <c r="E12" s="11" t="inlineStr">
        <is>
          <t>Aydınlatma tekniği teamülü</t>
        </is>
      </c>
    </row>
    <row r="13">
      <c r="A13" s="7" t="inlineStr">
        <is>
          <t>E</t>
        </is>
      </c>
      <c r="B13" s="8" t="inlineStr">
        <is>
          <t>Aydınlatma şiddeti — makine dairesi</t>
        </is>
      </c>
      <c r="C13" s="57" t="n">
        <v>200</v>
      </c>
      <c r="D13" s="10" t="inlineStr">
        <is>
          <t>lüx</t>
        </is>
      </c>
      <c r="E13" s="11" t="inlineStr">
        <is>
          <t>TS EN 81-20  —  MMO/697 kapsamı DIŞINDA</t>
        </is>
      </c>
    </row>
    <row r="14">
      <c r="A14" s="7" t="inlineStr">
        <is>
          <t>E</t>
        </is>
      </c>
      <c r="B14" s="8" t="inlineStr">
        <is>
          <t>Aydınlatma şiddeti — kabin</t>
        </is>
      </c>
      <c r="C14" s="57" t="n">
        <v>100</v>
      </c>
      <c r="D14" s="10" t="inlineStr">
        <is>
          <t>lüx</t>
        </is>
      </c>
      <c r="E14" s="11" t="inlineStr">
        <is>
          <t>TS EN 81-20  —  MMO/697 kapsamı DIŞINDA</t>
        </is>
      </c>
    </row>
    <row r="15">
      <c r="A15" s="7" t="inlineStr">
        <is>
          <t>E</t>
        </is>
      </c>
      <c r="B15" s="8" t="inlineStr">
        <is>
          <t>Aydınlatma şiddeti — kuyu</t>
        </is>
      </c>
      <c r="C15" s="57" t="n">
        <v>50</v>
      </c>
      <c r="D15" s="10" t="inlineStr">
        <is>
          <t>lüx</t>
        </is>
      </c>
      <c r="E15" s="11" t="inlineStr">
        <is>
          <t>TS EN 81-20  —  MMO/697 kapsamı DIŞINDA</t>
        </is>
      </c>
    </row>
    <row r="16">
      <c r="A16" s="7" t="inlineStr">
        <is>
          <t>—</t>
        </is>
      </c>
      <c r="B16" s="8" t="inlineStr">
        <is>
          <t>Kuyu aydınlatmasına eklenen armatür</t>
        </is>
      </c>
      <c r="C16" s="57" t="n">
        <v>2</v>
      </c>
      <c r="D16" s="10" t="inlineStr">
        <is>
          <t>adet</t>
        </is>
      </c>
      <c r="E16" s="11" t="inlineStr">
        <is>
          <t>Kuyu dibi + kuyu üstü</t>
        </is>
      </c>
    </row>
    <row r="17">
      <c r="A17" s="7" t="inlineStr">
        <is>
          <t>h</t>
        </is>
      </c>
      <c r="B17" s="8" t="inlineStr">
        <is>
          <t>Armatür ile çalışma düzlemi arası yük.</t>
        </is>
      </c>
      <c r="C17" s="56" t="n">
        <v>1</v>
      </c>
      <c r="D17" s="10" t="inlineStr">
        <is>
          <t>m</t>
        </is>
      </c>
      <c r="E17" s="11" t="inlineStr">
        <is>
          <t>Bölge indeksi k hesabında</t>
        </is>
      </c>
    </row>
    <row r="18">
      <c r="A18" s="7" t="inlineStr">
        <is>
          <t>—</t>
        </is>
      </c>
      <c r="B18" s="8" t="inlineStr">
        <is>
          <t>Ray uzunluğu düşümü</t>
        </is>
      </c>
      <c r="C18" s="56" t="n">
        <v>0.2</v>
      </c>
      <c r="D18" s="10" t="inlineStr">
        <is>
          <t>m</t>
        </is>
      </c>
      <c r="E18" s="11" t="inlineStr">
        <is>
          <t>I = Hk − 0,20</t>
        </is>
      </c>
    </row>
    <row r="19">
      <c r="A19" s="7" t="inlineStr">
        <is>
          <t>—</t>
        </is>
      </c>
      <c r="B19" s="8" t="inlineStr">
        <is>
          <t>Flexbil uzunluğu sabiti</t>
        </is>
      </c>
      <c r="C19" s="57" t="n">
        <v>3</v>
      </c>
      <c r="D19" s="10" t="inlineStr">
        <is>
          <t>m</t>
        </is>
      </c>
      <c r="E19" s="11" t="inlineStr">
        <is>
          <t>Flexbil boyu = Hk / 2 + 3</t>
        </is>
      </c>
    </row>
    <row r="21" ht="18" customHeight="1">
      <c r="A21" s="4" t="inlineStr">
        <is>
          <t xml:space="preserve">  B )   OFİS STANDARDI   —   tüm asansörler için ortak, gerekirse buradan değiştirin</t>
        </is>
      </c>
      <c r="B21" s="58" t="n"/>
      <c r="C21" s="58" t="n"/>
      <c r="D21" s="58" t="n"/>
      <c r="E21" s="59" t="n"/>
    </row>
    <row r="22" ht="34" customHeight="1">
      <c r="A22" s="7" t="inlineStr">
        <is>
          <t>i</t>
        </is>
      </c>
      <c r="B22" s="8" t="inlineStr">
        <is>
          <t>Palanga ( askı ) katsayısı</t>
        </is>
      </c>
      <c r="C22" s="9" t="n">
        <v>2</v>
      </c>
      <c r="D22" s="10" t="inlineStr">
        <is>
          <t>—</t>
        </is>
      </c>
      <c r="E22" s="67" t="inlineStr">
        <is>
          <t>Yedek değer.   ASKI ORANI asansörün kendi özelliğidir — GİRİŞ sayfası 53. satırdan asansör bazında seçilir; burası yalnız boş bırakılan kolon için kullanılır.</t>
        </is>
      </c>
    </row>
    <row r="23" ht="30" customHeight="1">
      <c r="A23" s="7" t="inlineStr">
        <is>
          <t>q</t>
        </is>
      </c>
      <c r="B23" s="8" t="inlineStr">
        <is>
          <t>Denge faktörü</t>
        </is>
      </c>
      <c r="C23" s="13" t="n">
        <v>0.5</v>
      </c>
      <c r="D23" s="10" t="inlineStr">
        <is>
          <t>—</t>
        </is>
      </c>
      <c r="E23" s="67" t="inlineStr">
        <is>
          <t>Karşı ağırlığın dengelediği anma yükü oranı — pratikte 0,50.   → Asansör bazında GİRİŞ!54. satırdan ezilebilir.</t>
        </is>
      </c>
    </row>
    <row r="24">
      <c r="A24" s="7" t="inlineStr">
        <is>
          <t>n</t>
        </is>
      </c>
      <c r="B24" s="8" t="inlineStr">
        <is>
          <t>Kabin kılavuz ray sayısı</t>
        </is>
      </c>
      <c r="C24" s="9" t="n">
        <v>2</v>
      </c>
      <c r="D24" s="10" t="inlineStr">
        <is>
          <t>adet</t>
        </is>
      </c>
      <c r="E24" s="11" t="inlineStr">
        <is>
          <t>Kabin daima iki raya oturur</t>
        </is>
      </c>
    </row>
    <row r="25">
      <c r="A25" s="7" t="inlineStr">
        <is>
          <t>gf</t>
        </is>
      </c>
      <c r="B25" s="8" t="inlineStr">
        <is>
          <t>Gezici kablo ( flexbil ) birim kütlesi</t>
        </is>
      </c>
      <c r="C25" s="13" t="n">
        <v>1.5</v>
      </c>
      <c r="D25" s="10" t="inlineStr">
        <is>
          <t>kg/m</t>
        </is>
      </c>
      <c r="E25" s="11" t="inlineStr">
        <is>
          <t>İki katına çıksa P1 ancak ≈ %1,5 değişir</t>
        </is>
      </c>
    </row>
    <row r="26">
      <c r="A26" s="7" t="inlineStr">
        <is>
          <t>Fmt</t>
        </is>
      </c>
      <c r="B26" s="8" t="inlineStr">
        <is>
          <t>Montör ağırlığı</t>
        </is>
      </c>
      <c r="C26" s="9" t="n">
        <v>150</v>
      </c>
      <c r="D26" s="10" t="inlineStr">
        <is>
          <t>kg</t>
        </is>
      </c>
      <c r="E26" s="11" t="inlineStr">
        <is>
          <t>Bakım personeli — kuyu üstü yükünde</t>
        </is>
      </c>
    </row>
    <row r="27">
      <c r="A27" s="7" t="inlineStr">
        <is>
          <t>—</t>
        </is>
      </c>
      <c r="B27" s="8" t="inlineStr">
        <is>
          <t>Kabin armatürü — gücü</t>
        </is>
      </c>
      <c r="C27" s="9" t="n">
        <v>5</v>
      </c>
      <c r="D27" s="10" t="inlineStr">
        <is>
          <t>W</t>
        </is>
      </c>
      <c r="E27" s="11" t="inlineStr">
        <is>
          <t>LED spot</t>
        </is>
      </c>
    </row>
    <row r="28">
      <c r="A28" s="7" t="inlineStr">
        <is>
          <t>ØL</t>
        </is>
      </c>
      <c r="B28" s="8" t="inlineStr">
        <is>
          <t>Kabin armatürü — ışık akısı</t>
        </is>
      </c>
      <c r="C28" s="9" t="n">
        <v>300</v>
      </c>
      <c r="D28" s="10" t="inlineStr">
        <is>
          <t>lm</t>
        </is>
      </c>
      <c r="E28" s="11" t="inlineStr">
        <is>
          <t>5 W LED spot ≈ 300 lm   ( TABLOLAR — Tablo 4 )</t>
        </is>
      </c>
    </row>
    <row r="29">
      <c r="A29" s="7" t="inlineStr">
        <is>
          <t>—</t>
        </is>
      </c>
      <c r="B29" s="8" t="inlineStr">
        <is>
          <t>Kabin üstü armatür adedi</t>
        </is>
      </c>
      <c r="C29" s="9" t="n">
        <v>1</v>
      </c>
      <c r="D29" s="10" t="inlineStr">
        <is>
          <t>adet</t>
        </is>
      </c>
      <c r="E29" s="11" t="inlineStr">
        <is>
          <t>Kurulu güce eklenir, aydınlatma hesabına girmez</t>
        </is>
      </c>
    </row>
    <row r="30">
      <c r="A30" s="7" t="inlineStr">
        <is>
          <t>—</t>
        </is>
      </c>
      <c r="B30" s="8" t="inlineStr">
        <is>
          <t>Kuyu armatürü — gücü</t>
        </is>
      </c>
      <c r="C30" s="9" t="n">
        <v>40</v>
      </c>
      <c r="D30" s="10" t="inlineStr">
        <is>
          <t>W</t>
        </is>
      </c>
      <c r="E30" s="11" t="inlineStr">
        <is>
          <t>Flüoresan</t>
        </is>
      </c>
    </row>
    <row r="31">
      <c r="A31" s="7" t="inlineStr">
        <is>
          <t>ØL</t>
        </is>
      </c>
      <c r="B31" s="8" t="inlineStr">
        <is>
          <t>Kuyu armatürü — ışık akısı</t>
        </is>
      </c>
      <c r="C31" s="9" t="n">
        <v>2100</v>
      </c>
      <c r="D31" s="10" t="inlineStr">
        <is>
          <t>lm</t>
        </is>
      </c>
      <c r="E31" s="11" t="inlineStr">
        <is>
          <t>Tablo 4'te 40 W flüoresan 2100 lm'dir; ofis teamülü 2600 lm</t>
        </is>
      </c>
    </row>
    <row r="32">
      <c r="A32" s="7" t="inlineStr">
        <is>
          <t>Dmax</t>
        </is>
      </c>
      <c r="B32" s="8" t="inlineStr">
        <is>
          <t>Kuyu armatürü azami aralığı</t>
        </is>
      </c>
      <c r="C32" s="13" t="n">
        <v>7</v>
      </c>
      <c r="D32" s="10" t="inlineStr">
        <is>
          <t>m</t>
        </is>
      </c>
      <c r="E32" s="11" t="inlineStr">
        <is>
          <t>Geometrik asgari adet kontrolü;  0 yazarsanız kontrol devre dışı kalır</t>
        </is>
      </c>
    </row>
    <row r="33">
      <c r="A33" s="7" t="inlineStr">
        <is>
          <t>—</t>
        </is>
      </c>
      <c r="B33" s="8" t="inlineStr">
        <is>
          <t>Priz adedi</t>
        </is>
      </c>
      <c r="C33" s="9" t="n">
        <v>3</v>
      </c>
      <c r="D33" s="10" t="inlineStr">
        <is>
          <t>adet</t>
        </is>
      </c>
      <c r="E33" s="11" t="inlineStr"/>
    </row>
    <row r="34">
      <c r="A34" s="7" t="inlineStr">
        <is>
          <t>—</t>
        </is>
      </c>
      <c r="B34" s="8" t="inlineStr">
        <is>
          <t>Priz başına güç</t>
        </is>
      </c>
      <c r="C34" s="9" t="n">
        <v>300</v>
      </c>
      <c r="D34" s="10" t="inlineStr">
        <is>
          <t>W</t>
        </is>
      </c>
      <c r="E34" s="11" t="inlineStr"/>
    </row>
    <row r="35">
      <c r="A35" s="7" t="inlineStr">
        <is>
          <t>cosφ</t>
        </is>
      </c>
      <c r="B35" s="8" t="inlineStr">
        <is>
          <t>Güç katsayısı</t>
        </is>
      </c>
      <c r="C35" s="13" t="n">
        <v>0.9</v>
      </c>
      <c r="D35" s="10" t="inlineStr">
        <is>
          <t>—</t>
        </is>
      </c>
      <c r="E35" s="11" t="inlineStr">
        <is>
          <t>Hat akımı hesabında</t>
        </is>
      </c>
    </row>
    <row r="36">
      <c r="A36" s="7" t="inlineStr">
        <is>
          <t>UL</t>
        </is>
      </c>
      <c r="B36" s="8" t="inlineStr">
        <is>
          <t>İzin verilen temas gerilimi</t>
        </is>
      </c>
      <c r="C36" s="9" t="n">
        <v>50</v>
      </c>
      <c r="D36" s="10" t="inlineStr">
        <is>
          <t>V</t>
        </is>
      </c>
      <c r="E36" s="11" t="inlineStr">
        <is>
          <t>TT sistem</t>
        </is>
      </c>
    </row>
    <row r="37">
      <c r="A37" s="7" t="inlineStr">
        <is>
          <t>IΔn</t>
        </is>
      </c>
      <c r="B37" s="8" t="inlineStr">
        <is>
          <t>Kaçak akım rölesi anma akımı</t>
        </is>
      </c>
      <c r="C37" s="13" t="n">
        <v>0.3</v>
      </c>
      <c r="D37" s="10" t="inlineStr">
        <is>
          <t>A</t>
        </is>
      </c>
      <c r="E37" s="11" t="inlineStr">
        <is>
          <t>300 mA = 0,30 A</t>
        </is>
      </c>
    </row>
    <row r="38">
      <c r="A38" s="7" t="inlineStr">
        <is>
          <t>lç</t>
        </is>
      </c>
      <c r="B38" s="8" t="inlineStr">
        <is>
          <t>Çubuk topraklayıcı boyu</t>
        </is>
      </c>
      <c r="C38" s="13" t="n">
        <v>1.5</v>
      </c>
      <c r="D38" s="10" t="inlineStr">
        <is>
          <t>m</t>
        </is>
      </c>
      <c r="E38" s="11" t="inlineStr">
        <is>
          <t>Standart çubuk</t>
        </is>
      </c>
    </row>
    <row r="39">
      <c r="A39" s="7" t="inlineStr">
        <is>
          <t>ηm</t>
        </is>
      </c>
      <c r="B39" s="8" t="inlineStr">
        <is>
          <t>Motorun elektrik verimi</t>
        </is>
      </c>
      <c r="C39" s="13" t="n">
        <v>0.85</v>
      </c>
      <c r="D39" s="10" t="inlineStr">
        <is>
          <t>—</t>
        </is>
      </c>
      <c r="E39" s="11" t="inlineStr">
        <is>
          <t>Şebekeden çekilen güç Pşeb = Nsç / ηm;  kolon ve makine besleme hatlarında akan odur</t>
        </is>
      </c>
    </row>
    <row r="40" ht="44" customHeight="1">
      <c r="A40" s="66" t="inlineStr">
        <is>
          <t>Bu SARI hücreler proje geneli için ORTAKTIR. Palanga katsayısı (i) ve denge faktörü (q) asansör bazında farklı olabildiğinden GİRİŞ sayfasının 53-54. satırından asansöre özel değer girilebilir; boş bırakılırsa buradaki değer kullanılır.</t>
        </is>
      </c>
    </row>
  </sheetData>
  <mergeCells count="5">
    <mergeCell ref="A21:E21"/>
    <mergeCell ref="A2:E2"/>
    <mergeCell ref="A1:E1"/>
    <mergeCell ref="A40:E40"/>
    <mergeCell ref="A3:E3"/>
  </mergeCells>
  <dataValidations count="1">
    <dataValidation sqref="C22" showDropDown="0" showInputMessage="0" showErrorMessage="1" allowBlank="0" errorTitle="Geçersiz değer" error="Palanga katsayısı 1 (doğrudan askı) veya 2 (palangalı) olabilir." type="list">
      <formula1>PALANGA</formula1>
    </dataValidation>
  </dataValidations>
  <printOptions horizontalCentered="1"/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2026-08-06T18:22:04Z</dcterms:created>
  <dcterms:modified xsi:type="dcterms:W3CDTF">2026-09-06T00:39:30Z</dcterms:modified>
</cp:coreProperties>
</file>